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activeTab="1"/>
  </bookViews>
  <sheets>
    <sheet name="Data set" sheetId="1" r:id="rId1"/>
    <sheet name="Summary" sheetId="2" r:id="rId2"/>
    <sheet name="Dashboard" sheetId="3" r:id="rId3"/>
  </sheets>
  <definedNames>
    <definedName name="_xlnm._FilterDatabase" localSheetId="0" hidden="1">'Data set'!$A$1:$R$1001</definedName>
    <definedName name="Slicer_Order_Date">#N/A</definedName>
    <definedName name="Slicer_Product">#N/A</definedName>
    <definedName name="Slicer_Category">#N/A</definedName>
    <definedName name="Slicer_Region">#N/A</definedName>
    <definedName name="Slicer_Customer_Segment">#N/A</definedName>
    <definedName name="Slicer_Salesperson">#N/A</definedName>
    <definedName name="Slicer_Sales_Channel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  <x14:slicerCache r:id="rId8"/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<sst xmlns="http://schemas.openxmlformats.org/spreadsheetml/2006/main" count="10124" uniqueCount="1165">
  <si>
    <t>Order ID</t>
  </si>
  <si>
    <t>Order Date</t>
  </si>
  <si>
    <t>order month</t>
  </si>
  <si>
    <t>Product</t>
  </si>
  <si>
    <t>Category</t>
  </si>
  <si>
    <t>Region</t>
  </si>
  <si>
    <t>State</t>
  </si>
  <si>
    <t>City</t>
  </si>
  <si>
    <t>Customer Segment</t>
  </si>
  <si>
    <t>Salesperson</t>
  </si>
  <si>
    <t>Sales Channel</t>
  </si>
  <si>
    <t>Quantity</t>
  </si>
  <si>
    <t>Unit Price</t>
  </si>
  <si>
    <t>Discount</t>
  </si>
  <si>
    <t>Sales</t>
  </si>
  <si>
    <t>Cost</t>
  </si>
  <si>
    <t>Profit</t>
  </si>
  <si>
    <t>Payment Method</t>
  </si>
  <si>
    <t>SO0001</t>
  </si>
  <si>
    <t>Printer</t>
  </si>
  <si>
    <t>Office Equipment</t>
  </si>
  <si>
    <t>East</t>
  </si>
  <si>
    <t>Jharkhand</t>
  </si>
  <si>
    <t>Ranchi</t>
  </si>
  <si>
    <t>Consumer</t>
  </si>
  <si>
    <t>Sachin</t>
  </si>
  <si>
    <t>Distributor</t>
  </si>
  <si>
    <t>Net Banking</t>
  </si>
  <si>
    <t>SO0002</t>
  </si>
  <si>
    <t>Headphones</t>
  </si>
  <si>
    <t>Accessories</t>
  </si>
  <si>
    <t>South</t>
  </si>
  <si>
    <t>Kerala</t>
  </si>
  <si>
    <t>Kochi</t>
  </si>
  <si>
    <t>Priya</t>
  </si>
  <si>
    <t>Credit Card</t>
  </si>
  <si>
    <t>SO0003</t>
  </si>
  <si>
    <t>Monitor</t>
  </si>
  <si>
    <t>Electronics</t>
  </si>
  <si>
    <t>Dhanbad</t>
  </si>
  <si>
    <t>Ishita</t>
  </si>
  <si>
    <t>SO0004</t>
  </si>
  <si>
    <t>Camera</t>
  </si>
  <si>
    <t>Tamil Nadu</t>
  </si>
  <si>
    <t>Chennai</t>
  </si>
  <si>
    <t>Small Business</t>
  </si>
  <si>
    <t>Kavya</t>
  </si>
  <si>
    <t>Online</t>
  </si>
  <si>
    <t>Debit Card</t>
  </si>
  <si>
    <t>SO0005</t>
  </si>
  <si>
    <t>Thiruvananthapuram</t>
  </si>
  <si>
    <t>Corporate</t>
  </si>
  <si>
    <t>Meera</t>
  </si>
  <si>
    <t>Retail Store</t>
  </si>
  <si>
    <t>SO0006</t>
  </si>
  <si>
    <t>West</t>
  </si>
  <si>
    <t>Maharashtra</t>
  </si>
  <si>
    <t>Pune</t>
  </si>
  <si>
    <t>UPI</t>
  </si>
  <si>
    <t>SO0007</t>
  </si>
  <si>
    <t>North</t>
  </si>
  <si>
    <t>Delhi</t>
  </si>
  <si>
    <t>Noida</t>
  </si>
  <si>
    <t>Aditya</t>
  </si>
  <si>
    <t>SO0008</t>
  </si>
  <si>
    <t>Mouse</t>
  </si>
  <si>
    <t>Telangana</t>
  </si>
  <si>
    <t>Warangal</t>
  </si>
  <si>
    <t>SO0009</t>
  </si>
  <si>
    <t>office Chair</t>
  </si>
  <si>
    <t>Bihar</t>
  </si>
  <si>
    <t>Patna</t>
  </si>
  <si>
    <t>SO0010</t>
  </si>
  <si>
    <t>Rohan</t>
  </si>
  <si>
    <t>SO0011</t>
  </si>
  <si>
    <t>Sneakers</t>
  </si>
  <si>
    <t>Nagpur</t>
  </si>
  <si>
    <t>Cash</t>
  </si>
  <si>
    <t>SO0012</t>
  </si>
  <si>
    <t>Smartphone</t>
  </si>
  <si>
    <t>Gujarat</t>
  </si>
  <si>
    <t>Surat</t>
  </si>
  <si>
    <t>SO0013</t>
  </si>
  <si>
    <t>Gaya</t>
  </si>
  <si>
    <t>SO0014</t>
  </si>
  <si>
    <t>Keyboard</t>
  </si>
  <si>
    <t>Uttar Pradesh</t>
  </si>
  <si>
    <t>Lucknow</t>
  </si>
  <si>
    <t>Aarav</t>
  </si>
  <si>
    <t>SO0015</t>
  </si>
  <si>
    <t>Tablet</t>
  </si>
  <si>
    <t>Coimbatore</t>
  </si>
  <si>
    <t>SO0016</t>
  </si>
  <si>
    <t>Haryana</t>
  </si>
  <si>
    <t>Faridabad</t>
  </si>
  <si>
    <t>SO0017</t>
  </si>
  <si>
    <t>Central</t>
  </si>
  <si>
    <t>Madhya Pradesh</t>
  </si>
  <si>
    <t>Gwalior</t>
  </si>
  <si>
    <t>Arjun</t>
  </si>
  <si>
    <t>SO0018</t>
  </si>
  <si>
    <t>Gurugram</t>
  </si>
  <si>
    <t>SO0019</t>
  </si>
  <si>
    <t>T-Shirt</t>
  </si>
  <si>
    <t>Kanpur</t>
  </si>
  <si>
    <t>SO0020</t>
  </si>
  <si>
    <t>Varanasi</t>
  </si>
  <si>
    <t>SO0021</t>
  </si>
  <si>
    <t>SO0022</t>
  </si>
  <si>
    <t>Rajasthan</t>
  </si>
  <si>
    <t>Udaipur</t>
  </si>
  <si>
    <t>SO0023</t>
  </si>
  <si>
    <t>SO0024</t>
  </si>
  <si>
    <t>Chhattisgarh</t>
  </si>
  <si>
    <t>Bilaspur</t>
  </si>
  <si>
    <t>SO0025</t>
  </si>
  <si>
    <t>Diya</t>
  </si>
  <si>
    <t>SO0026</t>
  </si>
  <si>
    <t>SO0027</t>
  </si>
  <si>
    <t>Bhilai</t>
  </si>
  <si>
    <t>SO0028</t>
  </si>
  <si>
    <t>Laptop</t>
  </si>
  <si>
    <t>West Bengal</t>
  </si>
  <si>
    <t>Durgapur</t>
  </si>
  <si>
    <t>Rahul</t>
  </si>
  <si>
    <t>SO0029</t>
  </si>
  <si>
    <t>Raipur</t>
  </si>
  <si>
    <t>SO0030</t>
  </si>
  <si>
    <t>Furniture</t>
  </si>
  <si>
    <t>SO0031</t>
  </si>
  <si>
    <t>SO0032</t>
  </si>
  <si>
    <t>SO0033</t>
  </si>
  <si>
    <t>SO0034</t>
  </si>
  <si>
    <t>Smartwatch</t>
  </si>
  <si>
    <t>Vadodara</t>
  </si>
  <si>
    <t>SO0035</t>
  </si>
  <si>
    <t>SO0036</t>
  </si>
  <si>
    <t>SO0037</t>
  </si>
  <si>
    <t>Siliguri</t>
  </si>
  <si>
    <t>SO0038</t>
  </si>
  <si>
    <t>SO0039</t>
  </si>
  <si>
    <t>Punjab</t>
  </si>
  <si>
    <t>Ludhiana</t>
  </si>
  <si>
    <t>SO0040</t>
  </si>
  <si>
    <t>SO0041</t>
  </si>
  <si>
    <t>SO0042</t>
  </si>
  <si>
    <t>SO0043</t>
  </si>
  <si>
    <t>Bhopal</t>
  </si>
  <si>
    <t>SO0044</t>
  </si>
  <si>
    <t>SO0045</t>
  </si>
  <si>
    <t>SO0046</t>
  </si>
  <si>
    <t>SO0047</t>
  </si>
  <si>
    <t>SO0048</t>
  </si>
  <si>
    <t>SO0049</t>
  </si>
  <si>
    <t>Mumbai</t>
  </si>
  <si>
    <t>SO0050</t>
  </si>
  <si>
    <t>Kolkata</t>
  </si>
  <si>
    <t>SO0051</t>
  </si>
  <si>
    <t>SO0052</t>
  </si>
  <si>
    <t>SO0053</t>
  </si>
  <si>
    <t>Ahmedabad</t>
  </si>
  <si>
    <t>SO0054</t>
  </si>
  <si>
    <t>SO0055</t>
  </si>
  <si>
    <t>Muzaffarpur</t>
  </si>
  <si>
    <t>SO0056</t>
  </si>
  <si>
    <t>SO0057</t>
  </si>
  <si>
    <t>SO0058</t>
  </si>
  <si>
    <t>Odisha</t>
  </si>
  <si>
    <t>Bhubaneswar</t>
  </si>
  <si>
    <t>SO0059</t>
  </si>
  <si>
    <t>Vivaan</t>
  </si>
  <si>
    <t>SO0060</t>
  </si>
  <si>
    <t>Karnataka</t>
  </si>
  <si>
    <t>Mangaluru</t>
  </si>
  <si>
    <t>SO0061</t>
  </si>
  <si>
    <t>SO0062</t>
  </si>
  <si>
    <t>SO0063</t>
  </si>
  <si>
    <t>SO0064</t>
  </si>
  <si>
    <t>Jodhpur</t>
  </si>
  <si>
    <t>SO0065</t>
  </si>
  <si>
    <t>SO0066</t>
  </si>
  <si>
    <t>Panipat</t>
  </si>
  <si>
    <t>SO0067</t>
  </si>
  <si>
    <t>Amritsar</t>
  </si>
  <si>
    <t>SO0068</t>
  </si>
  <si>
    <t>Jaipur</t>
  </si>
  <si>
    <t>SO0069</t>
  </si>
  <si>
    <t>SO0070</t>
  </si>
  <si>
    <t>New Delhi</t>
  </si>
  <si>
    <t>SO0071</t>
  </si>
  <si>
    <t>SO0072</t>
  </si>
  <si>
    <t>SO0073</t>
  </si>
  <si>
    <t>SO0074</t>
  </si>
  <si>
    <t>SO0075</t>
  </si>
  <si>
    <t>SO0076</t>
  </si>
  <si>
    <t>Goa</t>
  </si>
  <si>
    <t>Panaji</t>
  </si>
  <si>
    <t>SO0077</t>
  </si>
  <si>
    <t>SO0078</t>
  </si>
  <si>
    <t>SO0079</t>
  </si>
  <si>
    <t>Jalandhar</t>
  </si>
  <si>
    <t>SO0080</t>
  </si>
  <si>
    <t>SO0081</t>
  </si>
  <si>
    <t>SO0082</t>
  </si>
  <si>
    <t>SO0083</t>
  </si>
  <si>
    <t>SO0084</t>
  </si>
  <si>
    <t>Cuttack</t>
  </si>
  <si>
    <t>SO0085</t>
  </si>
  <si>
    <t>SO0086</t>
  </si>
  <si>
    <t>Margao</t>
  </si>
  <si>
    <t>SO0087</t>
  </si>
  <si>
    <t>SO0088</t>
  </si>
  <si>
    <t>SO0089</t>
  </si>
  <si>
    <t>Wearables</t>
  </si>
  <si>
    <t>SO0090</t>
  </si>
  <si>
    <t>Jamshedpur</t>
  </si>
  <si>
    <t>SO0091</t>
  </si>
  <si>
    <t>SO0092</t>
  </si>
  <si>
    <t>SO0093</t>
  </si>
  <si>
    <t>SO0094</t>
  </si>
  <si>
    <t>SO0095</t>
  </si>
  <si>
    <t>SO0096</t>
  </si>
  <si>
    <t>SO0097</t>
  </si>
  <si>
    <t>SO0098</t>
  </si>
  <si>
    <t>SO0099</t>
  </si>
  <si>
    <t>SO0100</t>
  </si>
  <si>
    <t>Kozhikode</t>
  </si>
  <si>
    <t>SO0101</t>
  </si>
  <si>
    <t>SO0102</t>
  </si>
  <si>
    <t>SO0103</t>
  </si>
  <si>
    <t>SO0104</t>
  </si>
  <si>
    <t>SO0105</t>
  </si>
  <si>
    <t>SO0106</t>
  </si>
  <si>
    <t>SO0107</t>
  </si>
  <si>
    <t>SO0108</t>
  </si>
  <si>
    <t>SO0109</t>
  </si>
  <si>
    <t>SO0110</t>
  </si>
  <si>
    <t>SO0111</t>
  </si>
  <si>
    <t>SO0112</t>
  </si>
  <si>
    <t>SO0113</t>
  </si>
  <si>
    <t>SO0114</t>
  </si>
  <si>
    <t>SO0115</t>
  </si>
  <si>
    <t>SO0116</t>
  </si>
  <si>
    <t>SO0117</t>
  </si>
  <si>
    <t>Nizamabad</t>
  </si>
  <si>
    <t>SO0118</t>
  </si>
  <si>
    <t>SO0119</t>
  </si>
  <si>
    <t>SO0120</t>
  </si>
  <si>
    <t>SO0121</t>
  </si>
  <si>
    <t>SO0122</t>
  </si>
  <si>
    <t>SO0123</t>
  </si>
  <si>
    <t>SO0124</t>
  </si>
  <si>
    <t>SO0125</t>
  </si>
  <si>
    <t>SO0126</t>
  </si>
  <si>
    <t>Rourkela</t>
  </si>
  <si>
    <t>SO0127</t>
  </si>
  <si>
    <t>Clothing</t>
  </si>
  <si>
    <t>SO0128</t>
  </si>
  <si>
    <t>Madurai</t>
  </si>
  <si>
    <t>SO0129</t>
  </si>
  <si>
    <t>SO0130</t>
  </si>
  <si>
    <t>SO0131</t>
  </si>
  <si>
    <t>SO0132</t>
  </si>
  <si>
    <t>SO0133</t>
  </si>
  <si>
    <t>SO0134</t>
  </si>
  <si>
    <t>SO0135</t>
  </si>
  <si>
    <t>SO0136</t>
  </si>
  <si>
    <t>SO0137</t>
  </si>
  <si>
    <t>SO0138</t>
  </si>
  <si>
    <t>Mysuru</t>
  </si>
  <si>
    <t>SO0139</t>
  </si>
  <si>
    <t>SO0140</t>
  </si>
  <si>
    <t>SO0141</t>
  </si>
  <si>
    <t>SO0142</t>
  </si>
  <si>
    <t>SO0143</t>
  </si>
  <si>
    <t>SO0144</t>
  </si>
  <si>
    <t>SO0145</t>
  </si>
  <si>
    <t>SO0146</t>
  </si>
  <si>
    <t>SO0147</t>
  </si>
  <si>
    <t>SO0148</t>
  </si>
  <si>
    <t>SO0149</t>
  </si>
  <si>
    <t>SO0150</t>
  </si>
  <si>
    <t>SO0151</t>
  </si>
  <si>
    <t>SO0152</t>
  </si>
  <si>
    <t>SO0153</t>
  </si>
  <si>
    <t>SO0154</t>
  </si>
  <si>
    <t>Bengaluru</t>
  </si>
  <si>
    <t>SO0155</t>
  </si>
  <si>
    <t>SO0156</t>
  </si>
  <si>
    <t>Indore</t>
  </si>
  <si>
    <t>SO0157</t>
  </si>
  <si>
    <t>SO0158</t>
  </si>
  <si>
    <t>SO0159</t>
  </si>
  <si>
    <t>SO0160</t>
  </si>
  <si>
    <t>SO0161</t>
  </si>
  <si>
    <t>SO0162</t>
  </si>
  <si>
    <t>SO0163</t>
  </si>
  <si>
    <t>SO0164</t>
  </si>
  <si>
    <t>SO0165</t>
  </si>
  <si>
    <t>SO0166</t>
  </si>
  <si>
    <t>SO0167</t>
  </si>
  <si>
    <t>SO0168</t>
  </si>
  <si>
    <t>SO0169</t>
  </si>
  <si>
    <t>SO0170</t>
  </si>
  <si>
    <t>SO0171</t>
  </si>
  <si>
    <t>SO0172</t>
  </si>
  <si>
    <t>SO0173</t>
  </si>
  <si>
    <t>SO0174</t>
  </si>
  <si>
    <t>SO0175</t>
  </si>
  <si>
    <t>SO0176</t>
  </si>
  <si>
    <t>SO0177</t>
  </si>
  <si>
    <t>SO0178</t>
  </si>
  <si>
    <t>SO0179</t>
  </si>
  <si>
    <t>SO0180</t>
  </si>
  <si>
    <t>SO0181</t>
  </si>
  <si>
    <t>SO0182</t>
  </si>
  <si>
    <t>Hyderabad</t>
  </si>
  <si>
    <t>SO0183</t>
  </si>
  <si>
    <t>SO0184</t>
  </si>
  <si>
    <t>SO0185</t>
  </si>
  <si>
    <t>SO0186</t>
  </si>
  <si>
    <t>SO0187</t>
  </si>
  <si>
    <t>SO0188</t>
  </si>
  <si>
    <t>SO0189</t>
  </si>
  <si>
    <t>SO0190</t>
  </si>
  <si>
    <t>SO0191</t>
  </si>
  <si>
    <t>SO0192</t>
  </si>
  <si>
    <t>SO0193</t>
  </si>
  <si>
    <t>SO0194</t>
  </si>
  <si>
    <t>SO0195</t>
  </si>
  <si>
    <t>SO0196</t>
  </si>
  <si>
    <t>SO0197</t>
  </si>
  <si>
    <t>SO0198</t>
  </si>
  <si>
    <t>SO0199</t>
  </si>
  <si>
    <t>SO0200</t>
  </si>
  <si>
    <t>SO0201</t>
  </si>
  <si>
    <t>SO0202</t>
  </si>
  <si>
    <t>SO0203</t>
  </si>
  <si>
    <t>SO0204</t>
  </si>
  <si>
    <t>SO0205</t>
  </si>
  <si>
    <t>SO0206</t>
  </si>
  <si>
    <t>SO0207</t>
  </si>
  <si>
    <t>SO0208</t>
  </si>
  <si>
    <t>SO0209</t>
  </si>
  <si>
    <t>SO0210</t>
  </si>
  <si>
    <t>SO0211</t>
  </si>
  <si>
    <t>SO0212</t>
  </si>
  <si>
    <t>SO0213</t>
  </si>
  <si>
    <t>SO0214</t>
  </si>
  <si>
    <t>SO0215</t>
  </si>
  <si>
    <t>SO0216</t>
  </si>
  <si>
    <t>SO0217</t>
  </si>
  <si>
    <t>SO0218</t>
  </si>
  <si>
    <t>SO0219</t>
  </si>
  <si>
    <t>SO0220</t>
  </si>
  <si>
    <t>SO0221</t>
  </si>
  <si>
    <t>SO0222</t>
  </si>
  <si>
    <t>SO0223</t>
  </si>
  <si>
    <t>SO0224</t>
  </si>
  <si>
    <t>SO0225</t>
  </si>
  <si>
    <t>SO0226</t>
  </si>
  <si>
    <t>SO0227</t>
  </si>
  <si>
    <t>SO0228</t>
  </si>
  <si>
    <t>SO0229</t>
  </si>
  <si>
    <t>SO0230</t>
  </si>
  <si>
    <t>SO0231</t>
  </si>
  <si>
    <t>SO0232</t>
  </si>
  <si>
    <t>SO0233</t>
  </si>
  <si>
    <t>SO0234</t>
  </si>
  <si>
    <t>SO0235</t>
  </si>
  <si>
    <t>SO0236</t>
  </si>
  <si>
    <t>SO0237</t>
  </si>
  <si>
    <t>SO0238</t>
  </si>
  <si>
    <t>SO0239</t>
  </si>
  <si>
    <t>SO0240</t>
  </si>
  <si>
    <t>SO0241</t>
  </si>
  <si>
    <t>SO0242</t>
  </si>
  <si>
    <t>SO0243</t>
  </si>
  <si>
    <t>SO0244</t>
  </si>
  <si>
    <t>SO0245</t>
  </si>
  <si>
    <t>SO0246</t>
  </si>
  <si>
    <t>SO0247</t>
  </si>
  <si>
    <t>SO0248</t>
  </si>
  <si>
    <t>SO0249</t>
  </si>
  <si>
    <t>SO0250</t>
  </si>
  <si>
    <t>SO0251</t>
  </si>
  <si>
    <t>SO0252</t>
  </si>
  <si>
    <t>SO0253</t>
  </si>
  <si>
    <t>SO0254</t>
  </si>
  <si>
    <t>SO0255</t>
  </si>
  <si>
    <t>SO0256</t>
  </si>
  <si>
    <t>SO0257</t>
  </si>
  <si>
    <t>SO0258</t>
  </si>
  <si>
    <t>SO0259</t>
  </si>
  <si>
    <t>SO0260</t>
  </si>
  <si>
    <t>SO0261</t>
  </si>
  <si>
    <t>SO0262</t>
  </si>
  <si>
    <t>SO0263</t>
  </si>
  <si>
    <t>SO0264</t>
  </si>
  <si>
    <t>SO0265</t>
  </si>
  <si>
    <t>SO0266</t>
  </si>
  <si>
    <t>SO0267</t>
  </si>
  <si>
    <t>SO0268</t>
  </si>
  <si>
    <t>SO0269</t>
  </si>
  <si>
    <t>SO0270</t>
  </si>
  <si>
    <t>SO0271</t>
  </si>
  <si>
    <t>SO0272</t>
  </si>
  <si>
    <t>SO0273</t>
  </si>
  <si>
    <t>SO0274</t>
  </si>
  <si>
    <t>SO0275</t>
  </si>
  <si>
    <t>SO0276</t>
  </si>
  <si>
    <t>SO0277</t>
  </si>
  <si>
    <t>SO0278</t>
  </si>
  <si>
    <t>SO0279</t>
  </si>
  <si>
    <t>SO0280</t>
  </si>
  <si>
    <t>SO0281</t>
  </si>
  <si>
    <t>SO0282</t>
  </si>
  <si>
    <t>SO0283</t>
  </si>
  <si>
    <t>SO0284</t>
  </si>
  <si>
    <t>SO0285</t>
  </si>
  <si>
    <t>SO0286</t>
  </si>
  <si>
    <t>SO0287</t>
  </si>
  <si>
    <t>SO0288</t>
  </si>
  <si>
    <t>SO0289</t>
  </si>
  <si>
    <t>SO0290</t>
  </si>
  <si>
    <t>SO0291</t>
  </si>
  <si>
    <t>SO0292</t>
  </si>
  <si>
    <t>SO0293</t>
  </si>
  <si>
    <t>SO0294</t>
  </si>
  <si>
    <t>SO0295</t>
  </si>
  <si>
    <t>SO0296</t>
  </si>
  <si>
    <t>SO0297</t>
  </si>
  <si>
    <t>SO0298</t>
  </si>
  <si>
    <t>SO0299</t>
  </si>
  <si>
    <t>SO0300</t>
  </si>
  <si>
    <t>SO0301</t>
  </si>
  <si>
    <t>SO0302</t>
  </si>
  <si>
    <t>SO0303</t>
  </si>
  <si>
    <t>SO0304</t>
  </si>
  <si>
    <t>SO0305</t>
  </si>
  <si>
    <t>SO0306</t>
  </si>
  <si>
    <t>SO0307</t>
  </si>
  <si>
    <t>SO0308</t>
  </si>
  <si>
    <t>SO0309</t>
  </si>
  <si>
    <t>SO0310</t>
  </si>
  <si>
    <t>SO0311</t>
  </si>
  <si>
    <t>SO0312</t>
  </si>
  <si>
    <t>SO0313</t>
  </si>
  <si>
    <t>Vasco da Gama</t>
  </si>
  <si>
    <t>SO0314</t>
  </si>
  <si>
    <t>SO0315</t>
  </si>
  <si>
    <t>SO0316</t>
  </si>
  <si>
    <t>SO0317</t>
  </si>
  <si>
    <t>SO0318</t>
  </si>
  <si>
    <t>SO0319</t>
  </si>
  <si>
    <t>SO0320</t>
  </si>
  <si>
    <t>SO0321</t>
  </si>
  <si>
    <t>SO0322</t>
  </si>
  <si>
    <t>SO0323</t>
  </si>
  <si>
    <t>SO0324</t>
  </si>
  <si>
    <t>SO0325</t>
  </si>
  <si>
    <t>SO0326</t>
  </si>
  <si>
    <t>SO0327</t>
  </si>
  <si>
    <t>SO0328</t>
  </si>
  <si>
    <t>SO0329</t>
  </si>
  <si>
    <t>SO0330</t>
  </si>
  <si>
    <t>SO0331</t>
  </si>
  <si>
    <t>SO0332</t>
  </si>
  <si>
    <t>SO0333</t>
  </si>
  <si>
    <t>SO0334</t>
  </si>
  <si>
    <t>SO0335</t>
  </si>
  <si>
    <t>SO0336</t>
  </si>
  <si>
    <t>SO0337</t>
  </si>
  <si>
    <t>SO0338</t>
  </si>
  <si>
    <t>SO0339</t>
  </si>
  <si>
    <t>SO0340</t>
  </si>
  <si>
    <t>SO0341</t>
  </si>
  <si>
    <t>SO0342</t>
  </si>
  <si>
    <t>SO0343</t>
  </si>
  <si>
    <t>SO0344</t>
  </si>
  <si>
    <t>SO0345</t>
  </si>
  <si>
    <t>SO0346</t>
  </si>
  <si>
    <t>SO0347</t>
  </si>
  <si>
    <t>SO0348</t>
  </si>
  <si>
    <t>SO0349</t>
  </si>
  <si>
    <t>SO0350</t>
  </si>
  <si>
    <t>SO0351</t>
  </si>
  <si>
    <t>SO0352</t>
  </si>
  <si>
    <t>SO0353</t>
  </si>
  <si>
    <t>SO0354</t>
  </si>
  <si>
    <t>SO0355</t>
  </si>
  <si>
    <t>SO0356</t>
  </si>
  <si>
    <t>SO0357</t>
  </si>
  <si>
    <t>SO0358</t>
  </si>
  <si>
    <t>SO0359</t>
  </si>
  <si>
    <t>SO0360</t>
  </si>
  <si>
    <t>SO0361</t>
  </si>
  <si>
    <t>SO0362</t>
  </si>
  <si>
    <t>SO0363</t>
  </si>
  <si>
    <t>SO0364</t>
  </si>
  <si>
    <t>SO0365</t>
  </si>
  <si>
    <t>SO0366</t>
  </si>
  <si>
    <t>SO0367</t>
  </si>
  <si>
    <t>SO0368</t>
  </si>
  <si>
    <t>SO0369</t>
  </si>
  <si>
    <t>SO0370</t>
  </si>
  <si>
    <t>SO0371</t>
  </si>
  <si>
    <t>SO0372</t>
  </si>
  <si>
    <t>SO0373</t>
  </si>
  <si>
    <t>SO0374</t>
  </si>
  <si>
    <t>SO0375</t>
  </si>
  <si>
    <t>SO0376</t>
  </si>
  <si>
    <t>SO0377</t>
  </si>
  <si>
    <t>SO0378</t>
  </si>
  <si>
    <t>SO0379</t>
  </si>
  <si>
    <t>SO0380</t>
  </si>
  <si>
    <t>SO0381</t>
  </si>
  <si>
    <t>SO0382</t>
  </si>
  <si>
    <t>SO0383</t>
  </si>
  <si>
    <t>SO0384</t>
  </si>
  <si>
    <t>SO0385</t>
  </si>
  <si>
    <t>SO0386</t>
  </si>
  <si>
    <t>SO0387</t>
  </si>
  <si>
    <t>SO0388</t>
  </si>
  <si>
    <t>SO0389</t>
  </si>
  <si>
    <t>SO0390</t>
  </si>
  <si>
    <t>SO0391</t>
  </si>
  <si>
    <t>SO0392</t>
  </si>
  <si>
    <t>SO0393</t>
  </si>
  <si>
    <t>SO0394</t>
  </si>
  <si>
    <t>SO0395</t>
  </si>
  <si>
    <t>SO0396</t>
  </si>
  <si>
    <t>SO0397</t>
  </si>
  <si>
    <t>SO0398</t>
  </si>
  <si>
    <t>SO0399</t>
  </si>
  <si>
    <t>SO0400</t>
  </si>
  <si>
    <t>SO0401</t>
  </si>
  <si>
    <t>SO0402</t>
  </si>
  <si>
    <t>SO0403</t>
  </si>
  <si>
    <t>SO0404</t>
  </si>
  <si>
    <t>SO0405</t>
  </si>
  <si>
    <t>SO0406</t>
  </si>
  <si>
    <t>SO0407</t>
  </si>
  <si>
    <t>SO0408</t>
  </si>
  <si>
    <t>SO0409</t>
  </si>
  <si>
    <t>SO0410</t>
  </si>
  <si>
    <t>SO0411</t>
  </si>
  <si>
    <t>SO0412</t>
  </si>
  <si>
    <t>SO0413</t>
  </si>
  <si>
    <t>SO0414</t>
  </si>
  <si>
    <t>SO0415</t>
  </si>
  <si>
    <t>SO0416</t>
  </si>
  <si>
    <t>SO0417</t>
  </si>
  <si>
    <t>SO0418</t>
  </si>
  <si>
    <t>SO0419</t>
  </si>
  <si>
    <t>SO0420</t>
  </si>
  <si>
    <t>SO0421</t>
  </si>
  <si>
    <t>SO0422</t>
  </si>
  <si>
    <t>SO0423</t>
  </si>
  <si>
    <t>SO0424</t>
  </si>
  <si>
    <t>SO0425</t>
  </si>
  <si>
    <t>SO0426</t>
  </si>
  <si>
    <t>SO0427</t>
  </si>
  <si>
    <t>SO0428</t>
  </si>
  <si>
    <t>SO0429</t>
  </si>
  <si>
    <t>SO0430</t>
  </si>
  <si>
    <t>SO0431</t>
  </si>
  <si>
    <t>SO0432</t>
  </si>
  <si>
    <t>SO0433</t>
  </si>
  <si>
    <t>SO0434</t>
  </si>
  <si>
    <t>SO0435</t>
  </si>
  <si>
    <t>SO0436</t>
  </si>
  <si>
    <t>SO0437</t>
  </si>
  <si>
    <t>SO0438</t>
  </si>
  <si>
    <t>SO0439</t>
  </si>
  <si>
    <t>SO0440</t>
  </si>
  <si>
    <t>SO0441</t>
  </si>
  <si>
    <t>SO0442</t>
  </si>
  <si>
    <t>SO0443</t>
  </si>
  <si>
    <t>SO0444</t>
  </si>
  <si>
    <t>SO0445</t>
  </si>
  <si>
    <t>SO0446</t>
  </si>
  <si>
    <t>SO0447</t>
  </si>
  <si>
    <t>SO0448</t>
  </si>
  <si>
    <t>SO0449</t>
  </si>
  <si>
    <t>SO0450</t>
  </si>
  <si>
    <t>SO0451</t>
  </si>
  <si>
    <t>SO0452</t>
  </si>
  <si>
    <t>SO0453</t>
  </si>
  <si>
    <t>SO0454</t>
  </si>
  <si>
    <t>SO0455</t>
  </si>
  <si>
    <t>SO0456</t>
  </si>
  <si>
    <t>SO0457</t>
  </si>
  <si>
    <t>SO0458</t>
  </si>
  <si>
    <t>SO0459</t>
  </si>
  <si>
    <t>SO0460</t>
  </si>
  <si>
    <t>SO0461</t>
  </si>
  <si>
    <t>SO0462</t>
  </si>
  <si>
    <t>SO0463</t>
  </si>
  <si>
    <t>SO0464</t>
  </si>
  <si>
    <t>SO0465</t>
  </si>
  <si>
    <t>SO0466</t>
  </si>
  <si>
    <t>SO0467</t>
  </si>
  <si>
    <t>SO0468</t>
  </si>
  <si>
    <t>SO0469</t>
  </si>
  <si>
    <t>SO0470</t>
  </si>
  <si>
    <t>SO0471</t>
  </si>
  <si>
    <t>SO0472</t>
  </si>
  <si>
    <t>SO0473</t>
  </si>
  <si>
    <t>SO0474</t>
  </si>
  <si>
    <t>SO0475</t>
  </si>
  <si>
    <t>SO0476</t>
  </si>
  <si>
    <t>SO0477</t>
  </si>
  <si>
    <t>SO0478</t>
  </si>
  <si>
    <t>SO0479</t>
  </si>
  <si>
    <t>SO0480</t>
  </si>
  <si>
    <t>SO0481</t>
  </si>
  <si>
    <t>SO0482</t>
  </si>
  <si>
    <t>SO0483</t>
  </si>
  <si>
    <t>SO0484</t>
  </si>
  <si>
    <t>SO0485</t>
  </si>
  <si>
    <t>SO0486</t>
  </si>
  <si>
    <t>SO0487</t>
  </si>
  <si>
    <t>SO0488</t>
  </si>
  <si>
    <t>SO0489</t>
  </si>
  <si>
    <t>SO0490</t>
  </si>
  <si>
    <t>SO0491</t>
  </si>
  <si>
    <t>SO0492</t>
  </si>
  <si>
    <t>SO0493</t>
  </si>
  <si>
    <t>SO0494</t>
  </si>
  <si>
    <t>SO0495</t>
  </si>
  <si>
    <t>SO0496</t>
  </si>
  <si>
    <t>SO0497</t>
  </si>
  <si>
    <t>SO0498</t>
  </si>
  <si>
    <t>SO0499</t>
  </si>
  <si>
    <t>SO0500</t>
  </si>
  <si>
    <t>SO0501</t>
  </si>
  <si>
    <t>SO0502</t>
  </si>
  <si>
    <t>SO0503</t>
  </si>
  <si>
    <t>SO0504</t>
  </si>
  <si>
    <t>SO0505</t>
  </si>
  <si>
    <t>SO0506</t>
  </si>
  <si>
    <t>SO0507</t>
  </si>
  <si>
    <t>SO0508</t>
  </si>
  <si>
    <t>SO0509</t>
  </si>
  <si>
    <t>SO0510</t>
  </si>
  <si>
    <t>SO0511</t>
  </si>
  <si>
    <t>SO0512</t>
  </si>
  <si>
    <t>SO0513</t>
  </si>
  <si>
    <t>SO0514</t>
  </si>
  <si>
    <t>SO0515</t>
  </si>
  <si>
    <t>SO0516</t>
  </si>
  <si>
    <t>SO0517</t>
  </si>
  <si>
    <t>SO0518</t>
  </si>
  <si>
    <t>SO0519</t>
  </si>
  <si>
    <t>SO0520</t>
  </si>
  <si>
    <t>SO0521</t>
  </si>
  <si>
    <t>SO0522</t>
  </si>
  <si>
    <t>SO0523</t>
  </si>
  <si>
    <t>SO0524</t>
  </si>
  <si>
    <t>SO0525</t>
  </si>
  <si>
    <t>SO0526</t>
  </si>
  <si>
    <t>SO0527</t>
  </si>
  <si>
    <t>SO0528</t>
  </si>
  <si>
    <t>SO0529</t>
  </si>
  <si>
    <t>SO0530</t>
  </si>
  <si>
    <t>SO0531</t>
  </si>
  <si>
    <t>SO0532</t>
  </si>
  <si>
    <t>SO0533</t>
  </si>
  <si>
    <t>SO0534</t>
  </si>
  <si>
    <t>SO0535</t>
  </si>
  <si>
    <t>SO0536</t>
  </si>
  <si>
    <t>SO0537</t>
  </si>
  <si>
    <t>SO0538</t>
  </si>
  <si>
    <t>SO0539</t>
  </si>
  <si>
    <t>SO0540</t>
  </si>
  <si>
    <t>SO0541</t>
  </si>
  <si>
    <t>SO0542</t>
  </si>
  <si>
    <t>SO0543</t>
  </si>
  <si>
    <t>SO0544</t>
  </si>
  <si>
    <t>SO0545</t>
  </si>
  <si>
    <t>SO0546</t>
  </si>
  <si>
    <t>SO0547</t>
  </si>
  <si>
    <t>SO0548</t>
  </si>
  <si>
    <t>SO0549</t>
  </si>
  <si>
    <t>SO0550</t>
  </si>
  <si>
    <t>SO0551</t>
  </si>
  <si>
    <t>SO0552</t>
  </si>
  <si>
    <t>SO0553</t>
  </si>
  <si>
    <t>SO0554</t>
  </si>
  <si>
    <t>SO0555</t>
  </si>
  <si>
    <t>SO0556</t>
  </si>
  <si>
    <t>SO0557</t>
  </si>
  <si>
    <t>SO0558</t>
  </si>
  <si>
    <t>SO0559</t>
  </si>
  <si>
    <t>SO0560</t>
  </si>
  <si>
    <t>SO0561</t>
  </si>
  <si>
    <t>SO0562</t>
  </si>
  <si>
    <t>SO0563</t>
  </si>
  <si>
    <t>SO0564</t>
  </si>
  <si>
    <t>SO0565</t>
  </si>
  <si>
    <t>SO0566</t>
  </si>
  <si>
    <t>SO0567</t>
  </si>
  <si>
    <t>SO0568</t>
  </si>
  <si>
    <t>SO0569</t>
  </si>
  <si>
    <t>SO0570</t>
  </si>
  <si>
    <t>SO0571</t>
  </si>
  <si>
    <t>SO0572</t>
  </si>
  <si>
    <t>SO0573</t>
  </si>
  <si>
    <t>SO0574</t>
  </si>
  <si>
    <t>SO0575</t>
  </si>
  <si>
    <t>SO0576</t>
  </si>
  <si>
    <t>SO0577</t>
  </si>
  <si>
    <t>SO0578</t>
  </si>
  <si>
    <t>SO0579</t>
  </si>
  <si>
    <t>SO0580</t>
  </si>
  <si>
    <t>SO0581</t>
  </si>
  <si>
    <t>SO0582</t>
  </si>
  <si>
    <t>SO0583</t>
  </si>
  <si>
    <t>SO0584</t>
  </si>
  <si>
    <t>SO0585</t>
  </si>
  <si>
    <t>SO0586</t>
  </si>
  <si>
    <t>SO0587</t>
  </si>
  <si>
    <t>SO0588</t>
  </si>
  <si>
    <t>SO0589</t>
  </si>
  <si>
    <t>SO0590</t>
  </si>
  <si>
    <t>SO0591</t>
  </si>
  <si>
    <t>SO0592</t>
  </si>
  <si>
    <t>SO0593</t>
  </si>
  <si>
    <t>SO0594</t>
  </si>
  <si>
    <t>SO0595</t>
  </si>
  <si>
    <t>SO0596</t>
  </si>
  <si>
    <t>SO0597</t>
  </si>
  <si>
    <t>SO0598</t>
  </si>
  <si>
    <t>SO0599</t>
  </si>
  <si>
    <t>SO0600</t>
  </si>
  <si>
    <t>SO0601</t>
  </si>
  <si>
    <t>SO0602</t>
  </si>
  <si>
    <t>SO0603</t>
  </si>
  <si>
    <t>SO0604</t>
  </si>
  <si>
    <t>SO0605</t>
  </si>
  <si>
    <t>SO0606</t>
  </si>
  <si>
    <t>SO0607</t>
  </si>
  <si>
    <t>SO0608</t>
  </si>
  <si>
    <t>SO0609</t>
  </si>
  <si>
    <t>SO0610</t>
  </si>
  <si>
    <t>SO0611</t>
  </si>
  <si>
    <t>SO0612</t>
  </si>
  <si>
    <t>SO0613</t>
  </si>
  <si>
    <t>SO0614</t>
  </si>
  <si>
    <t>SO0615</t>
  </si>
  <si>
    <t>SO0616</t>
  </si>
  <si>
    <t>SO0617</t>
  </si>
  <si>
    <t>SO0618</t>
  </si>
  <si>
    <t>SO0619</t>
  </si>
  <si>
    <t>SO0620</t>
  </si>
  <si>
    <t>SO0621</t>
  </si>
  <si>
    <t>SO0622</t>
  </si>
  <si>
    <t>SO0623</t>
  </si>
  <si>
    <t>SO0624</t>
  </si>
  <si>
    <t>SO0625</t>
  </si>
  <si>
    <t>SO0626</t>
  </si>
  <si>
    <t>SO0627</t>
  </si>
  <si>
    <t>SO0628</t>
  </si>
  <si>
    <t>SO0629</t>
  </si>
  <si>
    <t>SO0630</t>
  </si>
  <si>
    <t>SO0631</t>
  </si>
  <si>
    <t>SO0632</t>
  </si>
  <si>
    <t>SO0633</t>
  </si>
  <si>
    <t>SO0634</t>
  </si>
  <si>
    <t>SO0635</t>
  </si>
  <si>
    <t>SO0636</t>
  </si>
  <si>
    <t>SO0637</t>
  </si>
  <si>
    <t>SO0638</t>
  </si>
  <si>
    <t>SO0639</t>
  </si>
  <si>
    <t>SO0640</t>
  </si>
  <si>
    <t>SO0641</t>
  </si>
  <si>
    <t>SO0642</t>
  </si>
  <si>
    <t>SO0643</t>
  </si>
  <si>
    <t>SO0644</t>
  </si>
  <si>
    <t>SO0645</t>
  </si>
  <si>
    <t>SO0646</t>
  </si>
  <si>
    <t>SO0647</t>
  </si>
  <si>
    <t>SO0648</t>
  </si>
  <si>
    <t>SO0649</t>
  </si>
  <si>
    <t>SO0650</t>
  </si>
  <si>
    <t>SO0651</t>
  </si>
  <si>
    <t>SO0652</t>
  </si>
  <si>
    <t>SO0653</t>
  </si>
  <si>
    <t>SO0654</t>
  </si>
  <si>
    <t>SO0655</t>
  </si>
  <si>
    <t>SO0656</t>
  </si>
  <si>
    <t>SO0657</t>
  </si>
  <si>
    <t>SO0658</t>
  </si>
  <si>
    <t>SO0659</t>
  </si>
  <si>
    <t>SO0660</t>
  </si>
  <si>
    <t>SO0661</t>
  </si>
  <si>
    <t>SO0662</t>
  </si>
  <si>
    <t>SO0663</t>
  </si>
  <si>
    <t>SO0664</t>
  </si>
  <si>
    <t>SO0665</t>
  </si>
  <si>
    <t>SO0666</t>
  </si>
  <si>
    <t>SO0667</t>
  </si>
  <si>
    <t>SO0668</t>
  </si>
  <si>
    <t>SO0669</t>
  </si>
  <si>
    <t>SO0670</t>
  </si>
  <si>
    <t>SO0671</t>
  </si>
  <si>
    <t>SO0672</t>
  </si>
  <si>
    <t>SO0673</t>
  </si>
  <si>
    <t>SO0674</t>
  </si>
  <si>
    <t>SO0675</t>
  </si>
  <si>
    <t>SO0676</t>
  </si>
  <si>
    <t>SO0677</t>
  </si>
  <si>
    <t>SO0678</t>
  </si>
  <si>
    <t>SO0679</t>
  </si>
  <si>
    <t>SO0680</t>
  </si>
  <si>
    <t>SO0681</t>
  </si>
  <si>
    <t>SO0682</t>
  </si>
  <si>
    <t>SO0683</t>
  </si>
  <si>
    <t>SO0684</t>
  </si>
  <si>
    <t>SO0685</t>
  </si>
  <si>
    <t>SO0686</t>
  </si>
  <si>
    <t>SO0687</t>
  </si>
  <si>
    <t>SO0688</t>
  </si>
  <si>
    <t>SO0689</t>
  </si>
  <si>
    <t>SO0690</t>
  </si>
  <si>
    <t>SO0691</t>
  </si>
  <si>
    <t>SO0692</t>
  </si>
  <si>
    <t>SO0693</t>
  </si>
  <si>
    <t>SO0694</t>
  </si>
  <si>
    <t>SO0695</t>
  </si>
  <si>
    <t>SO0696</t>
  </si>
  <si>
    <t>SO0697</t>
  </si>
  <si>
    <t>SO0698</t>
  </si>
  <si>
    <t>SO0699</t>
  </si>
  <si>
    <t>SO0700</t>
  </si>
  <si>
    <t>SO0701</t>
  </si>
  <si>
    <t>SO0702</t>
  </si>
  <si>
    <t>SO0703</t>
  </si>
  <si>
    <t>SO0704</t>
  </si>
  <si>
    <t>SO0705</t>
  </si>
  <si>
    <t>SO0706</t>
  </si>
  <si>
    <t>SO0707</t>
  </si>
  <si>
    <t>SO0708</t>
  </si>
  <si>
    <t>SO0709</t>
  </si>
  <si>
    <t>SO0710</t>
  </si>
  <si>
    <t>SO0711</t>
  </si>
  <si>
    <t>SO0712</t>
  </si>
  <si>
    <t>SO0713</t>
  </si>
  <si>
    <t>SO0714</t>
  </si>
  <si>
    <t>SO0715</t>
  </si>
  <si>
    <t>SO0716</t>
  </si>
  <si>
    <t>SO0717</t>
  </si>
  <si>
    <t>SO0718</t>
  </si>
  <si>
    <t>SO0719</t>
  </si>
  <si>
    <t>SO0720</t>
  </si>
  <si>
    <t>SO0721</t>
  </si>
  <si>
    <t>SO0722</t>
  </si>
  <si>
    <t>SO0723</t>
  </si>
  <si>
    <t>SO0724</t>
  </si>
  <si>
    <t>SO0725</t>
  </si>
  <si>
    <t>SO0726</t>
  </si>
  <si>
    <t>SO0727</t>
  </si>
  <si>
    <t>SO0728</t>
  </si>
  <si>
    <t>SO0729</t>
  </si>
  <si>
    <t>SO0730</t>
  </si>
  <si>
    <t>SO0731</t>
  </si>
  <si>
    <t>SO0732</t>
  </si>
  <si>
    <t>SO0733</t>
  </si>
  <si>
    <t>SO0734</t>
  </si>
  <si>
    <t>SO0735</t>
  </si>
  <si>
    <t>SO0736</t>
  </si>
  <si>
    <t>SO0737</t>
  </si>
  <si>
    <t>SO0738</t>
  </si>
  <si>
    <t>SO0739</t>
  </si>
  <si>
    <t>SO0740</t>
  </si>
  <si>
    <t>SO0741</t>
  </si>
  <si>
    <t>SO0742</t>
  </si>
  <si>
    <t>SO0743</t>
  </si>
  <si>
    <t>SO0744</t>
  </si>
  <si>
    <t>SO0745</t>
  </si>
  <si>
    <t>SO0746</t>
  </si>
  <si>
    <t>SO0747</t>
  </si>
  <si>
    <t>SO0748</t>
  </si>
  <si>
    <t>SO0749</t>
  </si>
  <si>
    <t>SO0750</t>
  </si>
  <si>
    <t>SO0751</t>
  </si>
  <si>
    <t>SO0752</t>
  </si>
  <si>
    <t>SO0753</t>
  </si>
  <si>
    <t>SO0754</t>
  </si>
  <si>
    <t>SO0755</t>
  </si>
  <si>
    <t>SO0756</t>
  </si>
  <si>
    <t>SO0757</t>
  </si>
  <si>
    <t>SO0758</t>
  </si>
  <si>
    <t>SO0759</t>
  </si>
  <si>
    <t>SO0760</t>
  </si>
  <si>
    <t>SO0761</t>
  </si>
  <si>
    <t>SO0762</t>
  </si>
  <si>
    <t>SO0763</t>
  </si>
  <si>
    <t>SO0764</t>
  </si>
  <si>
    <t>SO0765</t>
  </si>
  <si>
    <t>SO0766</t>
  </si>
  <si>
    <t>SO0767</t>
  </si>
  <si>
    <t>SO0768</t>
  </si>
  <si>
    <t>SO0769</t>
  </si>
  <si>
    <t>SO0770</t>
  </si>
  <si>
    <t>SO0771</t>
  </si>
  <si>
    <t>SO0772</t>
  </si>
  <si>
    <t>SO0773</t>
  </si>
  <si>
    <t>SO0774</t>
  </si>
  <si>
    <t>SO0775</t>
  </si>
  <si>
    <t>SO0776</t>
  </si>
  <si>
    <t>SO0777</t>
  </si>
  <si>
    <t>SO0778</t>
  </si>
  <si>
    <t>SO0779</t>
  </si>
  <si>
    <t>SO0780</t>
  </si>
  <si>
    <t>SO0781</t>
  </si>
  <si>
    <t>SO0782</t>
  </si>
  <si>
    <t>SO0783</t>
  </si>
  <si>
    <t>SO0784</t>
  </si>
  <si>
    <t>SO0785</t>
  </si>
  <si>
    <t>SO0786</t>
  </si>
  <si>
    <t>SO0787</t>
  </si>
  <si>
    <t>SO0788</t>
  </si>
  <si>
    <t>SO0789</t>
  </si>
  <si>
    <t>SO0790</t>
  </si>
  <si>
    <t>SO0791</t>
  </si>
  <si>
    <t>SO0792</t>
  </si>
  <si>
    <t>SO0793</t>
  </si>
  <si>
    <t>SO0794</t>
  </si>
  <si>
    <t>SO0795</t>
  </si>
  <si>
    <t>SO0796</t>
  </si>
  <si>
    <t>SO0797</t>
  </si>
  <si>
    <t>SO0798</t>
  </si>
  <si>
    <t>SO0799</t>
  </si>
  <si>
    <t>SO0800</t>
  </si>
  <si>
    <t>SO0801</t>
  </si>
  <si>
    <t>SO0802</t>
  </si>
  <si>
    <t>SO0803</t>
  </si>
  <si>
    <t>SO0804</t>
  </si>
  <si>
    <t>SO0805</t>
  </si>
  <si>
    <t>SO0806</t>
  </si>
  <si>
    <t>SO0807</t>
  </si>
  <si>
    <t>SO0808</t>
  </si>
  <si>
    <t>SO0809</t>
  </si>
  <si>
    <t>SO0810</t>
  </si>
  <si>
    <t>SO0811</t>
  </si>
  <si>
    <t>SO0812</t>
  </si>
  <si>
    <t>SO0813</t>
  </si>
  <si>
    <t>SO0814</t>
  </si>
  <si>
    <t>SO0815</t>
  </si>
  <si>
    <t>SO0816</t>
  </si>
  <si>
    <t>SO0817</t>
  </si>
  <si>
    <t>SO0818</t>
  </si>
  <si>
    <t>SO0819</t>
  </si>
  <si>
    <t>SO0820</t>
  </si>
  <si>
    <t>SO0821</t>
  </si>
  <si>
    <t>SO0822</t>
  </si>
  <si>
    <t>SO0823</t>
  </si>
  <si>
    <t>SO0824</t>
  </si>
  <si>
    <t>SO0825</t>
  </si>
  <si>
    <t>SO0826</t>
  </si>
  <si>
    <t>SO0827</t>
  </si>
  <si>
    <t>SO0828</t>
  </si>
  <si>
    <t>SO0829</t>
  </si>
  <si>
    <t>SO0830</t>
  </si>
  <si>
    <t>SO0831</t>
  </si>
  <si>
    <t>SO0832</t>
  </si>
  <si>
    <t>SO0833</t>
  </si>
  <si>
    <t>SO0834</t>
  </si>
  <si>
    <t>SO0835</t>
  </si>
  <si>
    <t>SO0836</t>
  </si>
  <si>
    <t>SO0837</t>
  </si>
  <si>
    <t>SO0838</t>
  </si>
  <si>
    <t>SO0839</t>
  </si>
  <si>
    <t>SO0840</t>
  </si>
  <si>
    <t>SO0841</t>
  </si>
  <si>
    <t>SO0842</t>
  </si>
  <si>
    <t>SO0843</t>
  </si>
  <si>
    <t>SO0844</t>
  </si>
  <si>
    <t>SO0845</t>
  </si>
  <si>
    <t>SO0846</t>
  </si>
  <si>
    <t>SO0847</t>
  </si>
  <si>
    <t>SO0848</t>
  </si>
  <si>
    <t>SO0849</t>
  </si>
  <si>
    <t>SO0850</t>
  </si>
  <si>
    <t>SO0851</t>
  </si>
  <si>
    <t>SO0852</t>
  </si>
  <si>
    <t>SO0853</t>
  </si>
  <si>
    <t>SO0854</t>
  </si>
  <si>
    <t>SO0855</t>
  </si>
  <si>
    <t>SO0856</t>
  </si>
  <si>
    <t>SO0857</t>
  </si>
  <si>
    <t>SO0858</t>
  </si>
  <si>
    <t>SO0859</t>
  </si>
  <si>
    <t>SO0860</t>
  </si>
  <si>
    <t>SO0861</t>
  </si>
  <si>
    <t>SO0862</t>
  </si>
  <si>
    <t>SO0863</t>
  </si>
  <si>
    <t>SO0864</t>
  </si>
  <si>
    <t>SO0865</t>
  </si>
  <si>
    <t>SO0866</t>
  </si>
  <si>
    <t>SO0867</t>
  </si>
  <si>
    <t>SO0868</t>
  </si>
  <si>
    <t>SO0869</t>
  </si>
  <si>
    <t>SO0870</t>
  </si>
  <si>
    <t>SO0871</t>
  </si>
  <si>
    <t>SO0872</t>
  </si>
  <si>
    <t>SO0873</t>
  </si>
  <si>
    <t>SO0874</t>
  </si>
  <si>
    <t>SO0875</t>
  </si>
  <si>
    <t>SO0876</t>
  </si>
  <si>
    <t>SO0877</t>
  </si>
  <si>
    <t>SO0878</t>
  </si>
  <si>
    <t>SO0879</t>
  </si>
  <si>
    <t>SO0880</t>
  </si>
  <si>
    <t>SO0881</t>
  </si>
  <si>
    <t>SO0882</t>
  </si>
  <si>
    <t>SO0883</t>
  </si>
  <si>
    <t>SO0884</t>
  </si>
  <si>
    <t>SO0885</t>
  </si>
  <si>
    <t>SO0886</t>
  </si>
  <si>
    <t>SO0887</t>
  </si>
  <si>
    <t>SO0888</t>
  </si>
  <si>
    <t>SO0889</t>
  </si>
  <si>
    <t>SO0890</t>
  </si>
  <si>
    <t>SO0891</t>
  </si>
  <si>
    <t>SO0892</t>
  </si>
  <si>
    <t>SO0893</t>
  </si>
  <si>
    <t>SO0894</t>
  </si>
  <si>
    <t>SO0895</t>
  </si>
  <si>
    <t>SO0896</t>
  </si>
  <si>
    <t>SO0897</t>
  </si>
  <si>
    <t>SO0898</t>
  </si>
  <si>
    <t>SO0899</t>
  </si>
  <si>
    <t>SO0900</t>
  </si>
  <si>
    <t>SO0901</t>
  </si>
  <si>
    <t>SO0902</t>
  </si>
  <si>
    <t>SO0903</t>
  </si>
  <si>
    <t>SO0904</t>
  </si>
  <si>
    <t>SO0905</t>
  </si>
  <si>
    <t>SO0906</t>
  </si>
  <si>
    <t>SO0907</t>
  </si>
  <si>
    <t>SO0908</t>
  </si>
  <si>
    <t>SO0909</t>
  </si>
  <si>
    <t>SO0910</t>
  </si>
  <si>
    <t>SO0911</t>
  </si>
  <si>
    <t>SO0912</t>
  </si>
  <si>
    <t>SO0913</t>
  </si>
  <si>
    <t>SO0914</t>
  </si>
  <si>
    <t>SO0915</t>
  </si>
  <si>
    <t>SO0916</t>
  </si>
  <si>
    <t>SO0917</t>
  </si>
  <si>
    <t>SO0918</t>
  </si>
  <si>
    <t>SO0919</t>
  </si>
  <si>
    <t>SO0920</t>
  </si>
  <si>
    <t>SO0921</t>
  </si>
  <si>
    <t>SO0922</t>
  </si>
  <si>
    <t>SO0923</t>
  </si>
  <si>
    <t>SO0924</t>
  </si>
  <si>
    <t>SO0925</t>
  </si>
  <si>
    <t>SO0926</t>
  </si>
  <si>
    <t>SO0927</t>
  </si>
  <si>
    <t>SO0928</t>
  </si>
  <si>
    <t>SO0929</t>
  </si>
  <si>
    <t>SO0930</t>
  </si>
  <si>
    <t>SO0931</t>
  </si>
  <si>
    <t>SO0932</t>
  </si>
  <si>
    <t>SO0933</t>
  </si>
  <si>
    <t>SO0934</t>
  </si>
  <si>
    <t>SO0935</t>
  </si>
  <si>
    <t>SO0936</t>
  </si>
  <si>
    <t>SO0937</t>
  </si>
  <si>
    <t>SO0938</t>
  </si>
  <si>
    <t>SO0939</t>
  </si>
  <si>
    <t>SO0940</t>
  </si>
  <si>
    <t>SO0941</t>
  </si>
  <si>
    <t>SO0942</t>
  </si>
  <si>
    <t>SO0943</t>
  </si>
  <si>
    <t>SO0944</t>
  </si>
  <si>
    <t>SO0945</t>
  </si>
  <si>
    <t>SO0946</t>
  </si>
  <si>
    <t>SO0947</t>
  </si>
  <si>
    <t>SO0948</t>
  </si>
  <si>
    <t>SO0949</t>
  </si>
  <si>
    <t>SO0950</t>
  </si>
  <si>
    <t>SO0951</t>
  </si>
  <si>
    <t>SO0952</t>
  </si>
  <si>
    <t>SO0953</t>
  </si>
  <si>
    <t>SO0954</t>
  </si>
  <si>
    <t>SO0955</t>
  </si>
  <si>
    <t>SO0956</t>
  </si>
  <si>
    <t>SO0957</t>
  </si>
  <si>
    <t>SO0958</t>
  </si>
  <si>
    <t>SO0959</t>
  </si>
  <si>
    <t>SO0960</t>
  </si>
  <si>
    <t>SO0961</t>
  </si>
  <si>
    <t>SO0962</t>
  </si>
  <si>
    <t>SO0963</t>
  </si>
  <si>
    <t>SO0964</t>
  </si>
  <si>
    <t>SO0965</t>
  </si>
  <si>
    <t>SO0966</t>
  </si>
  <si>
    <t>SO0967</t>
  </si>
  <si>
    <t>SO0968</t>
  </si>
  <si>
    <t>SO0969</t>
  </si>
  <si>
    <t>SO0970</t>
  </si>
  <si>
    <t>SO0971</t>
  </si>
  <si>
    <t>SO0972</t>
  </si>
  <si>
    <t>SO0973</t>
  </si>
  <si>
    <t>SO0974</t>
  </si>
  <si>
    <t>SO0975</t>
  </si>
  <si>
    <t>SO0976</t>
  </si>
  <si>
    <t>SO0977</t>
  </si>
  <si>
    <t>SO0978</t>
  </si>
  <si>
    <t>SO0979</t>
  </si>
  <si>
    <t>SO0980</t>
  </si>
  <si>
    <t>SO0981</t>
  </si>
  <si>
    <t>SO0982</t>
  </si>
  <si>
    <t>SO0983</t>
  </si>
  <si>
    <t>SO0984</t>
  </si>
  <si>
    <t>SO0985</t>
  </si>
  <si>
    <t>SO0986</t>
  </si>
  <si>
    <t>SO0987</t>
  </si>
  <si>
    <t>SO0988</t>
  </si>
  <si>
    <t>SO0989</t>
  </si>
  <si>
    <t>SO0990</t>
  </si>
  <si>
    <t>SO0991</t>
  </si>
  <si>
    <t>SO0992</t>
  </si>
  <si>
    <t>SO0993</t>
  </si>
  <si>
    <t>SO0994</t>
  </si>
  <si>
    <t>SO0995</t>
  </si>
  <si>
    <t>SO0996</t>
  </si>
  <si>
    <t>SO0997</t>
  </si>
  <si>
    <t>SO0998</t>
  </si>
  <si>
    <t>SO0999</t>
  </si>
  <si>
    <t>SO1000</t>
  </si>
  <si>
    <t>KPI CARDS</t>
  </si>
  <si>
    <t>TOTAL SALES</t>
  </si>
  <si>
    <t>TOTAL PROFIT</t>
  </si>
  <si>
    <t>TOTAL ORDERS</t>
  </si>
  <si>
    <t>TOTAL QUANTITY</t>
  </si>
  <si>
    <t>AVG DISCOUNT</t>
  </si>
  <si>
    <t>Top Salesperson</t>
  </si>
  <si>
    <t>Sum of Sales</t>
  </si>
  <si>
    <t>Sum of Profit</t>
  </si>
  <si>
    <t>Count of Order ID</t>
  </si>
  <si>
    <t>Sum of Quantity</t>
  </si>
  <si>
    <t>Average of Discount</t>
  </si>
  <si>
    <t>Grand Total</t>
  </si>
  <si>
    <t>CHARTS</t>
  </si>
  <si>
    <t>Report 1</t>
  </si>
  <si>
    <t>Report 2</t>
  </si>
  <si>
    <t>Report 3</t>
  </si>
  <si>
    <t>Sales over Time</t>
  </si>
  <si>
    <t>Sales by Category</t>
  </si>
  <si>
    <t>Sales by Region</t>
  </si>
  <si>
    <t>Report 4</t>
  </si>
  <si>
    <t>Report 5</t>
  </si>
  <si>
    <t>Report 6</t>
  </si>
  <si>
    <t>Top 10 Products by Sales</t>
  </si>
  <si>
    <t xml:space="preserve">Sales by Customer Segment </t>
  </si>
  <si>
    <t>Top 10 Sales Persons</t>
  </si>
  <si>
    <t>Sales.</t>
  </si>
  <si>
    <t>Profit.</t>
  </si>
  <si>
    <t xml:space="preserve">Order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</si>
</sst>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_);[Red]\(&quot;₹&quot;#,##0\)"/>
    <numFmt numFmtId="181" formatCode="0_ "/>
    <numFmt numFmtId="182" formatCode="dd/mm/yyyy"/>
    <numFmt numFmtId="183" formatCode="yyyy/mm/dd"/>
    <numFmt numFmtId="184" formatCode="yyyy/mm/dd"/>
    <numFmt numFmtId="185" formatCode="yyyy/mm/dd"/>
    <numFmt numFmtId="186" formatCode="yyyy/mm/dd"/>
    <numFmt numFmtId="187" formatCode="yyyy/mm/dd"/>
    <numFmt numFmtId="188" formatCode="yyyy/mm/dd"/>
    <numFmt numFmtId="189" formatCode="yyyy/mm/dd"/>
    <numFmt numFmtId="190" formatCode="yyyy/mm/dd"/>
    <numFmt numFmtId="191" formatCode="yyyy/mm/dd"/>
    <numFmt numFmtId="192" formatCode="yyyy/mm/dd"/>
    <numFmt numFmtId="193" formatCode="yyyy/mm/dd"/>
    <numFmt numFmtId="194" formatCode="yyyy/mm/dd"/>
    <numFmt numFmtId="195" formatCode="yyyy/mm/dd"/>
  </numFmts>
  <fonts count="26">
    <font>
      <sz val="11"/>
      <color theme="1"/>
      <name val="Calibri"/>
      <charset val="134"/>
      <scheme val="minor"/>
    </font>
    <font>
      <sz val="11"/>
      <color theme="4" tint="-0.25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4" fillId="3" borderId="0" xfId="0" applyFont="1" applyFill="1"/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80" fontId="0" fillId="0" borderId="0" xfId="0" applyNumberFormat="1"/>
    <xf numFmtId="181" fontId="0" fillId="0" borderId="0" xfId="0" applyNumberFormat="1"/>
    <xf numFmtId="10" fontId="0" fillId="0" borderId="0" xfId="0" applyNumberFormat="1"/>
    <xf numFmtId="0" fontId="5" fillId="4" borderId="0" xfId="0" applyFont="1" applyFill="1"/>
    <xf numFmtId="0" fontId="3" fillId="5" borderId="0" xfId="0" applyFont="1" applyFill="1" applyAlignment="1"/>
    <xf numFmtId="0" fontId="0" fillId="5" borderId="0" xfId="0" applyFill="1"/>
    <xf numFmtId="180" fontId="0" fillId="5" borderId="0" xfId="0" applyNumberFormat="1" applyFill="1"/>
    <xf numFmtId="182" fontId="0" fillId="0" borderId="0" xfId="0" applyNumberFormat="1"/>
    <xf numFmtId="0" fontId="6" fillId="6" borderId="1" xfId="0" applyFont="1" applyFill="1" applyBorder="1" applyAlignment="1">
      <alignment horizontal="center" vertical="top"/>
    </xf>
    <xf numFmtId="182" fontId="6" fillId="6" borderId="1" xfId="0" applyNumberFormat="1" applyFont="1" applyFill="1" applyBorder="1" applyAlignment="1">
      <alignment horizontal="center" vertical="top"/>
    </xf>
    <xf numFmtId="0" fontId="6" fillId="6" borderId="1" xfId="0" applyFont="1" applyFill="1" applyBorder="1"/>
    <xf numFmtId="0" fontId="0" fillId="0" borderId="1" xfId="0" applyBorder="1" applyAlignment="1">
      <alignment horizontal="center"/>
    </xf>
    <xf numFmtId="182" fontId="0" fillId="0" borderId="1" xfId="0" applyNumberFormat="1" applyBorder="1" applyAlignment="1">
      <alignment horizontal="center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3">
    <dxf>
      <numFmt numFmtId="196" formatCode="_-[$$-409]* #,##0.00_ ;_-[$$-409]* \-#,##0.00\ ;_-[$$-409]* &quot;-&quot;??_ ;_-@_ "/>
    </dxf>
    <dxf>
      <numFmt numFmtId="197" formatCode="_-[$$-409]* #,##0.0_ ;_-[$$-409]* \-#,##0.0\ ;_-[$$-409]* &quot;-&quot;??_ ;_-@_ "/>
    </dxf>
    <dxf>
      <numFmt numFmtId="198" formatCode="_-[$$-409]* #,##0_ ;_-[$$-409]* \-#,##0\ ;_-[$$-409]* &quot;-&quot;??_ ;_-@_ "/>
    </dxf>
    <dxf>
      <numFmt numFmtId="199" formatCode="&quot;₹&quot;#,##0.00_);[Red]\(&quot;₹&quot;#,##0.00\)"/>
    </dxf>
    <dxf>
      <numFmt numFmtId="200" formatCode="&quot;₹&quot;#,##0.00_);[Red]\(&quot;₹&quot;#,##0.00\)"/>
    </dxf>
    <dxf>
      <numFmt numFmtId="201" formatCode="&quot;₹&quot;#,##0.0_);[Red]\(&quot;₹&quot;#,##0.0\)"/>
    </dxf>
    <dxf>
      <numFmt numFmtId="180" formatCode="&quot;₹&quot;#,##0_);[Red]\(&quot;₹&quot;#,##0\)"/>
    </dxf>
    <dxf>
      <numFmt numFmtId="202" formatCode="0.0_ "/>
    </dxf>
    <dxf>
      <numFmt numFmtId="181" formatCode="0_ "/>
    </dxf>
    <dxf>
      <numFmt numFmtId="203" formatCode="_-[$$-409]* #,##0.00_ ;_-[$$-409]* \-#,##0.00\ ;_-[$$-409]* &quot;-&quot;??_ ;_-@_ "/>
    </dxf>
    <dxf>
      <numFmt numFmtId="204" formatCode="_-[$$-409]* #,##0.0_ ;_-[$$-409]* \-#,##0.0\ ;_-[$$-409]* &quot;-&quot;??_ ;_-@_ "/>
    </dxf>
    <dxf>
      <numFmt numFmtId="205" formatCode="_-[$$-409]* #,##0_ ;_-[$$-409]* \-#,##0\ ;_-[$$-409]* &quot;-&quot;??_ ;_-@_ "/>
    </dxf>
    <dxf>
      <numFmt numFmtId="206" formatCode="&quot;₹&quot;#,##0.00_);[Red]\(&quot;₹&quot;#,##0.00\)"/>
    </dxf>
    <dxf>
      <numFmt numFmtId="207" formatCode="&quot;₹&quot;#,##0.00_);[Red]\(&quot;₹&quot;#,##0.00\)"/>
    </dxf>
    <dxf>
      <numFmt numFmtId="208" formatCode="&quot;₹&quot;#,##0.0_);[Red]\(&quot;₹&quot;#,##0.0\)"/>
    </dxf>
    <dxf>
      <numFmt numFmtId="180" formatCode="&quot;₹&quot;#,##0_);[Red]\(&quot;₹&quot;#,##0\)"/>
    </dxf>
    <dxf>
      <numFmt numFmtId="209" formatCode="0.0_ "/>
    </dxf>
    <dxf>
      <numFmt numFmtId="181" formatCode="0_ "/>
    </dxf>
    <dxf>
      <numFmt numFmtId="210" formatCode="0.0_ "/>
    </dxf>
    <dxf>
      <numFmt numFmtId="181" formatCode="0_ "/>
    </dxf>
    <dxf>
      <numFmt numFmtId="211" formatCode="0.0_ "/>
    </dxf>
    <dxf>
      <numFmt numFmtId="212" formatCode="0.00_ "/>
    </dxf>
    <dxf>
      <numFmt numFmtId="213" formatCode="0.000_ "/>
    </dxf>
    <dxf>
      <numFmt numFmtId="214" formatCode="0.0000_ "/>
    </dxf>
    <dxf>
      <numFmt numFmtId="215" formatCode="0.00000_ "/>
    </dxf>
    <dxf>
      <numFmt numFmtId="216" formatCode="0.0000_ "/>
    </dxf>
    <dxf>
      <numFmt numFmtId="217" formatCode="0.000_ "/>
    </dxf>
    <dxf>
      <numFmt numFmtId="218" formatCode="0.00_ "/>
    </dxf>
    <dxf>
      <numFmt numFmtId="219" formatCode="0.000_ "/>
    </dxf>
    <dxf>
      <numFmt numFmtId="0" formatCode="General"/>
    </dxf>
    <dxf>
      <numFmt numFmtId="10" formatCode="0.00%"/>
    </dxf>
    <dxf>
      <numFmt numFmtId="220" formatCode="0.0%"/>
    </dxf>
    <dxf>
      <numFmt numFmtId="10" formatCode="0.00%"/>
    </dxf>
    <dxf>
      <numFmt numFmtId="221" formatCode="0.000%"/>
    </dxf>
    <dxf>
      <numFmt numFmtId="10" formatCode="0.00%"/>
    </dxf>
    <dxf>
      <numFmt numFmtId="222" formatCode="_-[$$-409]* #,##0.00_ ;_-[$$-409]* \-#,##0.00\ ;_-[$$-409]* &quot;-&quot;??_ ;_-@_ "/>
    </dxf>
    <dxf>
      <numFmt numFmtId="223" formatCode="_-[$$-409]* #,##0.0_ ;_-[$$-409]* \-#,##0.0\ ;_-[$$-409]* &quot;-&quot;??_ ;_-@_ "/>
    </dxf>
    <dxf>
      <numFmt numFmtId="224" formatCode="_-[$$-409]* #,##0_ ;_-[$$-409]* \-#,##0\ ;_-[$$-409]* &quot;-&quot;??_ ;_-@_ "/>
    </dxf>
    <dxf>
      <numFmt numFmtId="225" formatCode="&quot;₹&quot;#,##0.00_);[Red]\(&quot;₹&quot;#,##0.00\)"/>
    </dxf>
    <dxf>
      <numFmt numFmtId="226" formatCode="&quot;₹&quot;#,##0.00_);[Red]\(&quot;₹&quot;#,##0.00\)"/>
    </dxf>
    <dxf>
      <numFmt numFmtId="227" formatCode="&quot;₹&quot;#,##0.0_);[Red]\(&quot;₹&quot;#,##0.0\)"/>
    </dxf>
    <dxf>
      <numFmt numFmtId="180" formatCode="&quot;₹&quot;#,##0_);[Red]\(&quot;₹&quot;#,##0\)"/>
    </dxf>
    <dxf>
      <numFmt numFmtId="228" formatCode="_-[$$-409]* #,##0.00_ ;_-[$$-409]* \-#,##0.00\ ;_-[$$-409]* &quot;-&quot;??_ ;_-@_ "/>
    </dxf>
    <dxf>
      <numFmt numFmtId="229" formatCode="_-[$$-409]* #,##0.0_ ;_-[$$-409]* \-#,##0.0\ ;_-[$$-409]* &quot;-&quot;??_ ;_-@_ "/>
    </dxf>
    <dxf>
      <numFmt numFmtId="230" formatCode="_-[$$-409]* #,##0_ ;_-[$$-409]* \-#,##0\ ;_-[$$-409]* &quot;-&quot;??_ ;_-@_ "/>
    </dxf>
    <dxf>
      <numFmt numFmtId="231" formatCode="&quot;₹&quot;#,##0.00_);[Red]\(&quot;₹&quot;#,##0.00\)"/>
    </dxf>
    <dxf>
      <numFmt numFmtId="232" formatCode="&quot;₹&quot;#,##0.00_);[Red]\(&quot;₹&quot;#,##0.00\)"/>
    </dxf>
    <dxf>
      <numFmt numFmtId="233" formatCode="&quot;₹&quot;#,##0.0_);[Red]\(&quot;₹&quot;#,##0.0\)"/>
    </dxf>
    <dxf>
      <numFmt numFmtId="180" formatCode="&quot;₹&quot;#,##0_);[Red]\(&quot;₹&quot;#,##0\)"/>
    </dxf>
    <dxf>
      <numFmt numFmtId="234" formatCode="_-[$$-409]* #,##0.00_ ;_-[$$-409]* \-#,##0.00\ ;_-[$$-409]* &quot;-&quot;??_ ;_-@_ "/>
    </dxf>
    <dxf>
      <numFmt numFmtId="235" formatCode="_-[$$-409]* #,##0.0_ ;_-[$$-409]* \-#,##0.0\ ;_-[$$-409]* &quot;-&quot;??_ ;_-@_ "/>
    </dxf>
    <dxf>
      <numFmt numFmtId="236" formatCode="_-[$$-409]* #,##0_ ;_-[$$-409]* \-#,##0\ ;_-[$$-409]* &quot;-&quot;??_ ;_-@_ "/>
    </dxf>
    <dxf>
      <numFmt numFmtId="237" formatCode="&quot;₹&quot;#,##0.00_);[Red]\(&quot;₹&quot;#,##0.00\)"/>
    </dxf>
    <dxf>
      <numFmt numFmtId="238" formatCode="&quot;₹&quot;#,##0.00_);[Red]\(&quot;₹&quot;#,##0.00\)"/>
    </dxf>
    <dxf>
      <numFmt numFmtId="239" formatCode="&quot;₹&quot;#,##0.0_);[Red]\(&quot;₹&quot;#,##0.0\)"/>
    </dxf>
    <dxf>
      <numFmt numFmtId="180" formatCode="&quot;₹&quot;#,##0_);[Red]\(&quot;₹&quot;#,##0\)"/>
    </dxf>
    <dxf>
      <numFmt numFmtId="240" formatCode="_-[$$-409]* #,##0.00_ ;_-[$$-409]* \-#,##0.00\ ;_-[$$-409]* &quot;-&quot;??_ ;_-@_ "/>
    </dxf>
    <dxf>
      <numFmt numFmtId="241" formatCode="_-[$$-409]* #,##0.0_ ;_-[$$-409]* \-#,##0.0\ ;_-[$$-409]* &quot;-&quot;??_ ;_-@_ "/>
    </dxf>
    <dxf>
      <numFmt numFmtId="242" formatCode="_-[$$-409]* #,##0_ ;_-[$$-409]* \-#,##0\ ;_-[$$-409]* &quot;-&quot;??_ ;_-@_ "/>
    </dxf>
    <dxf>
      <numFmt numFmtId="243" formatCode="&quot;₹&quot;#,##0.00_);[Red]\(&quot;₹&quot;#,##0.00\)"/>
    </dxf>
    <dxf>
      <numFmt numFmtId="244" formatCode="&quot;₹&quot;#,##0.00_);[Red]\(&quot;₹&quot;#,##0.00\)"/>
    </dxf>
    <dxf>
      <numFmt numFmtId="245" formatCode="&quot;₹&quot;#,##0.0_);[Red]\(&quot;₹&quot;#,##0.0\)"/>
    </dxf>
    <dxf>
      <numFmt numFmtId="180" formatCode="&quot;₹&quot;#,##0_);[Red]\(&quot;₹&quot;#,##0\)"/>
    </dxf>
    <dxf>
      <numFmt numFmtId="246" formatCode="_-[$$-409]* #,##0.00_ ;_-[$$-409]* \-#,##0.00\ ;_-[$$-409]* &quot;-&quot;??_ ;_-@_ "/>
    </dxf>
    <dxf>
      <numFmt numFmtId="247" formatCode="_-[$$-409]* #,##0.0_ ;_-[$$-409]* \-#,##0.0\ ;_-[$$-409]* &quot;-&quot;??_ ;_-@_ "/>
    </dxf>
    <dxf>
      <numFmt numFmtId="248" formatCode="_-[$$-409]* #,##0_ ;_-[$$-409]* \-#,##0\ ;_-[$$-409]* &quot;-&quot;??_ ;_-@_ "/>
    </dxf>
    <dxf>
      <numFmt numFmtId="249" formatCode="&quot;₹&quot;#,##0.00_);[Red]\(&quot;₹&quot;#,##0.00\)"/>
    </dxf>
    <dxf>
      <numFmt numFmtId="250" formatCode="&quot;₹&quot;#,##0.00_);[Red]\(&quot;₹&quot;#,##0.00\)"/>
    </dxf>
    <dxf>
      <numFmt numFmtId="251" formatCode="&quot;₹&quot;#,##0.0_);[Red]\(&quot;₹&quot;#,##0.0\)"/>
    </dxf>
    <dxf>
      <numFmt numFmtId="180" formatCode="&quot;₹&quot;#,##0_);[Red]\(&quot;₹&quot;#,##0\)"/>
    </dxf>
    <dxf>
      <numFmt numFmtId="252" formatCode="0.0_ "/>
    </dxf>
    <dxf>
      <numFmt numFmtId="181" formatCode="0_ "/>
    </dxf>
    <dxf>
      <numFmt numFmtId="253" formatCode="_ [$₹-4009]* #,##0.00_ ;_ [$₹-4009]* \-#,##0.00_ ;_ [$₹-4009]* &quot;-&quot;??_ ;_ @_ "/>
    </dxf>
    <dxf>
      <numFmt numFmtId="254" formatCode="_ [$₹-4009]* #,##0.0_ ;_ [$₹-4009]* \-#,##0.0_ ;_ [$₹-4009]* &quot;-&quot;??_ ;_ @_ "/>
    </dxf>
    <dxf>
      <numFmt numFmtId="255" formatCode="_ [$₹-4009]* #,##0_ ;_ [$₹-4009]* \-#,##0_ ;_ [$₹-4009]* &quot;-&quot;??_ ;_ @_ "/>
    </dxf>
    <dxf>
      <numFmt numFmtId="256" formatCode="_ [$₹-4009]* #,##0.00_ ;_ [$₹-4009]* \-#,##0.00_ ;_ [$₹-4009]* &quot;-&quot;??_ ;_ @_ "/>
    </dxf>
    <dxf>
      <numFmt numFmtId="257" formatCode="&quot;₹&quot;#,##0.00_);[Red]\(&quot;₹&quot;#,##0.00\)"/>
    </dxf>
    <dxf>
      <numFmt numFmtId="258" formatCode="&quot;₹&quot;#,##0.0_);[Red]\(&quot;₹&quot;#,##0.0\)"/>
    </dxf>
    <dxf>
      <numFmt numFmtId="180" formatCode="&quot;₹&quot;#,##0_);[Red]\(&quot;₹&quot;#,##0\)"/>
    </dxf>
    <dxf>
      <numFmt numFmtId="259" formatCode="_-[$$-409]* #,##0.00_ ;_-[$$-409]* \-#,##0.00\ ;_-[$$-409]* &quot;-&quot;??_ ;_-@_ "/>
    </dxf>
    <dxf>
      <numFmt numFmtId="260" formatCode="_-[$$-409]* #,##0.0_ ;_-[$$-409]* \-#,##0.0\ ;_-[$$-409]* &quot;-&quot;??_ ;_-@_ "/>
    </dxf>
    <dxf>
      <numFmt numFmtId="261" formatCode="_-[$$-409]* #,##0_ ;_-[$$-409]* \-#,##0\ ;_-[$$-409]* &quot;-&quot;??_ ;_-@_ "/>
    </dxf>
    <dxf>
      <numFmt numFmtId="262" formatCode="&quot;₹&quot;#,##0.00_);[Red]\(&quot;₹&quot;#,##0.00\)"/>
    </dxf>
    <dxf>
      <numFmt numFmtId="263" formatCode="&quot;₹&quot;#,##0.00_);[Red]\(&quot;₹&quot;#,##0.00\)"/>
    </dxf>
    <dxf>
      <numFmt numFmtId="264" formatCode="&quot;₹&quot;#,##0.0_);[Red]\(&quot;₹&quot;#,##0.0\)"/>
    </dxf>
    <dxf>
      <numFmt numFmtId="180" formatCode="&quot;₹&quot;#,##0_);[Red]\(&quot;₹&quot;#,##0\)"/>
    </dxf>
    <dxf>
      <numFmt numFmtId="0" formatCode="General"/>
    </dxf>
    <dxf>
      <numFmt numFmtId="0" formatCode="General"/>
    </dxf>
    <dxf>
      <alignment vertical="center"/>
    </dxf>
    <dxf>
      <alignment vertical="center"/>
    </dxf>
    <dxf>
      <alignment horizontal="center"/>
    </dxf>
    <dxf>
      <numFmt numFmtId="265" formatCode="_-[$$-409]* #,##0.00_ ;_-[$$-409]* \-#,##0.00\ ;_-[$$-409]* &quot;-&quot;??_ ;_-@_ "/>
    </dxf>
    <dxf>
      <numFmt numFmtId="266" formatCode="_-[$$-409]* #,##0.0_ ;_-[$$-409]* \-#,##0.0\ ;_-[$$-409]* &quot;-&quot;??_ ;_-@_ "/>
    </dxf>
    <dxf>
      <numFmt numFmtId="267" formatCode="_-[$$-409]* #,##0_ ;_-[$$-409]* \-#,##0\ ;_-[$$-409]* &quot;-&quot;??_ ;_-@_ "/>
    </dxf>
    <dxf>
      <numFmt numFmtId="268" formatCode="&quot;₹&quot;#,##0.00_);[Red]\(&quot;₹&quot;#,##0.00\)"/>
    </dxf>
    <dxf>
      <numFmt numFmtId="269" formatCode="&quot;₹&quot;#,##0.00_);[Red]\(&quot;₹&quot;#,##0.00\)"/>
    </dxf>
    <dxf>
      <numFmt numFmtId="270" formatCode="&quot;₹&quot;#,##0.0_);[Red]\(&quot;₹&quot;#,##0.0\)"/>
    </dxf>
    <dxf>
      <numFmt numFmtId="180" formatCode="&quot;₹&quot;#,##0_);[Red]\(&quot;₹&quot;#,##0\)"/>
    </dxf>
    <dxf>
      <numFmt numFmtId="0" formatCode="General"/>
    </dxf>
    <dxf>
      <numFmt numFmtId="0" formatCode="General"/>
    </dxf>
    <dxf>
      <alignment vertical="center"/>
    </dxf>
    <dxf>
      <alignment vertic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5.xml"/><Relationship Id="rId8" Type="http://schemas.microsoft.com/office/2007/relationships/slicerCache" Target="slicerCaches/slicerCache4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7.xml"/><Relationship Id="rId10" Type="http://schemas.microsoft.com/office/2007/relationships/slicerCache" Target="slicerCaches/slicerCache6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[Sales_Dashboard.xlsx]Summary!PivotTable7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sz="1200">
                <a:ln>
                  <a:noFill/>
                </a:ln>
                <a:solidFill>
                  <a:sysClr val="windowText" lastClr="000000"/>
                </a:solidFill>
              </a:rPr>
              <a:t>SALES OVER TIME</a:t>
            </a:r>
            <a:endParaRPr sz="1200">
              <a:ln>
                <a:noFill/>
              </a:ln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0555555555555556"/>
          <c:y val="0.02202643171806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Summary!$D$10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Summary!$C$11:$C$23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Summary!$D$11:$D$23</c:f>
              <c:numCache>
                <c:formatCode>"₹"#,##0_);[Red]\("₹"#,##0\)</c:formatCode>
                <c:ptCount val="12"/>
                <c:pt idx="0">
                  <c:v>18420750</c:v>
                </c:pt>
                <c:pt idx="1">
                  <c:v>14329775</c:v>
                </c:pt>
                <c:pt idx="2">
                  <c:v>17427060</c:v>
                </c:pt>
                <c:pt idx="3">
                  <c:v>13301535</c:v>
                </c:pt>
                <c:pt idx="4">
                  <c:v>12363110</c:v>
                </c:pt>
                <c:pt idx="5">
                  <c:v>9223440</c:v>
                </c:pt>
                <c:pt idx="6">
                  <c:v>15757215</c:v>
                </c:pt>
                <c:pt idx="7">
                  <c:v>12107215</c:v>
                </c:pt>
                <c:pt idx="8">
                  <c:v>9036285</c:v>
                </c:pt>
                <c:pt idx="9">
                  <c:v>4475485</c:v>
                </c:pt>
                <c:pt idx="10">
                  <c:v>5286905</c:v>
                </c:pt>
                <c:pt idx="11">
                  <c:v>8162135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337205"/>
        <c:axId val="272835197"/>
      </c:lineChart>
      <c:catAx>
        <c:axId val="1973372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2835197"/>
        <c:crosses val="autoZero"/>
        <c:auto val="1"/>
        <c:lblAlgn val="ctr"/>
        <c:lblOffset val="100"/>
        <c:noMultiLvlLbl val="0"/>
      </c:catAx>
      <c:valAx>
        <c:axId val="272835197"/>
        <c:scaling>
          <c:orientation val="minMax"/>
        </c:scaling>
        <c:delete val="0"/>
        <c:axPos val="l"/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3372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238e9ce-3124-4f2c-9ba1-06f9f7b0e3d1}"/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lang="en-US" sz="700">
          <a:ln>
            <a:noFill/>
          </a:ln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[Sales_Dashboard.xlsx]Summary!PivotTable8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sz="1200" b="1">
                <a:solidFill>
                  <a:sysClr val="windowText" lastClr="000000"/>
                </a:solidFill>
              </a:rPr>
              <a:t>SALES BY CATEGORY</a:t>
            </a:r>
            <a:endParaRPr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0336547923637079"/>
          <c:y val="0.026785714285714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8653808305452"/>
          <c:y val="0.201785714285714"/>
          <c:w val="0.466837236764416"/>
          <c:h val="0.705952380952381"/>
        </c:manualLayout>
      </c:layout>
      <c:doughnutChart>
        <c:varyColors val="1"/>
        <c:ser>
          <c:idx val="0"/>
          <c:order val="0"/>
          <c:tx>
            <c:strRef>
              <c:f>Summary!$G$10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explosion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"/>
                  <c:y val="0.00446428571428571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0.00295217476874631"/>
                  <c:y val="0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"/>
                  <c:y val="0.00446428571428571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Summary!$F$11:$F$17</c:f>
              <c:strCache>
                <c:ptCount val="6"/>
                <c:pt idx="0">
                  <c:v>Electronics</c:v>
                </c:pt>
                <c:pt idx="1">
                  <c:v>Accessories</c:v>
                </c:pt>
                <c:pt idx="2">
                  <c:v>Office Equipment</c:v>
                </c:pt>
                <c:pt idx="3">
                  <c:v>Wearables</c:v>
                </c:pt>
                <c:pt idx="4">
                  <c:v>Furniture</c:v>
                </c:pt>
                <c:pt idx="5">
                  <c:v>Clothing</c:v>
                </c:pt>
              </c:strCache>
            </c:strRef>
          </c:cat>
          <c:val>
            <c:numRef>
              <c:f>Summary!$G$11:$G$17</c:f>
              <c:numCache>
                <c:formatCode>"₹"#,##0_);[Red]\("₹"#,##0\)</c:formatCode>
                <c:ptCount val="6"/>
                <c:pt idx="0">
                  <c:v>37841270</c:v>
                </c:pt>
                <c:pt idx="1">
                  <c:v>20002030</c:v>
                </c:pt>
                <c:pt idx="2">
                  <c:v>24217955</c:v>
                </c:pt>
                <c:pt idx="3">
                  <c:v>28494050</c:v>
                </c:pt>
                <c:pt idx="4">
                  <c:v>14440360</c:v>
                </c:pt>
                <c:pt idx="5">
                  <c:v>14895245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531431-ceb0-4849-aac4-c2d4b365ed69}"/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lang="en-US" sz="8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[Sales_Dashboard.xlsx]Summary!PivotTable9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sz="1200">
                <a:solidFill>
                  <a:sysClr val="windowText" lastClr="000000"/>
                </a:solidFill>
              </a:rPr>
              <a:t>SALES BY RESIONT</a:t>
            </a:r>
            <a:endParaRPr sz="12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038894277400582"/>
          <c:y val="0.0490356325596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Summary!$J$10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Summary!$I$11:$I$16</c:f>
              <c:strCache>
                <c:ptCount val="5"/>
                <c:pt idx="0">
                  <c:v>Central</c:v>
                </c:pt>
                <c:pt idx="1">
                  <c:v>West</c:v>
                </c:pt>
                <c:pt idx="2">
                  <c:v>South</c:v>
                </c:pt>
                <c:pt idx="3">
                  <c:v>North</c:v>
                </c:pt>
                <c:pt idx="4">
                  <c:v>East</c:v>
                </c:pt>
              </c:strCache>
            </c:strRef>
          </c:cat>
          <c:val>
            <c:numRef>
              <c:f>Summary!$J$11:$J$16</c:f>
              <c:numCache>
                <c:formatCode>"₹"#,##0_);[Red]\("₹"#,##0\)</c:formatCode>
                <c:ptCount val="5"/>
                <c:pt idx="0">
                  <c:v>28114415</c:v>
                </c:pt>
                <c:pt idx="1">
                  <c:v>29357655</c:v>
                </c:pt>
                <c:pt idx="2">
                  <c:v>32218400</c:v>
                </c:pt>
                <c:pt idx="3">
                  <c:v>26425340</c:v>
                </c:pt>
                <c:pt idx="4">
                  <c:v>23775100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40"/>
        <c:overlap val="-40"/>
        <c:axId val="233134950"/>
        <c:axId val="473603293"/>
      </c:barChart>
      <c:catAx>
        <c:axId val="23313495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3603293"/>
        <c:crosses val="autoZero"/>
        <c:auto val="1"/>
        <c:lblAlgn val="ctr"/>
        <c:lblOffset val="100"/>
        <c:noMultiLvlLbl val="0"/>
      </c:catAx>
      <c:valAx>
        <c:axId val="473603293"/>
        <c:scaling>
          <c:orientation val="minMax"/>
        </c:scaling>
        <c:delete val="1"/>
        <c:axPos val="b"/>
        <c:numFmt formatCode="&quot;₹&quot;#,##0_);[Red]\(&quot;₹&quot;#,##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313495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e6c6b82-20f6-4423-a762-3a47fe2c55e3}"/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lang="en-US" sz="8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[Sales_Dashboard.xlsx]Summary!PivotTable10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sz="1200" b="1">
                <a:solidFill>
                  <a:sysClr val="windowText" lastClr="000000"/>
                </a:solidFill>
              </a:rPr>
              <a:t>TOP 10 PRODUCTS BY SALES</a:t>
            </a:r>
            <a:endParaRPr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0213966154444661"/>
          <c:y val="0.034825870646766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1589184983466"/>
          <c:y val="0.160023276112889"/>
          <c:w val="0.725617584127602"/>
          <c:h val="0.811754437009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Summary!$D$28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Summary!$C$29:$C$42</c:f>
              <c:strCache>
                <c:ptCount val="13"/>
                <c:pt idx="0">
                  <c:v>Mouse</c:v>
                </c:pt>
                <c:pt idx="1">
                  <c:v>Keyboard</c:v>
                </c:pt>
                <c:pt idx="2">
                  <c:v>Headphones</c:v>
                </c:pt>
                <c:pt idx="3">
                  <c:v>Smartwatch</c:v>
                </c:pt>
                <c:pt idx="4">
                  <c:v>Printer</c:v>
                </c:pt>
                <c:pt idx="5">
                  <c:v>Sneakers</c:v>
                </c:pt>
                <c:pt idx="6">
                  <c:v>office Chair</c:v>
                </c:pt>
                <c:pt idx="7">
                  <c:v>Monitor</c:v>
                </c:pt>
                <c:pt idx="8">
                  <c:v>Tablet</c:v>
                </c:pt>
                <c:pt idx="9">
                  <c:v>Camera</c:v>
                </c:pt>
                <c:pt idx="10">
                  <c:v>T-Shirt</c:v>
                </c:pt>
                <c:pt idx="11">
                  <c:v>Laptop</c:v>
                </c:pt>
                <c:pt idx="12">
                  <c:v>Smartphone</c:v>
                </c:pt>
              </c:strCache>
            </c:strRef>
          </c:cat>
          <c:val>
            <c:numRef>
              <c:f>Summary!$D$29:$D$42</c:f>
              <c:numCache>
                <c:formatCode>"₹"#,##0_);[Red]\("₹"#,##0\)</c:formatCode>
                <c:ptCount val="13"/>
                <c:pt idx="0">
                  <c:v>667445</c:v>
                </c:pt>
                <c:pt idx="1">
                  <c:v>1176450</c:v>
                </c:pt>
                <c:pt idx="2">
                  <c:v>2527140</c:v>
                </c:pt>
                <c:pt idx="3">
                  <c:v>3574280</c:v>
                </c:pt>
                <c:pt idx="4">
                  <c:v>5189785</c:v>
                </c:pt>
                <c:pt idx="5">
                  <c:v>8162935</c:v>
                </c:pt>
                <c:pt idx="6">
                  <c:v>9457435</c:v>
                </c:pt>
                <c:pt idx="7">
                  <c:v>9629175</c:v>
                </c:pt>
                <c:pt idx="8">
                  <c:v>11404645</c:v>
                </c:pt>
                <c:pt idx="9">
                  <c:v>12104275</c:v>
                </c:pt>
                <c:pt idx="10">
                  <c:v>14406330</c:v>
                </c:pt>
                <c:pt idx="11">
                  <c:v>28735355</c:v>
                </c:pt>
                <c:pt idx="12">
                  <c:v>32855660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8853847"/>
        <c:axId val="666852740"/>
      </c:barChart>
      <c:catAx>
        <c:axId val="4885384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6852740"/>
        <c:crosses val="autoZero"/>
        <c:auto val="1"/>
        <c:lblAlgn val="ctr"/>
        <c:lblOffset val="100"/>
        <c:noMultiLvlLbl val="0"/>
      </c:catAx>
      <c:valAx>
        <c:axId val="666852740"/>
        <c:scaling>
          <c:orientation val="minMax"/>
        </c:scaling>
        <c:delete val="1"/>
        <c:axPos val="b"/>
        <c:numFmt formatCode="&quot;₹&quot;#,##0_);[Red]\(&quot;₹&quot;#,##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853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4bb029c-6004-4d10-a7ad-083012b76099}"/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lang="en-US" sz="9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[Sales_Dashboard.xlsx]Summary!PivotTable11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sz="1200" b="1">
                <a:solidFill>
                  <a:sysClr val="windowText" lastClr="000000"/>
                </a:solidFill>
              </a:rPr>
              <a:t>SALES BY CUSTOMER</a:t>
            </a:r>
            <a:endParaRPr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0128947368421053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6083561108942"/>
          <c:y val="0.193331293973692"/>
          <c:w val="0.440601327606404"/>
          <c:h val="0.690351789538085"/>
        </c:manualLayout>
      </c:layout>
      <c:doughnutChart>
        <c:varyColors val="1"/>
        <c:ser>
          <c:idx val="0"/>
          <c:order val="0"/>
          <c:tx>
            <c:strRef>
              <c:f>Summary!$G$28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explosion val="0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Summary!$F$29:$F$32</c:f>
              <c:strCache>
                <c:ptCount val="3"/>
                <c:pt idx="0">
                  <c:v>Small Business</c:v>
                </c:pt>
                <c:pt idx="1">
                  <c:v>Consumer</c:v>
                </c:pt>
                <c:pt idx="2">
                  <c:v>Corporate</c:v>
                </c:pt>
              </c:strCache>
            </c:strRef>
          </c:cat>
          <c:val>
            <c:numRef>
              <c:f>Summary!$G$29:$G$32</c:f>
              <c:numCache>
                <c:formatCode>"₹"#,##0_);[Red]\("₹"#,##0\)</c:formatCode>
                <c:ptCount val="3"/>
                <c:pt idx="0">
                  <c:v>41639915</c:v>
                </c:pt>
                <c:pt idx="1">
                  <c:v>47584165</c:v>
                </c:pt>
                <c:pt idx="2">
                  <c:v>50666830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44ebdc-c469-430e-9394-7de78409ab34}"/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4.jpeg"/><Relationship Id="rId8" Type="http://schemas.openxmlformats.org/officeDocument/2006/relationships/image" Target="../media/image3.jpeg"/><Relationship Id="rId7" Type="http://schemas.openxmlformats.org/officeDocument/2006/relationships/image" Target="../media/image2.jpeg"/><Relationship Id="rId6" Type="http://schemas.openxmlformats.org/officeDocument/2006/relationships/image" Target="../media/image1.jpe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</xdr:colOff>
      <xdr:row>2</xdr:row>
      <xdr:rowOff>76200</xdr:rowOff>
    </xdr:from>
    <xdr:to>
      <xdr:col>1</xdr:col>
      <xdr:colOff>438150</xdr:colOff>
      <xdr:row>3</xdr:row>
      <xdr:rowOff>152400</xdr:rowOff>
    </xdr:to>
    <xdr:sp>
      <xdr:nvSpPr>
        <xdr:cNvPr id="2" name="Pentagon 1"/>
        <xdr:cNvSpPr/>
      </xdr:nvSpPr>
      <xdr:spPr>
        <a:xfrm>
          <a:off x="28575" y="457200"/>
          <a:ext cx="1019175" cy="381000"/>
        </a:xfrm>
        <a:prstGeom prst="homePlat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l"/>
          <a:r>
            <a:rPr lang="en-US" sz="1400" b="1"/>
            <a:t>KPI Cards</a:t>
          </a:r>
          <a:endParaRPr lang="en-US" sz="1400" b="1"/>
        </a:p>
      </xdr:txBody>
    </xdr:sp>
    <xdr:clientData/>
  </xdr:twoCellAnchor>
  <xdr:twoCellAnchor>
    <xdr:from>
      <xdr:col>0</xdr:col>
      <xdr:colOff>10795</xdr:colOff>
      <xdr:row>6</xdr:row>
      <xdr:rowOff>146050</xdr:rowOff>
    </xdr:from>
    <xdr:to>
      <xdr:col>1</xdr:col>
      <xdr:colOff>420370</xdr:colOff>
      <xdr:row>8</xdr:row>
      <xdr:rowOff>146050</xdr:rowOff>
    </xdr:to>
    <xdr:sp>
      <xdr:nvSpPr>
        <xdr:cNvPr id="3" name="Pentagon 2"/>
        <xdr:cNvSpPr/>
      </xdr:nvSpPr>
      <xdr:spPr>
        <a:xfrm>
          <a:off x="10795" y="1403350"/>
          <a:ext cx="1019175" cy="390525"/>
        </a:xfrm>
        <a:prstGeom prst="homePlat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/>
            <a:t>Charts</a:t>
          </a:r>
          <a:endParaRPr lang="en-US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114300</xdr:colOff>
      <xdr:row>0</xdr:row>
      <xdr:rowOff>76200</xdr:rowOff>
    </xdr:from>
    <xdr:to>
      <xdr:col>4</xdr:col>
      <xdr:colOff>48260</xdr:colOff>
      <xdr:row>3</xdr:row>
      <xdr:rowOff>57150</xdr:rowOff>
    </xdr:to>
    <xdr:sp>
      <xdr:nvSpPr>
        <xdr:cNvPr id="2" name="Rounded Rectangle 1"/>
        <xdr:cNvSpPr/>
      </xdr:nvSpPr>
      <xdr:spPr>
        <a:xfrm>
          <a:off x="114300" y="76200"/>
          <a:ext cx="2258060" cy="552450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2400" b="1"/>
            <a:t>FILTER</a:t>
          </a:r>
          <a:endParaRPr lang="en-US" sz="2400" b="1"/>
        </a:p>
      </xdr:txBody>
    </xdr:sp>
    <xdr:clientData/>
  </xdr:twoCellAnchor>
  <xdr:twoCellAnchor>
    <xdr:from>
      <xdr:col>4</xdr:col>
      <xdr:colOff>220980</xdr:colOff>
      <xdr:row>0</xdr:row>
      <xdr:rowOff>79375</xdr:rowOff>
    </xdr:from>
    <xdr:to>
      <xdr:col>19</xdr:col>
      <xdr:colOff>576580</xdr:colOff>
      <xdr:row>3</xdr:row>
      <xdr:rowOff>32385</xdr:rowOff>
    </xdr:to>
    <xdr:sp>
      <xdr:nvSpPr>
        <xdr:cNvPr id="3" name="Rounded Rectangle 2"/>
        <xdr:cNvSpPr/>
      </xdr:nvSpPr>
      <xdr:spPr>
        <a:xfrm>
          <a:off x="2545080" y="79375"/>
          <a:ext cx="10122535" cy="524510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000" b="1"/>
            <a:t>SALES DASHBOARD</a:t>
          </a:r>
          <a:endParaRPr lang="en-US" sz="2000" b="1"/>
        </a:p>
      </xdr:txBody>
    </xdr:sp>
    <xdr:clientData/>
  </xdr:twoCellAnchor>
  <xdr:twoCellAnchor>
    <xdr:from>
      <xdr:col>0</xdr:col>
      <xdr:colOff>136525</xdr:colOff>
      <xdr:row>4</xdr:row>
      <xdr:rowOff>12700</xdr:rowOff>
    </xdr:from>
    <xdr:to>
      <xdr:col>4</xdr:col>
      <xdr:colOff>231775</xdr:colOff>
      <xdr:row>35</xdr:row>
      <xdr:rowOff>116205</xdr:rowOff>
    </xdr:to>
    <xdr:sp>
      <xdr:nvSpPr>
        <xdr:cNvPr id="4" name="Rounded Rectangle 3"/>
        <xdr:cNvSpPr/>
      </xdr:nvSpPr>
      <xdr:spPr>
        <a:xfrm>
          <a:off x="136525" y="774700"/>
          <a:ext cx="2419350" cy="5942330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400" b="1"/>
        </a:p>
      </xdr:txBody>
    </xdr:sp>
    <xdr:clientData/>
  </xdr:twoCellAnchor>
  <xdr:twoCellAnchor>
    <xdr:from>
      <xdr:col>4</xdr:col>
      <xdr:colOff>419100</xdr:colOff>
      <xdr:row>4</xdr:row>
      <xdr:rowOff>57150</xdr:rowOff>
    </xdr:from>
    <xdr:to>
      <xdr:col>7</xdr:col>
      <xdr:colOff>75565</xdr:colOff>
      <xdr:row>7</xdr:row>
      <xdr:rowOff>142240</xdr:rowOff>
    </xdr:to>
    <xdr:sp>
      <xdr:nvSpPr>
        <xdr:cNvPr id="5" name="Rounded Rectangle 4"/>
        <xdr:cNvSpPr/>
      </xdr:nvSpPr>
      <xdr:spPr>
        <a:xfrm>
          <a:off x="2743200" y="819150"/>
          <a:ext cx="1485265" cy="656590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7</xdr:col>
      <xdr:colOff>240665</xdr:colOff>
      <xdr:row>4</xdr:row>
      <xdr:rowOff>51435</xdr:rowOff>
    </xdr:from>
    <xdr:to>
      <xdr:col>9</xdr:col>
      <xdr:colOff>503555</xdr:colOff>
      <xdr:row>7</xdr:row>
      <xdr:rowOff>146050</xdr:rowOff>
    </xdr:to>
    <xdr:sp>
      <xdr:nvSpPr>
        <xdr:cNvPr id="6" name="Rounded Rectangle 5"/>
        <xdr:cNvSpPr/>
      </xdr:nvSpPr>
      <xdr:spPr>
        <a:xfrm>
          <a:off x="4393565" y="813435"/>
          <a:ext cx="1482090" cy="66611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31115</xdr:colOff>
      <xdr:row>4</xdr:row>
      <xdr:rowOff>50800</xdr:rowOff>
    </xdr:from>
    <xdr:to>
      <xdr:col>12</xdr:col>
      <xdr:colOff>194310</xdr:colOff>
      <xdr:row>7</xdr:row>
      <xdr:rowOff>136525</xdr:rowOff>
    </xdr:to>
    <xdr:sp>
      <xdr:nvSpPr>
        <xdr:cNvPr id="7" name="Rounded Rectangle 6"/>
        <xdr:cNvSpPr/>
      </xdr:nvSpPr>
      <xdr:spPr>
        <a:xfrm>
          <a:off x="6012815" y="812800"/>
          <a:ext cx="1427480" cy="65722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364490</xdr:colOff>
      <xdr:row>4</xdr:row>
      <xdr:rowOff>40640</xdr:rowOff>
    </xdr:from>
    <xdr:to>
      <xdr:col>15</xdr:col>
      <xdr:colOff>2540</xdr:colOff>
      <xdr:row>7</xdr:row>
      <xdr:rowOff>136525</xdr:rowOff>
    </xdr:to>
    <xdr:sp>
      <xdr:nvSpPr>
        <xdr:cNvPr id="8" name="Rounded Rectangle 7"/>
        <xdr:cNvSpPr/>
      </xdr:nvSpPr>
      <xdr:spPr>
        <a:xfrm>
          <a:off x="7610475" y="802640"/>
          <a:ext cx="1466850" cy="66738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15</xdr:col>
      <xdr:colOff>135255</xdr:colOff>
      <xdr:row>4</xdr:row>
      <xdr:rowOff>39370</xdr:rowOff>
    </xdr:from>
    <xdr:to>
      <xdr:col>17</xdr:col>
      <xdr:colOff>383540</xdr:colOff>
      <xdr:row>7</xdr:row>
      <xdr:rowOff>136525</xdr:rowOff>
    </xdr:to>
    <xdr:sp>
      <xdr:nvSpPr>
        <xdr:cNvPr id="9" name="Rounded Rectangle 8"/>
        <xdr:cNvSpPr/>
      </xdr:nvSpPr>
      <xdr:spPr>
        <a:xfrm>
          <a:off x="9210040" y="801370"/>
          <a:ext cx="1511935" cy="66865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17</xdr:col>
      <xdr:colOff>596900</xdr:colOff>
      <xdr:row>3</xdr:row>
      <xdr:rowOff>137160</xdr:rowOff>
    </xdr:from>
    <xdr:to>
      <xdr:col>19</xdr:col>
      <xdr:colOff>544830</xdr:colOff>
      <xdr:row>7</xdr:row>
      <xdr:rowOff>184150</xdr:rowOff>
    </xdr:to>
    <xdr:sp>
      <xdr:nvSpPr>
        <xdr:cNvPr id="10" name="Rounded Rectangle 9"/>
        <xdr:cNvSpPr/>
      </xdr:nvSpPr>
      <xdr:spPr>
        <a:xfrm>
          <a:off x="10935335" y="708660"/>
          <a:ext cx="1700530" cy="80899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142875</xdr:colOff>
      <xdr:row>4</xdr:row>
      <xdr:rowOff>96520</xdr:rowOff>
    </xdr:from>
    <xdr:to>
      <xdr:col>6</xdr:col>
      <xdr:colOff>554355</xdr:colOff>
      <xdr:row>5</xdr:row>
      <xdr:rowOff>123825</xdr:rowOff>
    </xdr:to>
    <xdr:sp>
      <xdr:nvSpPr>
        <xdr:cNvPr id="11" name="Text Box 10"/>
        <xdr:cNvSpPr txBox="1"/>
      </xdr:nvSpPr>
      <xdr:spPr>
        <a:xfrm>
          <a:off x="3076575" y="858520"/>
          <a:ext cx="1021080" cy="2178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200" b="1">
              <a:solidFill>
                <a:sysClr val="windowText" lastClr="000000"/>
              </a:solidFill>
            </a:rPr>
            <a:t>TOTAL </a:t>
          </a:r>
          <a:r>
            <a:rPr lang="en-US" sz="1200" b="1"/>
            <a:t>SALES </a:t>
          </a:r>
          <a:endParaRPr lang="en-US" sz="1200" b="1"/>
        </a:p>
      </xdr:txBody>
    </xdr:sp>
    <xdr:clientData/>
  </xdr:twoCellAnchor>
  <xdr:twoCellAnchor>
    <xdr:from>
      <xdr:col>5</xdr:col>
      <xdr:colOff>145415</xdr:colOff>
      <xdr:row>6</xdr:row>
      <xdr:rowOff>2540</xdr:rowOff>
    </xdr:from>
    <xdr:to>
      <xdr:col>7</xdr:col>
      <xdr:colOff>11430</xdr:colOff>
      <xdr:row>7</xdr:row>
      <xdr:rowOff>77470</xdr:rowOff>
    </xdr:to>
    <xdr:sp textlink="Summary!$C$5">
      <xdr:nvSpPr>
        <xdr:cNvPr id="13" name="Text Box 12"/>
        <xdr:cNvSpPr txBox="1"/>
      </xdr:nvSpPr>
      <xdr:spPr>
        <a:xfrm>
          <a:off x="3079115" y="1145540"/>
          <a:ext cx="1085215" cy="2654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US" sz="1200" b="1">
              <a:solidFill>
                <a:sysClr val="windowText" lastClr="000000"/>
              </a:solidFill>
            </a:rPr>
            <a:t>₹13,98,90,910 </a:t>
          </a:fld>
          <a:endParaRPr 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509905</xdr:colOff>
      <xdr:row>4</xdr:row>
      <xdr:rowOff>74930</xdr:rowOff>
    </xdr:from>
    <xdr:to>
      <xdr:col>9</xdr:col>
      <xdr:colOff>414655</xdr:colOff>
      <xdr:row>5</xdr:row>
      <xdr:rowOff>141605</xdr:rowOff>
    </xdr:to>
    <xdr:sp>
      <xdr:nvSpPr>
        <xdr:cNvPr id="14" name="Text Box 13"/>
        <xdr:cNvSpPr txBox="1"/>
      </xdr:nvSpPr>
      <xdr:spPr>
        <a:xfrm>
          <a:off x="4662805" y="836930"/>
          <a:ext cx="1123950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200" b="1"/>
            <a:t>TOTAL PROFIT</a:t>
          </a:r>
          <a:endParaRPr lang="en-US" sz="1200" b="1"/>
        </a:p>
      </xdr:txBody>
    </xdr:sp>
    <xdr:clientData/>
  </xdr:twoCellAnchor>
  <xdr:twoCellAnchor>
    <xdr:from>
      <xdr:col>8</xdr:col>
      <xdr:colOff>53340</xdr:colOff>
      <xdr:row>5</xdr:row>
      <xdr:rowOff>168275</xdr:rowOff>
    </xdr:from>
    <xdr:to>
      <xdr:col>9</xdr:col>
      <xdr:colOff>463550</xdr:colOff>
      <xdr:row>7</xdr:row>
      <xdr:rowOff>81915</xdr:rowOff>
    </xdr:to>
    <xdr:sp textlink="Summary!$E$5">
      <xdr:nvSpPr>
        <xdr:cNvPr id="15" name="Text Box 14"/>
        <xdr:cNvSpPr txBox="1"/>
      </xdr:nvSpPr>
      <xdr:spPr>
        <a:xfrm>
          <a:off x="4815840" y="1120775"/>
          <a:ext cx="1019810" cy="294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US" sz="1200" b="1"/>
            <a:t>₹3,81,28,388 </a:t>
          </a:fld>
          <a:endParaRPr lang="en-US" sz="1200" b="1"/>
        </a:p>
      </xdr:txBody>
    </xdr:sp>
    <xdr:clientData/>
  </xdr:twoCellAnchor>
  <xdr:twoCellAnchor>
    <xdr:from>
      <xdr:col>10</xdr:col>
      <xdr:colOff>319405</xdr:colOff>
      <xdr:row>4</xdr:row>
      <xdr:rowOff>74930</xdr:rowOff>
    </xdr:from>
    <xdr:to>
      <xdr:col>12</xdr:col>
      <xdr:colOff>130175</xdr:colOff>
      <xdr:row>5</xdr:row>
      <xdr:rowOff>100965</xdr:rowOff>
    </xdr:to>
    <xdr:sp>
      <xdr:nvSpPr>
        <xdr:cNvPr id="16" name="Text Box 15"/>
        <xdr:cNvSpPr txBox="1"/>
      </xdr:nvSpPr>
      <xdr:spPr>
        <a:xfrm>
          <a:off x="6301105" y="836930"/>
          <a:ext cx="1075055" cy="216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200" b="1"/>
            <a:t>TOTAL ORDER</a:t>
          </a:r>
          <a:endParaRPr lang="en-US" sz="1200" b="1"/>
        </a:p>
      </xdr:txBody>
    </xdr:sp>
    <xdr:clientData/>
  </xdr:twoCellAnchor>
  <xdr:twoCellAnchor>
    <xdr:from>
      <xdr:col>11</xdr:col>
      <xdr:colOff>25400</xdr:colOff>
      <xdr:row>5</xdr:row>
      <xdr:rowOff>169545</xdr:rowOff>
    </xdr:from>
    <xdr:to>
      <xdr:col>11</xdr:col>
      <xdr:colOff>621665</xdr:colOff>
      <xdr:row>7</xdr:row>
      <xdr:rowOff>26035</xdr:rowOff>
    </xdr:to>
    <xdr:sp textlink="Summary!$G$5">
      <xdr:nvSpPr>
        <xdr:cNvPr id="17" name="Text Box 16"/>
        <xdr:cNvSpPr txBox="1"/>
      </xdr:nvSpPr>
      <xdr:spPr>
        <a:xfrm>
          <a:off x="6616700" y="1122045"/>
          <a:ext cx="596265" cy="2374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US" sz="1200" b="1"/>
            <a:t>1000 </a:t>
          </a:fld>
          <a:endParaRPr lang="en-US" sz="1200" b="1"/>
        </a:p>
      </xdr:txBody>
    </xdr:sp>
    <xdr:clientData/>
  </xdr:twoCellAnchor>
  <xdr:twoCellAnchor>
    <xdr:from>
      <xdr:col>12</xdr:col>
      <xdr:colOff>473710</xdr:colOff>
      <xdr:row>4</xdr:row>
      <xdr:rowOff>73025</xdr:rowOff>
    </xdr:from>
    <xdr:to>
      <xdr:col>14</xdr:col>
      <xdr:colOff>556895</xdr:colOff>
      <xdr:row>5</xdr:row>
      <xdr:rowOff>136525</xdr:rowOff>
    </xdr:to>
    <xdr:sp>
      <xdr:nvSpPr>
        <xdr:cNvPr id="18" name="Text Box 17"/>
        <xdr:cNvSpPr txBox="1"/>
      </xdr:nvSpPr>
      <xdr:spPr>
        <a:xfrm>
          <a:off x="7719695" y="835025"/>
          <a:ext cx="1302385" cy="254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200" b="1"/>
            <a:t>TOTAL QUANTITY</a:t>
          </a:r>
          <a:endParaRPr lang="en-US" sz="1200" b="1"/>
        </a:p>
      </xdr:txBody>
    </xdr:sp>
    <xdr:clientData/>
  </xdr:twoCellAnchor>
  <xdr:twoCellAnchor>
    <xdr:from>
      <xdr:col>13</xdr:col>
      <xdr:colOff>409575</xdr:colOff>
      <xdr:row>5</xdr:row>
      <xdr:rowOff>151765</xdr:rowOff>
    </xdr:from>
    <xdr:to>
      <xdr:col>14</xdr:col>
      <xdr:colOff>351790</xdr:colOff>
      <xdr:row>7</xdr:row>
      <xdr:rowOff>37465</xdr:rowOff>
    </xdr:to>
    <xdr:sp textlink="Summary!$I$5">
      <xdr:nvSpPr>
        <xdr:cNvPr id="19" name="Text Box 18"/>
        <xdr:cNvSpPr txBox="1"/>
      </xdr:nvSpPr>
      <xdr:spPr>
        <a:xfrm>
          <a:off x="8265160" y="1104265"/>
          <a:ext cx="551815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fld id="{BB962C8B-B14F-4D97-AF65-F5344CB8AC3E}" type="TxLink">
            <a:rPr lang="en-US" sz="1200" b="1">
              <a:solidFill>
                <a:sysClr val="windowText" lastClr="000000"/>
              </a:solidFill>
            </a:rPr>
            <a:t>5489 </a:t>
          </a:fld>
          <a:endParaRPr 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247015</xdr:colOff>
      <xdr:row>4</xdr:row>
      <xdr:rowOff>83185</xdr:rowOff>
    </xdr:from>
    <xdr:to>
      <xdr:col>17</xdr:col>
      <xdr:colOff>318135</xdr:colOff>
      <xdr:row>5</xdr:row>
      <xdr:rowOff>110490</xdr:rowOff>
    </xdr:to>
    <xdr:sp>
      <xdr:nvSpPr>
        <xdr:cNvPr id="20" name="Text Box 19"/>
        <xdr:cNvSpPr txBox="1"/>
      </xdr:nvSpPr>
      <xdr:spPr>
        <a:xfrm>
          <a:off x="9480550" y="845185"/>
          <a:ext cx="1176020" cy="2178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200" b="1"/>
            <a:t>AVG DISCOUNT</a:t>
          </a:r>
          <a:endParaRPr lang="en-US" sz="1200" b="1"/>
        </a:p>
      </xdr:txBody>
    </xdr:sp>
    <xdr:clientData/>
  </xdr:twoCellAnchor>
  <xdr:twoCellAnchor>
    <xdr:from>
      <xdr:col>16</xdr:col>
      <xdr:colOff>563880</xdr:colOff>
      <xdr:row>5</xdr:row>
      <xdr:rowOff>186690</xdr:rowOff>
    </xdr:from>
    <xdr:to>
      <xdr:col>17</xdr:col>
      <xdr:colOff>100965</xdr:colOff>
      <xdr:row>7</xdr:row>
      <xdr:rowOff>111125</xdr:rowOff>
    </xdr:to>
    <xdr:sp textlink="Summary!$K$5">
      <xdr:nvSpPr>
        <xdr:cNvPr id="21" name="Text Box 20"/>
        <xdr:cNvSpPr txBox="1"/>
      </xdr:nvSpPr>
      <xdr:spPr>
        <a:xfrm>
          <a:off x="9797415" y="1139190"/>
          <a:ext cx="641985" cy="3054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US" sz="1200" b="1"/>
            <a:t>7.80%</a:t>
          </a:fld>
          <a:endParaRPr lang="en-US" sz="1200" b="1"/>
        </a:p>
      </xdr:txBody>
    </xdr:sp>
    <xdr:clientData/>
  </xdr:twoCellAnchor>
  <xdr:twoCellAnchor>
    <xdr:from>
      <xdr:col>17</xdr:col>
      <xdr:colOff>718820</xdr:colOff>
      <xdr:row>3</xdr:row>
      <xdr:rowOff>179070</xdr:rowOff>
    </xdr:from>
    <xdr:to>
      <xdr:col>19</xdr:col>
      <xdr:colOff>491490</xdr:colOff>
      <xdr:row>5</xdr:row>
      <xdr:rowOff>74295</xdr:rowOff>
    </xdr:to>
    <xdr:sp>
      <xdr:nvSpPr>
        <xdr:cNvPr id="22" name="Text Box 21"/>
        <xdr:cNvSpPr txBox="1"/>
      </xdr:nvSpPr>
      <xdr:spPr>
        <a:xfrm>
          <a:off x="11057255" y="750570"/>
          <a:ext cx="152527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200" b="1"/>
            <a:t>TOP SALESPERSON</a:t>
          </a:r>
          <a:endParaRPr lang="en-US" sz="1200" b="1"/>
        </a:p>
      </xdr:txBody>
    </xdr:sp>
    <xdr:clientData/>
  </xdr:twoCellAnchor>
  <xdr:twoCellAnchor>
    <xdr:from>
      <xdr:col>4</xdr:col>
      <xdr:colOff>434975</xdr:colOff>
      <xdr:row>8</xdr:row>
      <xdr:rowOff>92075</xdr:rowOff>
    </xdr:from>
    <xdr:to>
      <xdr:col>10</xdr:col>
      <xdr:colOff>4445</xdr:colOff>
      <xdr:row>19</xdr:row>
      <xdr:rowOff>6350</xdr:rowOff>
    </xdr:to>
    <xdr:graphicFrame>
      <xdr:nvGraphicFramePr>
        <xdr:cNvPr id="12" name="Chart 11"/>
        <xdr:cNvGraphicFramePr/>
      </xdr:nvGraphicFramePr>
      <xdr:xfrm>
        <a:off x="2759075" y="1616075"/>
        <a:ext cx="3227070" cy="2009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66675</xdr:colOff>
      <xdr:row>8</xdr:row>
      <xdr:rowOff>92075</xdr:rowOff>
    </xdr:from>
    <xdr:to>
      <xdr:col>14</xdr:col>
      <xdr:colOff>560070</xdr:colOff>
      <xdr:row>19</xdr:row>
      <xdr:rowOff>15875</xdr:rowOff>
    </xdr:to>
    <xdr:graphicFrame>
      <xdr:nvGraphicFramePr>
        <xdr:cNvPr id="23" name="Chart 22"/>
        <xdr:cNvGraphicFramePr/>
      </xdr:nvGraphicFramePr>
      <xdr:xfrm>
        <a:off x="6048375" y="1616075"/>
        <a:ext cx="2976880" cy="2019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15875</xdr:colOff>
      <xdr:row>8</xdr:row>
      <xdr:rowOff>102235</xdr:rowOff>
    </xdr:from>
    <xdr:to>
      <xdr:col>19</xdr:col>
      <xdr:colOff>584835</xdr:colOff>
      <xdr:row>19</xdr:row>
      <xdr:rowOff>15875</xdr:rowOff>
    </xdr:to>
    <xdr:graphicFrame>
      <xdr:nvGraphicFramePr>
        <xdr:cNvPr id="24" name="Chart 23"/>
        <xdr:cNvGraphicFramePr/>
      </xdr:nvGraphicFramePr>
      <xdr:xfrm>
        <a:off x="9090660" y="1626235"/>
        <a:ext cx="3585210" cy="2009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425450</xdr:colOff>
      <xdr:row>20</xdr:row>
      <xdr:rowOff>0</xdr:rowOff>
    </xdr:from>
    <xdr:to>
      <xdr:col>10</xdr:col>
      <xdr:colOff>32385</xdr:colOff>
      <xdr:row>30</xdr:row>
      <xdr:rowOff>109855</xdr:rowOff>
    </xdr:to>
    <xdr:graphicFrame>
      <xdr:nvGraphicFramePr>
        <xdr:cNvPr id="25" name="Chart 24"/>
        <xdr:cNvGraphicFramePr/>
      </xdr:nvGraphicFramePr>
      <xdr:xfrm>
        <a:off x="2749550" y="3695700"/>
        <a:ext cx="3264535" cy="206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97155</xdr:colOff>
      <xdr:row>20</xdr:row>
      <xdr:rowOff>12700</xdr:rowOff>
    </xdr:from>
    <xdr:to>
      <xdr:col>15</xdr:col>
      <xdr:colOff>69850</xdr:colOff>
      <xdr:row>30</xdr:row>
      <xdr:rowOff>130810</xdr:rowOff>
    </xdr:to>
    <xdr:graphicFrame>
      <xdr:nvGraphicFramePr>
        <xdr:cNvPr id="26" name="Chart 25"/>
        <xdr:cNvGraphicFramePr/>
      </xdr:nvGraphicFramePr>
      <xdr:xfrm>
        <a:off x="6078855" y="3708400"/>
        <a:ext cx="3065780" cy="2070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234950</xdr:colOff>
      <xdr:row>5</xdr:row>
      <xdr:rowOff>60325</xdr:rowOff>
    </xdr:from>
    <xdr:to>
      <xdr:col>4</xdr:col>
      <xdr:colOff>120650</xdr:colOff>
      <xdr:row>8</xdr:row>
      <xdr:rowOff>133985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7" name="Order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950" y="1012825"/>
              <a:ext cx="2209800" cy="645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244475</xdr:colOff>
      <xdr:row>8</xdr:row>
      <xdr:rowOff>177800</xdr:rowOff>
    </xdr:from>
    <xdr:to>
      <xdr:col>4</xdr:col>
      <xdr:colOff>130175</xdr:colOff>
      <xdr:row>13</xdr:row>
      <xdr:rowOff>99060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8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475" y="1701800"/>
              <a:ext cx="2209800" cy="873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250825</xdr:colOff>
      <xdr:row>13</xdr:row>
      <xdr:rowOff>142875</xdr:rowOff>
    </xdr:from>
    <xdr:to>
      <xdr:col>4</xdr:col>
      <xdr:colOff>146685</xdr:colOff>
      <xdr:row>18</xdr:row>
      <xdr:rowOff>45720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9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825" y="2619375"/>
              <a:ext cx="2219960" cy="8553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247650</xdr:colOff>
      <xdr:row>18</xdr:row>
      <xdr:rowOff>111125</xdr:rowOff>
    </xdr:from>
    <xdr:to>
      <xdr:col>4</xdr:col>
      <xdr:colOff>123825</xdr:colOff>
      <xdr:row>26</xdr:row>
      <xdr:rowOff>156210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0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50" y="3540125"/>
              <a:ext cx="2200275" cy="1502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304800</xdr:colOff>
      <xdr:row>30</xdr:row>
      <xdr:rowOff>180975</xdr:rowOff>
    </xdr:from>
    <xdr:to>
      <xdr:col>13</xdr:col>
      <xdr:colOff>563880</xdr:colOff>
      <xdr:row>34</xdr:row>
      <xdr:rowOff>63500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1" name="Customer 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76900" y="5829300"/>
              <a:ext cx="2742565" cy="644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454025</xdr:colOff>
      <xdr:row>31</xdr:row>
      <xdr:rowOff>6350</xdr:rowOff>
    </xdr:from>
    <xdr:to>
      <xdr:col>9</xdr:col>
      <xdr:colOff>234950</xdr:colOff>
      <xdr:row>34</xdr:row>
      <xdr:rowOff>80645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2" name="Sales Chann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78125" y="5845175"/>
              <a:ext cx="2828925" cy="6457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266700</xdr:colOff>
      <xdr:row>27</xdr:row>
      <xdr:rowOff>12700</xdr:rowOff>
    </xdr:from>
    <xdr:to>
      <xdr:col>4</xdr:col>
      <xdr:colOff>133985</xdr:colOff>
      <xdr:row>34</xdr:row>
      <xdr:rowOff>172720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3" name="Salespers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00" y="5089525"/>
              <a:ext cx="2191385" cy="1493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18</xdr:col>
      <xdr:colOff>326390</xdr:colOff>
      <xdr:row>5</xdr:row>
      <xdr:rowOff>10160</xdr:rowOff>
    </xdr:from>
    <xdr:to>
      <xdr:col>19</xdr:col>
      <xdr:colOff>125730</xdr:colOff>
      <xdr:row>6</xdr:row>
      <xdr:rowOff>102870</xdr:rowOff>
    </xdr:to>
    <xdr:sp textlink="Summary!$M$5">
      <xdr:nvSpPr>
        <xdr:cNvPr id="34" name="Text Box 33"/>
        <xdr:cNvSpPr txBox="1"/>
      </xdr:nvSpPr>
      <xdr:spPr>
        <a:xfrm>
          <a:off x="11541125" y="962660"/>
          <a:ext cx="675640" cy="2832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fld id="{BB962C8B-B14F-4D97-AF65-F5344CB8AC3E}" type="TxLink">
            <a:rPr lang="en-US" sz="1400" b="1"/>
            <a:t>Sachin</a:t>
          </a:fld>
          <a:endParaRPr lang="en-US" sz="1400" b="1"/>
        </a:p>
      </xdr:txBody>
    </xdr:sp>
    <xdr:clientData/>
  </xdr:twoCellAnchor>
  <xdr:twoCellAnchor>
    <xdr:from>
      <xdr:col>18</xdr:col>
      <xdr:colOff>200025</xdr:colOff>
      <xdr:row>6</xdr:row>
      <xdr:rowOff>63500</xdr:rowOff>
    </xdr:from>
    <xdr:to>
      <xdr:col>19</xdr:col>
      <xdr:colOff>312420</xdr:colOff>
      <xdr:row>7</xdr:row>
      <xdr:rowOff>155575</xdr:rowOff>
    </xdr:to>
    <xdr:sp textlink="Summary!$N$5">
      <xdr:nvSpPr>
        <xdr:cNvPr id="35" name="Text Box 34"/>
        <xdr:cNvSpPr txBox="1"/>
      </xdr:nvSpPr>
      <xdr:spPr>
        <a:xfrm>
          <a:off x="11414760" y="1206500"/>
          <a:ext cx="988695" cy="282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fld id="{BB962C8B-B14F-4D97-AF65-F5344CB8AC3E}" type="TxLink">
            <a:rPr lang="en-US" sz="1200" b="1"/>
            <a:t>₹1,86,51,550 </a:t>
          </a:fld>
          <a:endParaRPr lang="en-US" sz="1200" b="1"/>
        </a:p>
      </xdr:txBody>
    </xdr:sp>
    <xdr:clientData/>
  </xdr:twoCellAnchor>
  <xdr:twoCellAnchor editAs="oneCell">
    <xdr:from>
      <xdr:col>4</xdr:col>
      <xdr:colOff>445135</xdr:colOff>
      <xdr:row>5</xdr:row>
      <xdr:rowOff>62865</xdr:rowOff>
    </xdr:from>
    <xdr:to>
      <xdr:col>5</xdr:col>
      <xdr:colOff>228600</xdr:colOff>
      <xdr:row>7</xdr:row>
      <xdr:rowOff>43815</xdr:rowOff>
    </xdr:to>
    <xdr:pic>
      <xdr:nvPicPr>
        <xdr:cNvPr id="36" name="Picture 35" descr="growth-chart-icon-grow-diagram-flat-vector-illustration-busine-business-concept-9519317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769235" y="1015365"/>
          <a:ext cx="393065" cy="361950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7</xdr:col>
      <xdr:colOff>272415</xdr:colOff>
      <xdr:row>5</xdr:row>
      <xdr:rowOff>72390</xdr:rowOff>
    </xdr:from>
    <xdr:to>
      <xdr:col>8</xdr:col>
      <xdr:colOff>56515</xdr:colOff>
      <xdr:row>7</xdr:row>
      <xdr:rowOff>98425</xdr:rowOff>
    </xdr:to>
    <xdr:pic>
      <xdr:nvPicPr>
        <xdr:cNvPr id="37" name="Picture 36" descr="images (1)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425315" y="1024890"/>
          <a:ext cx="393700" cy="407035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10</xdr:col>
      <xdr:colOff>85090</xdr:colOff>
      <xdr:row>5</xdr:row>
      <xdr:rowOff>73025</xdr:rowOff>
    </xdr:from>
    <xdr:to>
      <xdr:col>10</xdr:col>
      <xdr:colOff>538480</xdr:colOff>
      <xdr:row>7</xdr:row>
      <xdr:rowOff>88900</xdr:rowOff>
    </xdr:to>
    <xdr:pic>
      <xdr:nvPicPr>
        <xdr:cNvPr id="39" name="Picture 38" descr=".trashed-1787907374-grocery-cart-icon-simple-flat-symbol-web-site-mobile-logo-app-ui-vector-illustration-design-style-isolated-white-1830184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066790" y="1025525"/>
          <a:ext cx="453390" cy="396875"/>
        </a:xfrm>
        <a:prstGeom prst="rect">
          <a:avLst/>
        </a:prstGeom>
      </xdr:spPr>
    </xdr:pic>
    <xdr:clientData/>
  </xdr:twoCellAnchor>
  <xdr:twoCellAnchor editAs="oneCell">
    <xdr:from>
      <xdr:col>12</xdr:col>
      <xdr:colOff>416560</xdr:colOff>
      <xdr:row>5</xdr:row>
      <xdr:rowOff>93980</xdr:rowOff>
    </xdr:from>
    <xdr:to>
      <xdr:col>13</xdr:col>
      <xdr:colOff>316230</xdr:colOff>
      <xdr:row>7</xdr:row>
      <xdr:rowOff>98425</xdr:rowOff>
    </xdr:to>
    <xdr:pic>
      <xdr:nvPicPr>
        <xdr:cNvPr id="41" name="Picture 40" descr="078aa1fe4e0120daa89b57f355ff5c1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662545" y="1046480"/>
          <a:ext cx="509270" cy="385445"/>
        </a:xfrm>
        <a:prstGeom prst="rect">
          <a:avLst/>
        </a:prstGeom>
      </xdr:spPr>
    </xdr:pic>
    <xdr:clientData/>
  </xdr:twoCellAnchor>
  <xdr:twoCellAnchor>
    <xdr:from>
      <xdr:col>16</xdr:col>
      <xdr:colOff>71120</xdr:colOff>
      <xdr:row>5</xdr:row>
      <xdr:rowOff>93980</xdr:rowOff>
    </xdr:from>
    <xdr:to>
      <xdr:col>16</xdr:col>
      <xdr:colOff>469900</xdr:colOff>
      <xdr:row>7</xdr:row>
      <xdr:rowOff>105410</xdr:rowOff>
    </xdr:to>
    <xdr:sp>
      <xdr:nvSpPr>
        <xdr:cNvPr id="38" name="Oval 37"/>
        <xdr:cNvSpPr/>
      </xdr:nvSpPr>
      <xdr:spPr>
        <a:xfrm>
          <a:off x="9304655" y="1046480"/>
          <a:ext cx="398780" cy="392430"/>
        </a:xfrm>
        <a:prstGeom prst="ellipse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1800" b="1"/>
            <a:t>%</a:t>
          </a:r>
          <a:endParaRPr lang="en-US" sz="1800" b="1"/>
        </a:p>
      </xdr:txBody>
    </xdr:sp>
    <xdr:clientData/>
  </xdr:twoCellAnchor>
  <xdr:twoCellAnchor editAs="oneCell">
    <xdr:from>
      <xdr:col>17</xdr:col>
      <xdr:colOff>673735</xdr:colOff>
      <xdr:row>5</xdr:row>
      <xdr:rowOff>59690</xdr:rowOff>
    </xdr:from>
    <xdr:to>
      <xdr:col>18</xdr:col>
      <xdr:colOff>260350</xdr:colOff>
      <xdr:row>7</xdr:row>
      <xdr:rowOff>126365</xdr:rowOff>
    </xdr:to>
    <xdr:pic>
      <xdr:nvPicPr>
        <xdr:cNvPr id="40" name="Picture 39" descr="images (2)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012170" y="1012190"/>
          <a:ext cx="462915" cy="4476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6273.0964583333" refreshedBy="pc" recordCount="1000">
  <cacheSource type="worksheet">
    <worksheetSource ref="A1:R1001" sheet="Data set"/>
  </cacheSource>
  <cacheFields count="18">
    <cacheField name="Order ID" numFmtId="0">
      <sharedItems count="1000">
        <s v="SO0001"/>
        <s v="SO0002"/>
        <s v="SO0003"/>
        <s v="SO0004"/>
        <s v="SO0005"/>
        <s v="SO0006"/>
        <s v="SO0007"/>
        <s v="SO0008"/>
        <s v="SO0009"/>
        <s v="SO0010"/>
        <s v="SO0011"/>
        <s v="SO0012"/>
        <s v="SO0013"/>
        <s v="SO0014"/>
        <s v="SO0015"/>
        <s v="SO0016"/>
        <s v="SO0017"/>
        <s v="SO0018"/>
        <s v="SO0019"/>
        <s v="SO0020"/>
        <s v="SO0021"/>
        <s v="SO0022"/>
        <s v="SO0023"/>
        <s v="SO0024"/>
        <s v="SO0025"/>
        <s v="SO0026"/>
        <s v="SO0027"/>
        <s v="SO0028"/>
        <s v="SO0029"/>
        <s v="SO0030"/>
        <s v="SO0031"/>
        <s v="SO0032"/>
        <s v="SO0033"/>
        <s v="SO0034"/>
        <s v="SO0035"/>
        <s v="SO0036"/>
        <s v="SO0037"/>
        <s v="SO0038"/>
        <s v="SO0039"/>
        <s v="SO0040"/>
        <s v="SO0041"/>
        <s v="SO0042"/>
        <s v="SO0043"/>
        <s v="SO0044"/>
        <s v="SO0045"/>
        <s v="SO0046"/>
        <s v="SO0047"/>
        <s v="SO0048"/>
        <s v="SO0049"/>
        <s v="SO0050"/>
        <s v="SO0051"/>
        <s v="SO0052"/>
        <s v="SO0053"/>
        <s v="SO0054"/>
        <s v="SO0055"/>
        <s v="SO0056"/>
        <s v="SO0057"/>
        <s v="SO0058"/>
        <s v="SO0059"/>
        <s v="SO0060"/>
        <s v="SO0061"/>
        <s v="SO0062"/>
        <s v="SO0063"/>
        <s v="SO0064"/>
        <s v="SO0065"/>
        <s v="SO0066"/>
        <s v="SO0067"/>
        <s v="SO0068"/>
        <s v="SO0069"/>
        <s v="SO0070"/>
        <s v="SO0071"/>
        <s v="SO0072"/>
        <s v="SO0073"/>
        <s v="SO0074"/>
        <s v="SO0075"/>
        <s v="SO0076"/>
        <s v="SO0077"/>
        <s v="SO0078"/>
        <s v="SO0079"/>
        <s v="SO0080"/>
        <s v="SO0081"/>
        <s v="SO0082"/>
        <s v="SO0083"/>
        <s v="SO0084"/>
        <s v="SO0085"/>
        <s v="SO0086"/>
        <s v="SO0087"/>
        <s v="SO0088"/>
        <s v="SO0089"/>
        <s v="SO0090"/>
        <s v="SO0091"/>
        <s v="SO0092"/>
        <s v="SO0093"/>
        <s v="SO0094"/>
        <s v="SO0095"/>
        <s v="SO0096"/>
        <s v="SO0097"/>
        <s v="SO0098"/>
        <s v="SO0099"/>
        <s v="SO0100"/>
        <s v="SO0101"/>
        <s v="SO0102"/>
        <s v="SO0103"/>
        <s v="SO0104"/>
        <s v="SO0105"/>
        <s v="SO0106"/>
        <s v="SO0107"/>
        <s v="SO0108"/>
        <s v="SO0109"/>
        <s v="SO0110"/>
        <s v="SO0111"/>
        <s v="SO0112"/>
        <s v="SO0113"/>
        <s v="SO0114"/>
        <s v="SO0115"/>
        <s v="SO0116"/>
        <s v="SO0117"/>
        <s v="SO0118"/>
        <s v="SO0119"/>
        <s v="SO0120"/>
        <s v="SO0121"/>
        <s v="SO0122"/>
        <s v="SO0123"/>
        <s v="SO0124"/>
        <s v="SO0125"/>
        <s v="SO0126"/>
        <s v="SO0127"/>
        <s v="SO0128"/>
        <s v="SO0129"/>
        <s v="SO0130"/>
        <s v="SO0131"/>
        <s v="SO0132"/>
        <s v="SO0133"/>
        <s v="SO0134"/>
        <s v="SO0135"/>
        <s v="SO0136"/>
        <s v="SO0137"/>
        <s v="SO0138"/>
        <s v="SO0139"/>
        <s v="SO0140"/>
        <s v="SO0141"/>
        <s v="SO0142"/>
        <s v="SO0143"/>
        <s v="SO0144"/>
        <s v="SO0145"/>
        <s v="SO0146"/>
        <s v="SO0147"/>
        <s v="SO0148"/>
        <s v="SO0149"/>
        <s v="SO0150"/>
        <s v="SO0151"/>
        <s v="SO0152"/>
        <s v="SO0153"/>
        <s v="SO0154"/>
        <s v="SO0155"/>
        <s v="SO0156"/>
        <s v="SO0157"/>
        <s v="SO0158"/>
        <s v="SO0159"/>
        <s v="SO0160"/>
        <s v="SO0161"/>
        <s v="SO0162"/>
        <s v="SO0163"/>
        <s v="SO0164"/>
        <s v="SO0165"/>
        <s v="SO0166"/>
        <s v="SO0167"/>
        <s v="SO0168"/>
        <s v="SO0169"/>
        <s v="SO0170"/>
        <s v="SO0171"/>
        <s v="SO0172"/>
        <s v="SO0173"/>
        <s v="SO0174"/>
        <s v="SO0175"/>
        <s v="SO0176"/>
        <s v="SO0177"/>
        <s v="SO0178"/>
        <s v="SO0179"/>
        <s v="SO0180"/>
        <s v="SO0181"/>
        <s v="SO0182"/>
        <s v="SO0183"/>
        <s v="SO0184"/>
        <s v="SO0185"/>
        <s v="SO0186"/>
        <s v="SO0187"/>
        <s v="SO0188"/>
        <s v="SO0189"/>
        <s v="SO0190"/>
        <s v="SO0191"/>
        <s v="SO0192"/>
        <s v="SO0193"/>
        <s v="SO0194"/>
        <s v="SO0195"/>
        <s v="SO0196"/>
        <s v="SO0197"/>
        <s v="SO0198"/>
        <s v="SO0199"/>
        <s v="SO0200"/>
        <s v="SO0201"/>
        <s v="SO0202"/>
        <s v="SO0203"/>
        <s v="SO0204"/>
        <s v="SO0205"/>
        <s v="SO0206"/>
        <s v="SO0207"/>
        <s v="SO0208"/>
        <s v="SO0209"/>
        <s v="SO0210"/>
        <s v="SO0211"/>
        <s v="SO0212"/>
        <s v="SO0213"/>
        <s v="SO0214"/>
        <s v="SO0215"/>
        <s v="SO0216"/>
        <s v="SO0217"/>
        <s v="SO0218"/>
        <s v="SO0219"/>
        <s v="SO0220"/>
        <s v="SO0221"/>
        <s v="SO0222"/>
        <s v="SO0223"/>
        <s v="SO0224"/>
        <s v="SO0225"/>
        <s v="SO0226"/>
        <s v="SO0227"/>
        <s v="SO0228"/>
        <s v="SO0229"/>
        <s v="SO0230"/>
        <s v="SO0231"/>
        <s v="SO0232"/>
        <s v="SO0233"/>
        <s v="SO0234"/>
        <s v="SO0235"/>
        <s v="SO0236"/>
        <s v="SO0237"/>
        <s v="SO0238"/>
        <s v="SO0239"/>
        <s v="SO0240"/>
        <s v="SO0241"/>
        <s v="SO0242"/>
        <s v="SO0243"/>
        <s v="SO0244"/>
        <s v="SO0245"/>
        <s v="SO0246"/>
        <s v="SO0247"/>
        <s v="SO0248"/>
        <s v="SO0249"/>
        <s v="SO0250"/>
        <s v="SO0251"/>
        <s v="SO0252"/>
        <s v="SO0253"/>
        <s v="SO0254"/>
        <s v="SO0255"/>
        <s v="SO0256"/>
        <s v="SO0257"/>
        <s v="SO0258"/>
        <s v="SO0259"/>
        <s v="SO0260"/>
        <s v="SO0261"/>
        <s v="SO0262"/>
        <s v="SO0263"/>
        <s v="SO0264"/>
        <s v="SO0265"/>
        <s v="SO0266"/>
        <s v="SO0267"/>
        <s v="SO0268"/>
        <s v="SO0269"/>
        <s v="SO0270"/>
        <s v="SO0271"/>
        <s v="SO0272"/>
        <s v="SO0273"/>
        <s v="SO0274"/>
        <s v="SO0275"/>
        <s v="SO0276"/>
        <s v="SO0277"/>
        <s v="SO0278"/>
        <s v="SO0279"/>
        <s v="SO0280"/>
        <s v="SO0281"/>
        <s v="SO0282"/>
        <s v="SO0283"/>
        <s v="SO0284"/>
        <s v="SO0285"/>
        <s v="SO0286"/>
        <s v="SO0287"/>
        <s v="SO0288"/>
        <s v="SO0289"/>
        <s v="SO0290"/>
        <s v="SO0291"/>
        <s v="SO0292"/>
        <s v="SO0293"/>
        <s v="SO0294"/>
        <s v="SO0295"/>
        <s v="SO0296"/>
        <s v="SO0297"/>
        <s v="SO0298"/>
        <s v="SO0299"/>
        <s v="SO0300"/>
        <s v="SO0301"/>
        <s v="SO0302"/>
        <s v="SO0303"/>
        <s v="SO0304"/>
        <s v="SO0305"/>
        <s v="SO0306"/>
        <s v="SO0307"/>
        <s v="SO0308"/>
        <s v="SO0309"/>
        <s v="SO0310"/>
        <s v="SO0311"/>
        <s v="SO0312"/>
        <s v="SO0313"/>
        <s v="SO0314"/>
        <s v="SO0315"/>
        <s v="SO0316"/>
        <s v="SO0317"/>
        <s v="SO0318"/>
        <s v="SO0319"/>
        <s v="SO0320"/>
        <s v="SO0321"/>
        <s v="SO0322"/>
        <s v="SO0323"/>
        <s v="SO0324"/>
        <s v="SO0325"/>
        <s v="SO0326"/>
        <s v="SO0327"/>
        <s v="SO0328"/>
        <s v="SO0329"/>
        <s v="SO0330"/>
        <s v="SO0331"/>
        <s v="SO0332"/>
        <s v="SO0333"/>
        <s v="SO0334"/>
        <s v="SO0335"/>
        <s v="SO0336"/>
        <s v="SO0337"/>
        <s v="SO0338"/>
        <s v="SO0339"/>
        <s v="SO0340"/>
        <s v="SO0341"/>
        <s v="SO0342"/>
        <s v="SO0343"/>
        <s v="SO0344"/>
        <s v="SO0345"/>
        <s v="SO0346"/>
        <s v="SO0347"/>
        <s v="SO0348"/>
        <s v="SO0349"/>
        <s v="SO0350"/>
        <s v="SO0351"/>
        <s v="SO0352"/>
        <s v="SO0353"/>
        <s v="SO0354"/>
        <s v="SO0355"/>
        <s v="SO0356"/>
        <s v="SO0357"/>
        <s v="SO0358"/>
        <s v="SO0359"/>
        <s v="SO0360"/>
        <s v="SO0361"/>
        <s v="SO0362"/>
        <s v="SO0363"/>
        <s v="SO0364"/>
        <s v="SO0365"/>
        <s v="SO0366"/>
        <s v="SO0367"/>
        <s v="SO0368"/>
        <s v="SO0369"/>
        <s v="SO0370"/>
        <s v="SO0371"/>
        <s v="SO0372"/>
        <s v="SO0373"/>
        <s v="SO0374"/>
        <s v="SO0375"/>
        <s v="SO0376"/>
        <s v="SO0377"/>
        <s v="SO0378"/>
        <s v="SO0379"/>
        <s v="SO0380"/>
        <s v="SO0381"/>
        <s v="SO0382"/>
        <s v="SO0383"/>
        <s v="SO0384"/>
        <s v="SO0385"/>
        <s v="SO0386"/>
        <s v="SO0387"/>
        <s v="SO0388"/>
        <s v="SO0389"/>
        <s v="SO0390"/>
        <s v="SO0391"/>
        <s v="SO0392"/>
        <s v="SO0393"/>
        <s v="SO0394"/>
        <s v="SO0395"/>
        <s v="SO0396"/>
        <s v="SO0397"/>
        <s v="SO0398"/>
        <s v="SO0399"/>
        <s v="SO0400"/>
        <s v="SO0401"/>
        <s v="SO0402"/>
        <s v="SO0403"/>
        <s v="SO0404"/>
        <s v="SO0405"/>
        <s v="SO0406"/>
        <s v="SO0407"/>
        <s v="SO0408"/>
        <s v="SO0409"/>
        <s v="SO0410"/>
        <s v="SO0411"/>
        <s v="SO0412"/>
        <s v="SO0413"/>
        <s v="SO0414"/>
        <s v="SO0415"/>
        <s v="SO0416"/>
        <s v="SO0417"/>
        <s v="SO0418"/>
        <s v="SO0419"/>
        <s v="SO0420"/>
        <s v="SO0421"/>
        <s v="SO0422"/>
        <s v="SO0423"/>
        <s v="SO0424"/>
        <s v="SO0425"/>
        <s v="SO0426"/>
        <s v="SO0427"/>
        <s v="SO0428"/>
        <s v="SO0429"/>
        <s v="SO0430"/>
        <s v="SO0431"/>
        <s v="SO0432"/>
        <s v="SO0433"/>
        <s v="SO0434"/>
        <s v="SO0435"/>
        <s v="SO0436"/>
        <s v="SO0437"/>
        <s v="SO0438"/>
        <s v="SO0439"/>
        <s v="SO0440"/>
        <s v="SO0441"/>
        <s v="SO0442"/>
        <s v="SO0443"/>
        <s v="SO0444"/>
        <s v="SO0445"/>
        <s v="SO0446"/>
        <s v="SO0447"/>
        <s v="SO0448"/>
        <s v="SO0449"/>
        <s v="SO0450"/>
        <s v="SO0451"/>
        <s v="SO0452"/>
        <s v="SO0453"/>
        <s v="SO0454"/>
        <s v="SO0455"/>
        <s v="SO0456"/>
        <s v="SO0457"/>
        <s v="SO0458"/>
        <s v="SO0459"/>
        <s v="SO0460"/>
        <s v="SO0461"/>
        <s v="SO0462"/>
        <s v="SO0463"/>
        <s v="SO0464"/>
        <s v="SO0465"/>
        <s v="SO0466"/>
        <s v="SO0467"/>
        <s v="SO0468"/>
        <s v="SO0469"/>
        <s v="SO0470"/>
        <s v="SO0471"/>
        <s v="SO0472"/>
        <s v="SO0473"/>
        <s v="SO0474"/>
        <s v="SO0475"/>
        <s v="SO0476"/>
        <s v="SO0477"/>
        <s v="SO0478"/>
        <s v="SO0479"/>
        <s v="SO0480"/>
        <s v="SO0481"/>
        <s v="SO0482"/>
        <s v="SO0483"/>
        <s v="SO0484"/>
        <s v="SO0485"/>
        <s v="SO0486"/>
        <s v="SO0487"/>
        <s v="SO0488"/>
        <s v="SO0489"/>
        <s v="SO0490"/>
        <s v="SO0491"/>
        <s v="SO0492"/>
        <s v="SO0493"/>
        <s v="SO0494"/>
        <s v="SO0495"/>
        <s v="SO0496"/>
        <s v="SO0497"/>
        <s v="SO0498"/>
        <s v="SO0499"/>
        <s v="SO0500"/>
        <s v="SO0501"/>
        <s v="SO0502"/>
        <s v="SO0503"/>
        <s v="SO0504"/>
        <s v="SO0505"/>
        <s v="SO0506"/>
        <s v="SO0507"/>
        <s v="SO0508"/>
        <s v="SO0509"/>
        <s v="SO0510"/>
        <s v="SO0511"/>
        <s v="SO0512"/>
        <s v="SO0513"/>
        <s v="SO0514"/>
        <s v="SO0515"/>
        <s v="SO0516"/>
        <s v="SO0517"/>
        <s v="SO0518"/>
        <s v="SO0519"/>
        <s v="SO0520"/>
        <s v="SO0521"/>
        <s v="SO0522"/>
        <s v="SO0523"/>
        <s v="SO0524"/>
        <s v="SO0525"/>
        <s v="SO0526"/>
        <s v="SO0527"/>
        <s v="SO0528"/>
        <s v="SO0529"/>
        <s v="SO0530"/>
        <s v="SO0531"/>
        <s v="SO0532"/>
        <s v="SO0533"/>
        <s v="SO0534"/>
        <s v="SO0535"/>
        <s v="SO0536"/>
        <s v="SO0537"/>
        <s v="SO0538"/>
        <s v="SO0539"/>
        <s v="SO0540"/>
        <s v="SO0541"/>
        <s v="SO0542"/>
        <s v="SO0543"/>
        <s v="SO0544"/>
        <s v="SO0545"/>
        <s v="SO0546"/>
        <s v="SO0547"/>
        <s v="SO0548"/>
        <s v="SO0549"/>
        <s v="SO0550"/>
        <s v="SO0551"/>
        <s v="SO0552"/>
        <s v="SO0553"/>
        <s v="SO0554"/>
        <s v="SO0555"/>
        <s v="SO0556"/>
        <s v="SO0557"/>
        <s v="SO0558"/>
        <s v="SO0559"/>
        <s v="SO0560"/>
        <s v="SO0561"/>
        <s v="SO0562"/>
        <s v="SO0563"/>
        <s v="SO0564"/>
        <s v="SO0565"/>
        <s v="SO0566"/>
        <s v="SO0567"/>
        <s v="SO0568"/>
        <s v="SO0569"/>
        <s v="SO0570"/>
        <s v="SO0571"/>
        <s v="SO0572"/>
        <s v="SO0573"/>
        <s v="SO0574"/>
        <s v="SO0575"/>
        <s v="SO0576"/>
        <s v="SO0577"/>
        <s v="SO0578"/>
        <s v="SO0579"/>
        <s v="SO0580"/>
        <s v="SO0581"/>
        <s v="SO0582"/>
        <s v="SO0583"/>
        <s v="SO0584"/>
        <s v="SO0585"/>
        <s v="SO0586"/>
        <s v="SO0587"/>
        <s v="SO0588"/>
        <s v="SO0589"/>
        <s v="SO0590"/>
        <s v="SO0591"/>
        <s v="SO0592"/>
        <s v="SO0593"/>
        <s v="SO0594"/>
        <s v="SO0595"/>
        <s v="SO0596"/>
        <s v="SO0597"/>
        <s v="SO0598"/>
        <s v="SO0599"/>
        <s v="SO0600"/>
        <s v="SO0601"/>
        <s v="SO0602"/>
        <s v="SO0603"/>
        <s v="SO0604"/>
        <s v="SO0605"/>
        <s v="SO0606"/>
        <s v="SO0607"/>
        <s v="SO0608"/>
        <s v="SO0609"/>
        <s v="SO0610"/>
        <s v="SO0611"/>
        <s v="SO0612"/>
        <s v="SO0613"/>
        <s v="SO0614"/>
        <s v="SO0615"/>
        <s v="SO0616"/>
        <s v="SO0617"/>
        <s v="SO0618"/>
        <s v="SO0619"/>
        <s v="SO0620"/>
        <s v="SO0621"/>
        <s v="SO0622"/>
        <s v="SO0623"/>
        <s v="SO0624"/>
        <s v="SO0625"/>
        <s v="SO0626"/>
        <s v="SO0627"/>
        <s v="SO0628"/>
        <s v="SO0629"/>
        <s v="SO0630"/>
        <s v="SO0631"/>
        <s v="SO0632"/>
        <s v="SO0633"/>
        <s v="SO0634"/>
        <s v="SO0635"/>
        <s v="SO0636"/>
        <s v="SO0637"/>
        <s v="SO0638"/>
        <s v="SO0639"/>
        <s v="SO0640"/>
        <s v="SO0641"/>
        <s v="SO0642"/>
        <s v="SO0643"/>
        <s v="SO0644"/>
        <s v="SO0645"/>
        <s v="SO0646"/>
        <s v="SO0647"/>
        <s v="SO0648"/>
        <s v="SO0649"/>
        <s v="SO0650"/>
        <s v="SO0651"/>
        <s v="SO0652"/>
        <s v="SO0653"/>
        <s v="SO0654"/>
        <s v="SO0655"/>
        <s v="SO0656"/>
        <s v="SO0657"/>
        <s v="SO0658"/>
        <s v="SO0659"/>
        <s v="SO0660"/>
        <s v="SO0661"/>
        <s v="SO0662"/>
        <s v="SO0663"/>
        <s v="SO0664"/>
        <s v="SO0665"/>
        <s v="SO0666"/>
        <s v="SO0667"/>
        <s v="SO0668"/>
        <s v="SO0669"/>
        <s v="SO0670"/>
        <s v="SO0671"/>
        <s v="SO0672"/>
        <s v="SO0673"/>
        <s v="SO0674"/>
        <s v="SO0675"/>
        <s v="SO0676"/>
        <s v="SO0677"/>
        <s v="SO0678"/>
        <s v="SO0679"/>
        <s v="SO0680"/>
        <s v="SO0681"/>
        <s v="SO0682"/>
        <s v="SO0683"/>
        <s v="SO0684"/>
        <s v="SO0685"/>
        <s v="SO0686"/>
        <s v="SO0687"/>
        <s v="SO0688"/>
        <s v="SO0689"/>
        <s v="SO0690"/>
        <s v="SO0691"/>
        <s v="SO0692"/>
        <s v="SO0693"/>
        <s v="SO0694"/>
        <s v="SO0695"/>
        <s v="SO0696"/>
        <s v="SO0697"/>
        <s v="SO0698"/>
        <s v="SO0699"/>
        <s v="SO0700"/>
        <s v="SO0701"/>
        <s v="SO0702"/>
        <s v="SO0703"/>
        <s v="SO0704"/>
        <s v="SO0705"/>
        <s v="SO0706"/>
        <s v="SO0707"/>
        <s v="SO0708"/>
        <s v="SO0709"/>
        <s v="SO0710"/>
        <s v="SO0711"/>
        <s v="SO0712"/>
        <s v="SO0713"/>
        <s v="SO0714"/>
        <s v="SO0715"/>
        <s v="SO0716"/>
        <s v="SO0717"/>
        <s v="SO0718"/>
        <s v="SO0719"/>
        <s v="SO0720"/>
        <s v="SO0721"/>
        <s v="SO0722"/>
        <s v="SO0723"/>
        <s v="SO0724"/>
        <s v="SO0725"/>
        <s v="SO0726"/>
        <s v="SO0727"/>
        <s v="SO0728"/>
        <s v="SO0729"/>
        <s v="SO0730"/>
        <s v="SO0731"/>
        <s v="SO0732"/>
        <s v="SO0733"/>
        <s v="SO0734"/>
        <s v="SO0735"/>
        <s v="SO0736"/>
        <s v="SO0737"/>
        <s v="SO0738"/>
        <s v="SO0739"/>
        <s v="SO0740"/>
        <s v="SO0741"/>
        <s v="SO0742"/>
        <s v="SO0743"/>
        <s v="SO0744"/>
        <s v="SO0745"/>
        <s v="SO0746"/>
        <s v="SO0747"/>
        <s v="SO0748"/>
        <s v="SO0749"/>
        <s v="SO0750"/>
        <s v="SO0751"/>
        <s v="SO0752"/>
        <s v="SO0753"/>
        <s v="SO0754"/>
        <s v="SO0755"/>
        <s v="SO0756"/>
        <s v="SO0757"/>
        <s v="SO0758"/>
        <s v="SO0759"/>
        <s v="SO0760"/>
        <s v="SO0761"/>
        <s v="SO0762"/>
        <s v="SO0763"/>
        <s v="SO0764"/>
        <s v="SO0765"/>
        <s v="SO0766"/>
        <s v="SO0767"/>
        <s v="SO0768"/>
        <s v="SO0769"/>
        <s v="SO0770"/>
        <s v="SO0771"/>
        <s v="SO0772"/>
        <s v="SO0773"/>
        <s v="SO0774"/>
        <s v="SO0775"/>
        <s v="SO0776"/>
        <s v="SO0777"/>
        <s v="SO0778"/>
        <s v="SO0779"/>
        <s v="SO0780"/>
        <s v="SO0781"/>
        <s v="SO0782"/>
        <s v="SO0783"/>
        <s v="SO0784"/>
        <s v="SO0785"/>
        <s v="SO0786"/>
        <s v="SO0787"/>
        <s v="SO0788"/>
        <s v="SO0789"/>
        <s v="SO0790"/>
        <s v="SO0791"/>
        <s v="SO0792"/>
        <s v="SO0793"/>
        <s v="SO0794"/>
        <s v="SO0795"/>
        <s v="SO0796"/>
        <s v="SO0797"/>
        <s v="SO0798"/>
        <s v="SO0799"/>
        <s v="SO0800"/>
        <s v="SO0801"/>
        <s v="SO0802"/>
        <s v="SO0803"/>
        <s v="SO0804"/>
        <s v="SO0805"/>
        <s v="SO0806"/>
        <s v="SO0807"/>
        <s v="SO0808"/>
        <s v="SO0809"/>
        <s v="SO0810"/>
        <s v="SO0811"/>
        <s v="SO0812"/>
        <s v="SO0813"/>
        <s v="SO0814"/>
        <s v="SO0815"/>
        <s v="SO0816"/>
        <s v="SO0817"/>
        <s v="SO0818"/>
        <s v="SO0819"/>
        <s v="SO0820"/>
        <s v="SO0821"/>
        <s v="SO0822"/>
        <s v="SO0823"/>
        <s v="SO0824"/>
        <s v="SO0825"/>
        <s v="SO0826"/>
        <s v="SO0827"/>
        <s v="SO0828"/>
        <s v="SO0829"/>
        <s v="SO0830"/>
        <s v="SO0831"/>
        <s v="SO0832"/>
        <s v="SO0833"/>
        <s v="SO0834"/>
        <s v="SO0835"/>
        <s v="SO0836"/>
        <s v="SO0837"/>
        <s v="SO0838"/>
        <s v="SO0839"/>
        <s v="SO0840"/>
        <s v="SO0841"/>
        <s v="SO0842"/>
        <s v="SO0843"/>
        <s v="SO0844"/>
        <s v="SO0845"/>
        <s v="SO0846"/>
        <s v="SO0847"/>
        <s v="SO0848"/>
        <s v="SO0849"/>
        <s v="SO0850"/>
        <s v="SO0851"/>
        <s v="SO0852"/>
        <s v="SO0853"/>
        <s v="SO0854"/>
        <s v="SO0855"/>
        <s v="SO0856"/>
        <s v="SO0857"/>
        <s v="SO0858"/>
        <s v="SO0859"/>
        <s v="SO0860"/>
        <s v="SO0861"/>
        <s v="SO0862"/>
        <s v="SO0863"/>
        <s v="SO0864"/>
        <s v="SO0865"/>
        <s v="SO0866"/>
        <s v="SO0867"/>
        <s v="SO0868"/>
        <s v="SO0869"/>
        <s v="SO0870"/>
        <s v="SO0871"/>
        <s v="SO0872"/>
        <s v="SO0873"/>
        <s v="SO0874"/>
        <s v="SO0875"/>
        <s v="SO0876"/>
        <s v="SO0877"/>
        <s v="SO0878"/>
        <s v="SO0879"/>
        <s v="SO0880"/>
        <s v="SO0881"/>
        <s v="SO0882"/>
        <s v="SO0883"/>
        <s v="SO0884"/>
        <s v="SO0885"/>
        <s v="SO0886"/>
        <s v="SO0887"/>
        <s v="SO0888"/>
        <s v="SO0889"/>
        <s v="SO0890"/>
        <s v="SO0891"/>
        <s v="SO0892"/>
        <s v="SO0893"/>
        <s v="SO0894"/>
        <s v="SO0895"/>
        <s v="SO0896"/>
        <s v="SO0897"/>
        <s v="SO0898"/>
        <s v="SO0899"/>
        <s v="SO0900"/>
        <s v="SO0901"/>
        <s v="SO0902"/>
        <s v="SO0903"/>
        <s v="SO0904"/>
        <s v="SO0905"/>
        <s v="SO0906"/>
        <s v="SO0907"/>
        <s v="SO0908"/>
        <s v="SO0909"/>
        <s v="SO0910"/>
        <s v="SO0911"/>
        <s v="SO0912"/>
        <s v="SO0913"/>
        <s v="SO0914"/>
        <s v="SO0915"/>
        <s v="SO0916"/>
        <s v="SO0917"/>
        <s v="SO0918"/>
        <s v="SO0919"/>
        <s v="SO0920"/>
        <s v="SO0921"/>
        <s v="SO0922"/>
        <s v="SO0923"/>
        <s v="SO0924"/>
        <s v="SO0925"/>
        <s v="SO0926"/>
        <s v="SO0927"/>
        <s v="SO0928"/>
        <s v="SO0929"/>
        <s v="SO0930"/>
        <s v="SO0931"/>
        <s v="SO0932"/>
        <s v="SO0933"/>
        <s v="SO0934"/>
        <s v="SO0935"/>
        <s v="SO0936"/>
        <s v="SO0937"/>
        <s v="SO0938"/>
        <s v="SO0939"/>
        <s v="SO0940"/>
        <s v="SO0941"/>
        <s v="SO0942"/>
        <s v="SO0943"/>
        <s v="SO0944"/>
        <s v="SO0945"/>
        <s v="SO0946"/>
        <s v="SO0947"/>
        <s v="SO0948"/>
        <s v="SO0949"/>
        <s v="SO0950"/>
        <s v="SO0951"/>
        <s v="SO0952"/>
        <s v="SO0953"/>
        <s v="SO0954"/>
        <s v="SO0955"/>
        <s v="SO0956"/>
        <s v="SO0957"/>
        <s v="SO0958"/>
        <s v="SO0959"/>
        <s v="SO0960"/>
        <s v="SO0961"/>
        <s v="SO0962"/>
        <s v="SO0963"/>
        <s v="SO0964"/>
        <s v="SO0965"/>
        <s v="SO0966"/>
        <s v="SO0967"/>
        <s v="SO0968"/>
        <s v="SO0969"/>
        <s v="SO0970"/>
        <s v="SO0971"/>
        <s v="SO0972"/>
        <s v="SO0973"/>
        <s v="SO0974"/>
        <s v="SO0975"/>
        <s v="SO0976"/>
        <s v="SO0977"/>
        <s v="SO0978"/>
        <s v="SO0979"/>
        <s v="SO0980"/>
        <s v="SO0981"/>
        <s v="SO0982"/>
        <s v="SO0983"/>
        <s v="SO0984"/>
        <s v="SO0985"/>
        <s v="SO0986"/>
        <s v="SO0987"/>
        <s v="SO0988"/>
        <s v="SO0989"/>
        <s v="SO0990"/>
        <s v="SO0991"/>
        <s v="SO0992"/>
        <s v="SO0993"/>
        <s v="SO0994"/>
        <s v="SO0995"/>
        <s v="SO0996"/>
        <s v="SO0997"/>
        <s v="SO0998"/>
        <s v="SO0999"/>
        <s v="SO1000"/>
      </sharedItems>
    </cacheField>
    <cacheField name="Order Date" numFmtId="182">
      <sharedItems containsSemiMixedTypes="0" containsString="0" containsNonDate="0" containsDate="1" minDate="2018-01-01T00:00:00" maxDate="2026-03-05T00:00:00" count="869">
        <d v="2021-04-24T00:00:00"/>
        <d v="2018-01-10T00:00:00"/>
        <d v="2025-07-07T00:00:00"/>
        <d v="2025-03-30T00:00:00"/>
        <d v="2019-08-23T00:00:00"/>
        <d v="2018-02-13T00:00:00"/>
        <d v="2020-07-27T00:00:00"/>
        <d v="2018-04-06T00:00:00"/>
        <d v="2025-04-09T00:00:00"/>
        <d v="2019-08-24T00:00:00"/>
        <d v="2020-06-13T00:00:00"/>
        <d v="2025-01-28T00:00:00"/>
        <d v="2021-05-22T00:00:00"/>
        <d v="2020-08-01T00:00:00"/>
        <d v="2022-04-01T00:00:00"/>
        <d v="2019-08-16T00:00:00"/>
        <d v="2025-07-06T00:00:00"/>
        <d v="2020-05-10T00:00:00"/>
        <d v="2025-03-01T00:00:00"/>
        <d v="2020-07-09T00:00:00"/>
        <d v="2020-12-23T00:00:00"/>
        <d v="2020-05-09T00:00:00"/>
        <d v="2025-01-27T00:00:00"/>
        <d v="2019-10-04T00:00:00"/>
        <d v="2019-07-16T00:00:00"/>
        <d v="2025-05-07T00:00:00"/>
        <d v="2021-01-09T00:00:00"/>
        <d v="2021-01-05T00:00:00"/>
        <d v="2021-04-13T00:00:00"/>
        <d v="2020-06-16T00:00:00"/>
        <d v="2021-05-27T00:00:00"/>
        <d v="2018-02-16T00:00:00"/>
        <d v="2025-03-10T00:00:00"/>
        <d v="2024-01-10T00:00:00"/>
        <d v="2020-08-02T00:00:00"/>
        <d v="2026-02-17T00:00:00"/>
        <d v="2025-03-31T00:00:00"/>
        <d v="2020-08-12T00:00:00"/>
        <d v="2018-03-07T00:00:00"/>
        <d v="2019-11-02T00:00:00"/>
        <d v="2025-02-22T00:00:00"/>
        <d v="2019-11-11T00:00:00"/>
        <d v="2018-03-17T00:00:00"/>
        <d v="2020-05-20T00:00:00"/>
        <d v="2019-12-02T00:00:00"/>
        <d v="2018-06-18T00:00:00"/>
        <d v="2026-02-21T00:00:00"/>
        <d v="2020-07-24T00:00:00"/>
        <d v="2019-08-08T00:00:00"/>
        <d v="2018-06-15T00:00:00"/>
        <d v="2018-03-13T00:00:00"/>
        <d v="2020-12-27T00:00:00"/>
        <d v="2025-02-20T00:00:00"/>
        <d v="2021-05-30T00:00:00"/>
        <d v="2018-09-13T00:00:00"/>
        <d v="2018-05-29T00:00:00"/>
        <d v="2018-02-18T00:00:00"/>
        <d v="2020-07-07T00:00:00"/>
        <d v="2018-03-01T00:00:00"/>
        <d v="2018-05-11T00:00:00"/>
        <d v="2018-01-05T00:00:00"/>
        <d v="2018-06-19T00:00:00"/>
        <d v="2019-08-12T00:00:00"/>
        <d v="2019-11-03T00:00:00"/>
        <d v="2018-03-12T00:00:00"/>
        <d v="2020-12-25T00:00:00"/>
        <d v="2018-08-30T00:00:00"/>
        <d v="2020-05-23T00:00:00"/>
        <d v="2021-01-11T00:00:00"/>
        <d v="2018-07-10T00:00:00"/>
        <d v="2020-05-28T00:00:00"/>
        <d v="2018-03-28T00:00:00"/>
        <d v="2025-05-05T00:00:00"/>
        <d v="2020-09-28T00:00:00"/>
        <d v="2018-04-07T00:00:00"/>
        <d v="2020-05-27T00:00:00"/>
        <d v="2020-06-28T00:00:00"/>
        <d v="2021-05-06T00:00:00"/>
        <d v="2025-01-29T00:00:00"/>
        <d v="2018-07-06T00:00:00"/>
        <d v="2018-04-12T00:00:00"/>
        <d v="2019-12-20T00:00:00"/>
        <d v="2026-02-25T00:00:00"/>
        <d v="2019-09-24T00:00:00"/>
        <d v="2020-09-15T00:00:00"/>
        <d v="2020-08-08T00:00:00"/>
        <d v="2018-08-03T00:00:00"/>
        <d v="2020-08-19T00:00:00"/>
        <d v="2022-04-05T00:00:00"/>
        <d v="2019-10-19T00:00:00"/>
        <d v="2021-05-20T00:00:00"/>
        <d v="2025-04-08T00:00:00"/>
        <d v="2025-03-17T00:00:00"/>
        <d v="2020-09-13T00:00:00"/>
        <d v="2018-03-16T00:00:00"/>
        <d v="2018-06-14T00:00:00"/>
        <d v="2025-03-14T00:00:00"/>
        <d v="2023-01-14T00:00:00"/>
        <d v="2018-01-28T00:00:00"/>
        <d v="2021-01-29T00:00:00"/>
        <d v="2020-09-19T00:00:00"/>
        <d v="2023-01-16T00:00:00"/>
        <d v="2025-01-04T00:00:00"/>
        <d v="2019-12-21T00:00:00"/>
        <d v="2019-11-20T00:00:00"/>
        <d v="2018-07-22T00:00:00"/>
        <d v="2019-07-30T00:00:00"/>
        <d v="2018-08-13T00:00:00"/>
        <d v="2021-06-03T00:00:00"/>
        <d v="2019-10-17T00:00:00"/>
        <d v="2020-09-20T00:00:00"/>
        <d v="2025-02-25T00:00:00"/>
        <d v="2018-02-10T00:00:00"/>
        <d v="2025-01-31T00:00:00"/>
        <d v="2019-10-13T00:00:00"/>
        <d v="2025-03-15T00:00:00"/>
        <d v="2023-01-12T00:00:00"/>
        <d v="2024-01-07T00:00:00"/>
        <d v="2026-02-08T00:00:00"/>
        <d v="2019-11-12T00:00:00"/>
        <d v="2025-01-15T00:00:00"/>
        <d v="2020-06-17T00:00:00"/>
        <d v="2019-10-06T00:00:00"/>
        <d v="2025-03-05T00:00:00"/>
        <d v="2021-04-19T00:00:00"/>
        <d v="2020-06-25T00:00:00"/>
        <d v="2020-08-25T00:00:00"/>
        <d v="2018-01-21T00:00:00"/>
        <d v="2025-01-03T00:00:00"/>
        <d v="2025-02-24T00:00:00"/>
        <d v="2020-12-29T00:00:00"/>
        <d v="2020-07-30T00:00:00"/>
        <d v="2021-01-03T00:00:00"/>
        <d v="2025-01-18T00:00:00"/>
        <d v="2018-07-24T00:00:00"/>
        <d v="2021-05-28T00:00:00"/>
        <d v="2018-03-19T00:00:00"/>
        <d v="2018-08-27T00:00:00"/>
        <d v="2019-08-21T00:00:00"/>
        <d v="2020-09-24T00:00:00"/>
        <d v="2020-12-30T00:00:00"/>
        <d v="2022-03-22T00:00:00"/>
        <d v="2019-07-19T00:00:00"/>
        <d v="2021-04-20T00:00:00"/>
        <d v="2019-09-13T00:00:00"/>
        <d v="2018-02-08T00:00:00"/>
        <d v="2020-07-20T00:00:00"/>
        <d v="2022-01-26T00:00:00"/>
        <d v="2018-08-28T00:00:00"/>
        <d v="2025-02-05T00:00:00"/>
        <d v="2024-01-09T00:00:00"/>
        <d v="2025-04-10T00:00:00"/>
        <d v="2019-10-20T00:00:00"/>
        <d v="2019-12-30T00:00:00"/>
        <d v="2018-05-16T00:00:00"/>
        <d v="2025-03-11T00:00:00"/>
        <d v="2018-05-09T00:00:00"/>
        <d v="2018-01-25T00:00:00"/>
        <d v="2020-05-26T00:00:00"/>
        <d v="2025-03-25T00:00:00"/>
        <d v="2019-11-18T00:00:00"/>
        <d v="2020-06-15T00:00:00"/>
        <d v="2023-01-17T00:00:00"/>
        <d v="2019-12-28T00:00:00"/>
        <d v="2020-06-07T00:00:00"/>
        <d v="2018-06-28T00:00:00"/>
        <d v="2020-05-12T00:00:00"/>
        <d v="2018-01-22T00:00:00"/>
        <d v="2021-05-21T00:00:00"/>
        <d v="2019-12-11T00:00:00"/>
        <d v="2020-10-07T00:00:00"/>
        <d v="2025-02-03T00:00:00"/>
        <d v="2025-04-30T00:00:00"/>
        <d v="2018-01-26T00:00:00"/>
        <d v="2019-08-06T00:00:00"/>
        <d v="2020-06-03T00:00:00"/>
        <d v="2018-09-03T00:00:00"/>
        <d v="2021-05-31T00:00:00"/>
        <d v="2025-01-10T00:00:00"/>
        <d v="2019-09-14T00:00:00"/>
        <d v="2020-06-29T00:00:00"/>
        <d v="2022-01-28T00:00:00"/>
        <d v="2019-07-08T00:00:00"/>
        <d v="2025-07-05T00:00:00"/>
        <d v="2024-01-13T00:00:00"/>
        <d v="2019-09-02T00:00:00"/>
        <d v="2019-08-13T00:00:00"/>
        <d v="2022-03-18T00:00:00"/>
        <d v="2019-12-23T00:00:00"/>
        <d v="2025-03-16T00:00:00"/>
        <d v="2019-08-01T00:00:00"/>
        <d v="2020-10-08T00:00:00"/>
        <d v="2019-10-03T00:00:00"/>
        <d v="2021-01-24T00:00:00"/>
        <d v="2020-07-19T00:00:00"/>
        <d v="2018-09-14T00:00:00"/>
        <d v="2022-04-03T00:00:00"/>
        <d v="2018-08-12T00:00:00"/>
        <d v="2025-02-28T00:00:00"/>
        <d v="2025-04-02T00:00:00"/>
        <d v="2019-10-21T00:00:00"/>
        <d v="2025-03-26T00:00:00"/>
        <d v="2018-01-13T00:00:00"/>
        <d v="2025-02-01T00:00:00"/>
        <d v="2019-10-10T00:00:00"/>
        <d v="2018-02-01T00:00:00"/>
        <d v="2022-03-17T00:00:00"/>
        <d v="2018-06-21T00:00:00"/>
        <d v="2020-06-27T00:00:00"/>
        <d v="2020-06-11T00:00:00"/>
        <d v="2025-04-01T00:00:00"/>
        <d v="2021-04-15T00:00:00"/>
        <d v="2019-12-19T00:00:00"/>
        <d v="2025-03-03T00:00:00"/>
        <d v="2019-08-07T00:00:00"/>
        <d v="2020-09-14T00:00:00"/>
        <d v="2019-09-06T00:00:00"/>
        <d v="2019-11-17T00:00:00"/>
        <d v="2019-12-08T00:00:00"/>
        <d v="2026-02-10T00:00:00"/>
        <d v="2019-11-26T00:00:00"/>
        <d v="2018-09-06T00:00:00"/>
        <d v="2020-06-14T00:00:00"/>
        <d v="2026-02-09T00:00:00"/>
        <d v="2019-11-10T00:00:00"/>
        <d v="2018-02-27T00:00:00"/>
        <d v="2020-09-10T00:00:00"/>
        <d v="2018-05-23T00:00:00"/>
        <d v="2025-03-08T00:00:00"/>
        <d v="2025-01-30T00:00:00"/>
        <d v="2018-03-24T00:00:00"/>
        <d v="2018-09-20T00:00:00"/>
        <d v="2020-07-10T00:00:00"/>
        <d v="2018-02-07T00:00:00"/>
        <d v="2020-06-23T00:00:00"/>
        <d v="2019-11-30T00:00:00"/>
        <d v="2018-08-05T00:00:00"/>
        <d v="2018-03-30T00:00:00"/>
        <d v="2020-07-13T00:00:00"/>
        <d v="2018-04-14T00:00:00"/>
        <d v="2019-07-15T00:00:00"/>
        <d v="2018-04-08T00:00:00"/>
        <d v="2023-01-15T00:00:00"/>
        <d v="2018-04-23T00:00:00"/>
        <d v="2018-01-29T00:00:00"/>
        <d v="2025-12-09T00:00:00"/>
        <d v="2020-08-07T00:00:00"/>
        <d v="2019-09-30T00:00:00"/>
        <d v="2025-01-11T00:00:00"/>
        <d v="2026-02-12T00:00:00"/>
        <d v="2018-02-21T00:00:00"/>
        <d v="2026-02-24T00:00:00"/>
        <d v="2020-06-02T00:00:00"/>
        <d v="2020-12-16T00:00:00"/>
        <d v="2020-08-06T00:00:00"/>
        <d v="2021-05-02T00:00:00"/>
        <d v="2019-10-15T00:00:00"/>
        <d v="2018-03-02T00:00:00"/>
        <d v="2021-01-16T00:00:00"/>
        <d v="2018-03-15T00:00:00"/>
        <d v="2018-04-18T00:00:00"/>
        <d v="2019-11-23T00:00:00"/>
        <d v="2018-08-17T00:00:00"/>
        <d v="2018-02-19T00:00:00"/>
        <d v="2019-12-24T00:00:00"/>
        <d v="2020-12-17T00:00:00"/>
        <d v="2021-05-24T00:00:00"/>
        <d v="2019-07-26T00:00:00"/>
        <d v="2020-05-22T00:00:00"/>
        <d v="2018-07-19T00:00:00"/>
        <d v="2018-07-15T00:00:00"/>
        <d v="2019-12-15T00:00:00"/>
        <d v="2018-08-18T00:00:00"/>
        <d v="2019-08-20T00:00:00"/>
        <d v="2018-03-31T00:00:00"/>
        <d v="2025-05-03T00:00:00"/>
        <d v="2019-07-29T00:00:00"/>
        <d v="2018-06-05T00:00:00"/>
        <d v="2022-03-24T00:00:00"/>
        <d v="2019-07-20T00:00:00"/>
        <d v="2020-07-05T00:00:00"/>
        <d v="2018-08-04T00:00:00"/>
        <d v="2018-08-23T00:00:00"/>
        <d v="2019-08-10T00:00:00"/>
        <d v="2018-02-03T00:00:00"/>
        <d v="2026-02-13T00:00:00"/>
        <d v="2020-12-31T00:00:00"/>
        <d v="2020-07-04T00:00:00"/>
        <d v="2020-05-29T00:00:00"/>
        <d v="2019-12-06T00:00:00"/>
        <d v="2020-09-05T00:00:00"/>
        <d v="2018-05-06T00:00:00"/>
        <d v="2025-02-07T00:00:00"/>
        <d v="2019-08-31T00:00:00"/>
        <d v="2018-01-09T00:00:00"/>
        <d v="2025-03-04T00:00:00"/>
        <d v="2019-12-01T00:00:00"/>
        <d v="2018-06-12T00:00:00"/>
        <d v="2025-01-06T00:00:00"/>
        <d v="2019-09-18T00:00:00"/>
        <d v="2019-11-07T00:00:00"/>
        <d v="2018-08-09T00:00:00"/>
        <d v="2018-04-25T00:00:00"/>
        <d v="2025-04-03T00:00:00"/>
        <d v="2020-06-04T00:00:00"/>
        <d v="2021-01-18T00:00:00"/>
        <d v="2019-11-09T00:00:00"/>
        <d v="2025-04-06T00:00:00"/>
        <d v="2018-06-23T00:00:00"/>
        <d v="2018-01-30T00:00:00"/>
        <d v="2018-08-16T00:00:00"/>
        <d v="2019-08-25T00:00:00"/>
        <d v="2020-08-23T00:00:00"/>
        <d v="2019-08-27T00:00:00"/>
        <d v="2018-01-11T00:00:00"/>
        <d v="2021-01-27T00:00:00"/>
        <d v="2025-03-27T00:00:00"/>
        <d v="2025-03-02T00:00:00"/>
        <d v="2025-07-02T00:00:00"/>
        <d v="2018-04-03T00:00:00"/>
        <d v="2020-12-14T00:00:00"/>
        <d v="2020-07-25T00:00:00"/>
        <d v="2024-01-08T00:00:00"/>
        <d v="2020-10-04T00:00:00"/>
        <d v="2019-10-09T00:00:00"/>
        <d v="2025-05-06T00:00:00"/>
        <d v="2025-03-06T00:00:00"/>
        <d v="2021-04-29T00:00:00"/>
        <d v="2018-07-31T00:00:00"/>
        <d v="2022-03-23T00:00:00"/>
        <d v="2024-01-06T00:00:00"/>
        <d v="2019-12-18T00:00:00"/>
        <d v="2018-02-20T00:00:00"/>
        <d v="2020-07-26T00:00:00"/>
        <d v="2025-04-04T00:00:00"/>
        <d v="2018-06-20T00:00:00"/>
        <d v="2019-07-14T00:00:00"/>
        <d v="2021-04-17T00:00:00"/>
        <d v="2021-01-15T00:00:00"/>
        <d v="2020-09-21T00:00:00"/>
        <d v="2018-03-21T00:00:00"/>
        <d v="2018-04-01T00:00:00"/>
        <d v="2018-07-14T00:00:00"/>
        <d v="2018-09-09T00:00:00"/>
        <d v="2019-09-17T00:00:00"/>
        <d v="2020-12-13T00:00:00"/>
        <d v="2021-04-21T00:00:00"/>
        <d v="2018-07-11T00:00:00"/>
        <d v="2020-06-10T00:00:00"/>
        <d v="2018-02-11T00:00:00"/>
        <d v="2022-01-22T00:00:00"/>
        <d v="2026-02-28T00:00:00"/>
        <d v="2019-07-13T00:00:00"/>
        <d v="2018-01-24T00:00:00"/>
        <d v="2019-10-05T00:00:00"/>
        <d v="2020-06-20T00:00:00"/>
        <d v="2018-05-07T00:00:00"/>
        <d v="2020-07-02T00:00:00"/>
        <d v="2019-11-04T00:00:00"/>
        <d v="2018-08-14T00:00:00"/>
        <d v="2019-12-12T00:00:00"/>
        <d v="2018-04-13T00:00:00"/>
        <d v="2018-03-23T00:00:00"/>
        <d v="2018-03-11T00:00:00"/>
        <d v="2018-07-01T00:00:00"/>
        <d v="2026-03-02T00:00:00"/>
        <d v="2025-04-05T00:00:00"/>
        <d v="2020-05-31T00:00:00"/>
        <d v="2018-05-25T00:00:00"/>
        <d v="2018-04-28T00:00:00"/>
        <d v="2020-08-27T00:00:00"/>
        <d v="2022-01-30T00:00:00"/>
        <d v="2022-03-25T00:00:00"/>
        <d v="2025-05-08T00:00:00"/>
        <d v="2019-08-02T00:00:00"/>
        <d v="2021-01-01T00:00:00"/>
        <d v="2018-07-28T00:00:00"/>
        <d v="2025-02-23T00:00:00"/>
        <d v="2018-07-27T00:00:00"/>
        <d v="2021-04-16T00:00:00"/>
        <d v="2019-08-03T00:00:00"/>
        <d v="2020-07-17T00:00:00"/>
        <d v="2019-10-29T00:00:00"/>
        <d v="2026-03-04T00:00:00"/>
        <d v="2021-01-02T00:00:00"/>
        <d v="2021-01-14T00:00:00"/>
        <d v="2020-09-03T00:00:00"/>
        <d v="2020-05-21T00:00:00"/>
        <d v="2019-12-05T00:00:00"/>
        <d v="2025-01-17T00:00:00"/>
        <d v="2020-10-02T00:00:00"/>
        <d v="2019-12-13T00:00:00"/>
        <d v="2019-11-15T00:00:00"/>
        <d v="2020-09-11T00:00:00"/>
        <d v="2018-02-02T00:00:00"/>
        <d v="2018-09-08T00:00:00"/>
        <d v="2018-09-10T00:00:00"/>
        <d v="2018-03-03T00:00:00"/>
        <d v="2020-06-21T00:00:00"/>
        <d v="2018-07-18T00:00:00"/>
        <d v="2020-09-17T00:00:00"/>
        <d v="2019-09-28T00:00:00"/>
        <d v="2020-09-12T00:00:00"/>
        <d v="2025-03-29T00:00:00"/>
        <d v="2018-04-29T00:00:00"/>
        <d v="2020-07-11T00:00:00"/>
        <d v="2020-12-12T00:00:00"/>
        <d v="2018-08-31T00:00:00"/>
        <d v="2024-01-12T00:00:00"/>
        <d v="2019-08-28T00:00:00"/>
        <d v="2018-08-11T00:00:00"/>
        <d v="2025-02-06T00:00:00"/>
        <d v="2019-08-22T00:00:00"/>
        <d v="2025-05-02T00:00:00"/>
        <d v="2018-07-03T00:00:00"/>
        <d v="2018-05-24T00:00:00"/>
        <d v="2018-03-20T00:00:00"/>
        <d v="2021-05-11T00:00:00"/>
        <d v="2021-04-26T00:00:00"/>
        <d v="2020-08-22T00:00:00"/>
        <d v="2026-02-26T00:00:00"/>
        <d v="2021-01-20T00:00:00"/>
        <d v="2022-04-08T00:00:00"/>
        <d v="2020-05-13T00:00:00"/>
        <d v="2019-07-27T00:00:00"/>
        <d v="2018-04-24T00:00:00"/>
        <d v="2018-01-23T00:00:00"/>
        <d v="2018-05-04T00:00:00"/>
        <d v="2018-06-27T00:00:00"/>
        <d v="2018-02-17T00:00:00"/>
        <d v="2018-06-04T00:00:00"/>
        <d v="2025-01-02T00:00:00"/>
        <d v="2026-02-19T00:00:00"/>
        <d v="2020-05-14T00:00:00"/>
        <d v="2019-10-11T00:00:00"/>
        <d v="2018-05-27T00:00:00"/>
        <d v="2018-02-14T00:00:00"/>
        <d v="2025-12-10T00:00:00"/>
        <d v="2021-05-26T00:00:00"/>
        <d v="2021-04-12T00:00:00"/>
        <d v="2022-03-29T00:00:00"/>
        <d v="2020-10-03T00:00:00"/>
        <d v="2021-01-07T00:00:00"/>
        <d v="2018-02-04T00:00:00"/>
        <d v="2018-08-24T00:00:00"/>
        <d v="2018-03-27T00:00:00"/>
        <d v="2018-03-05T00:00:00"/>
        <d v="2019-11-19T00:00:00"/>
        <d v="2020-07-22T00:00:00"/>
        <d v="2018-02-15T00:00:00"/>
        <d v="2020-06-06T00:00:00"/>
        <d v="2021-01-04T00:00:00"/>
        <d v="2018-02-06T00:00:00"/>
        <d v="2019-12-25T00:00:00"/>
        <d v="2018-04-17T00:00:00"/>
        <d v="2021-06-01T00:00:00"/>
        <d v="2019-09-12T00:00:00"/>
        <d v="2018-06-06T00:00:00"/>
        <d v="2019-09-08T00:00:00"/>
        <d v="2021-05-13T00:00:00"/>
        <d v="2018-01-08T00:00:00"/>
        <d v="2018-05-30T00:00:00"/>
        <d v="2023-01-11T00:00:00"/>
        <d v="2018-01-01T00:00:00"/>
        <d v="2018-06-16T00:00:00"/>
        <d v="2025-03-12T00:00:00"/>
        <d v="2024-01-11T00:00:00"/>
        <d v="2018-06-07T00:00:00"/>
        <d v="2020-09-06T00:00:00"/>
        <d v="2019-12-10T00:00:00"/>
        <d v="2019-10-30T00:00:00"/>
        <d v="2019-07-22T00:00:00"/>
        <d v="2021-01-13T00:00:00"/>
        <d v="2018-04-30T00:00:00"/>
        <d v="2018-05-26T00:00:00"/>
        <d v="2019-10-01T00:00:00"/>
        <d v="2022-01-20T00:00:00"/>
        <d v="2020-09-09T00:00:00"/>
        <d v="2018-02-23T00:00:00"/>
        <d v="2018-07-23T00:00:00"/>
        <d v="2019-07-23T00:00:00"/>
        <d v="2021-05-01T00:00:00"/>
        <d v="2020-08-30T00:00:00"/>
        <d v="2019-08-04T00:00:00"/>
        <d v="2020-08-24T00:00:00"/>
        <d v="2019-07-28T00:00:00"/>
        <d v="2018-07-25T00:00:00"/>
        <d v="2020-09-01T00:00:00"/>
        <d v="2018-09-05T00:00:00"/>
        <d v="2019-09-27T00:00:00"/>
        <d v="2025-02-04T00:00:00"/>
        <d v="2019-11-16T00:00:00"/>
        <d v="2018-07-30T00:00:00"/>
        <d v="2025-02-21T00:00:00"/>
        <d v="2019-10-18T00:00:00"/>
        <d v="2021-05-04T00:00:00"/>
        <d v="2019-09-04T00:00:00"/>
        <d v="2020-08-14T00:00:00"/>
        <d v="2025-01-26T00:00:00"/>
        <d v="2020-07-23T00:00:00"/>
        <d v="2019-08-05T00:00:00"/>
        <d v="2020-08-16T00:00:00"/>
        <d v="2018-05-13T00:00:00"/>
        <d v="2018-02-09T00:00:00"/>
        <d v="2019-09-25T00:00:00"/>
        <d v="2020-08-13T00:00:00"/>
        <d v="2022-01-29T00:00:00"/>
        <d v="2022-01-31T00:00:00"/>
        <d v="2021-04-11T00:00:00"/>
        <d v="2019-10-26T00:00:00"/>
        <d v="2018-09-04T00:00:00"/>
        <d v="2020-06-12T00:00:00"/>
        <d v="2019-08-19T00:00:00"/>
        <d v="2020-08-09T00:00:00"/>
        <d v="2025-02-27T00:00:00"/>
        <d v="2020-06-22T00:00:00"/>
        <d v="2018-08-08T00:00:00"/>
        <d v="2020-08-28T00:00:00"/>
        <d v="2020-09-22T00:00:00"/>
        <d v="2020-09-18T00:00:00"/>
        <d v="2020-10-09T00:00:00"/>
        <d v="2018-07-17T00:00:00"/>
        <d v="2019-09-05T00:00:00"/>
        <d v="2020-12-26T00:00:00"/>
        <d v="2019-11-01T00:00:00"/>
        <d v="2019-12-16T00:00:00"/>
        <d v="2019-09-26T00:00:00"/>
        <d v="2018-07-16T00:00:00"/>
        <d v="2025-07-04T00:00:00"/>
        <d v="2018-08-19T00:00:00"/>
        <d v="2020-10-05T00:00:00"/>
        <d v="2019-10-02T00:00:00"/>
        <d v="2025-01-16T00:00:00"/>
        <d v="2020-07-15T00:00:00"/>
        <d v="2019-10-16T00:00:00"/>
        <d v="2018-01-04T00:00:00"/>
        <d v="2019-10-23T00:00:00"/>
        <d v="2019-09-15T00:00:00"/>
        <d v="2021-05-29T00:00:00"/>
        <d v="2020-09-08T00:00:00"/>
        <d v="2021-04-14T00:00:00"/>
        <d v="2018-01-12T00:00:00"/>
        <d v="2020-08-31T00:00:00"/>
        <d v="2019-11-06T00:00:00"/>
        <d v="2018-01-18T00:00:00"/>
        <d v="2019-12-04T00:00:00"/>
        <d v="2022-04-11T00:00:00"/>
        <d v="2018-05-19T00:00:00"/>
        <d v="2021-04-25T00:00:00"/>
        <d v="2021-04-27T00:00:00"/>
        <d v="2020-12-22T00:00:00"/>
        <d v="2020-07-21T00:00:00"/>
        <d v="2019-12-03T00:00:00"/>
        <d v="2020-08-11T00:00:00"/>
        <d v="2021-05-15T00:00:00"/>
        <d v="2019-11-05T00:00:00"/>
        <d v="2019-10-14T00:00:00"/>
        <d v="2018-08-20T00:00:00"/>
        <d v="2018-02-26T00:00:00"/>
        <d v="2019-11-25T00:00:00"/>
        <d v="2021-01-21T00:00:00"/>
        <d v="2021-04-28T00:00:00"/>
        <d v="2019-11-14T00:00:00"/>
        <d v="2025-07-03T00:00:00"/>
        <d v="2020-09-27T00:00:00"/>
        <d v="2021-05-16T00:00:00"/>
        <d v="2021-01-10T00:00:00"/>
        <d v="2019-07-12T00:00:00"/>
        <d v="2018-07-07T00:00:00"/>
        <d v="2020-08-17T00:00:00"/>
        <d v="2018-03-08T00:00:00"/>
        <d v="2018-04-10T00:00:00"/>
        <d v="2018-04-16T00:00:00"/>
        <d v="2018-03-29T00:00:00"/>
        <d v="2018-09-11T00:00:00"/>
        <d v="2020-07-14T00:00:00"/>
        <d v="2020-08-05T00:00:00"/>
        <d v="2022-03-26T00:00:00"/>
        <d v="2019-11-21T00:00:00"/>
        <d v="2019-08-15T00:00:00"/>
        <d v="2022-01-27T00:00:00"/>
        <d v="2019-07-21T00:00:00"/>
        <d v="2018-06-22T00:00:00"/>
        <d v="2021-01-17T00:00:00"/>
        <d v="2020-06-26T00:00:00"/>
        <d v="2022-02-02T00:00:00"/>
        <d v="2020-08-10T00:00:00"/>
        <d v="2026-02-14T00:00:00"/>
        <d v="2020-07-03T00:00:00"/>
        <d v="2019-09-09T00:00:00"/>
        <d v="2019-08-14T00:00:00"/>
        <d v="2018-07-08T00:00:00"/>
        <d v="2019-07-24T00:00:00"/>
        <d v="2018-01-06T00:00:00"/>
        <d v="2018-02-05T00:00:00"/>
        <d v="2021-01-06T00:00:00"/>
        <d v="2018-06-25T00:00:00"/>
        <d v="2018-04-09T00:00:00"/>
        <d v="2021-05-18T00:00:00"/>
        <d v="2021-05-19T00:00:00"/>
        <d v="2019-11-28T00:00:00"/>
        <d v="2020-09-04T00:00:00"/>
        <d v="2018-06-24T00:00:00"/>
        <d v="2018-08-15T00:00:00"/>
        <d v="2018-06-10T00:00:00"/>
        <d v="2018-09-19T00:00:00"/>
        <d v="2020-09-16T00:00:00"/>
        <d v="2019-12-22T00:00:00"/>
        <d v="2018-05-14T00:00:00"/>
        <d v="2018-09-07T00:00:00"/>
        <d v="2021-05-23T00:00:00"/>
        <d v="2021-05-07T00:00:00"/>
        <d v="2022-03-21T00:00:00"/>
        <d v="2018-05-28T00:00:00"/>
        <d v="2020-07-12T00:00:00"/>
        <d v="2022-02-04T00:00:00"/>
        <d v="2018-08-06T00:00:00"/>
        <d v="2020-12-11T00:00:00"/>
        <d v="2019-09-20T00:00:00"/>
        <d v="2021-04-23T00:00:00"/>
        <d v="2018-05-02T00:00:00"/>
        <d v="2018-04-22T00:00:00"/>
        <d v="2021-01-23T00:00:00"/>
        <d v="2018-02-12T00:00:00"/>
        <d v="2022-04-10T00:00:00"/>
        <d v="2019-09-07T00:00:00"/>
        <d v="2020-06-30T00:00:00"/>
        <d v="2018-08-10T00:00:00"/>
        <d v="2019-07-09T00:00:00"/>
        <d v="2021-04-18T00:00:00"/>
        <d v="2022-02-01T00:00:00"/>
        <d v="2018-09-17T00:00:00"/>
        <d v="2020-08-21T00:00:00"/>
        <d v="2019-09-19T00:00:00"/>
        <d v="2026-02-23T00:00:00"/>
        <d v="2018-05-03T00:00:00"/>
        <d v="2020-08-03T00:00:00"/>
        <d v="2020-05-18T00:00:00"/>
        <d v="2019-07-18T00:00:00"/>
        <d v="2018-06-02T00:00:00"/>
        <d v="2026-02-15T00:00:00"/>
        <d v="2022-04-02T00:00:00"/>
        <d v="2019-07-11T00:00:00"/>
        <d v="2020-06-09T00:00:00"/>
        <d v="2022-03-30T00:00:00"/>
        <d v="2026-02-27T00:00:00"/>
        <d v="2020-06-18T00:00:00"/>
        <d v="2025-03-09T00:00:00"/>
        <d v="2020-05-11T00:00:00"/>
        <d v="2020-12-18T00:00:00"/>
        <d v="2018-03-14T00:00:00"/>
        <d v="2018-03-04T00:00:00"/>
        <d v="2018-03-22T00:00:00"/>
        <d v="2019-07-10T00:00:00"/>
        <d v="2025-05-01T00:00:00"/>
        <d v="2019-12-14T00:00:00"/>
        <d v="2020-09-29T00:00:00"/>
        <d v="2020-06-24T00:00:00"/>
        <d v="2018-02-22T00:00:00"/>
        <d v="2020-07-18T00:00:00"/>
        <d v="2018-05-12T00:00:00"/>
        <d v="2018-07-09T00:00:00"/>
        <d v="2021-05-05T00:00:00"/>
        <d v="2018-06-01T00:00:00"/>
        <d v="2019-09-16T00:00:00"/>
        <d v="2019-07-25T00:00:00"/>
        <d v="2018-06-29T00:00:00"/>
        <d v="2018-08-21T00:00:00"/>
        <d v="2018-01-19T00:00:00"/>
        <d v="2020-07-16T00:00:00"/>
        <d v="2018-05-05T00:00:00"/>
        <d v="2025-03-28T00:00:00"/>
        <d v="2021-05-09T00:00:00"/>
        <d v="2026-02-11T00:00:00"/>
        <d v="2018-03-09T00:00:00"/>
        <d v="2020-09-07T00:00:00"/>
        <d v="2025-02-26T00:00:00"/>
        <d v="2026-02-22T00:00:00"/>
        <d v="2018-03-10T00:00:00"/>
        <d v="2019-10-24T00:00:00"/>
        <d v="2020-07-31T00:00:00"/>
        <d v="2018-01-03T00:00:00"/>
        <d v="2019-11-08T00:00:00"/>
        <d v="2020-06-19T00:00:00"/>
        <d v="2018-07-05T00:00:00"/>
        <d v="2022-01-23T00:00:00"/>
        <d v="2018-05-18T00:00:00"/>
        <d v="2020-12-21T00:00:00"/>
        <d v="2021-05-03T00:00:00"/>
        <d v="2018-06-13T00:00:00"/>
        <d v="2018-08-02T00:00:00"/>
        <d v="2020-07-29T00:00:00"/>
        <d v="2018-05-01T00:00:00"/>
        <d v="2019-09-11T00:00:00"/>
        <d v="2020-05-17T00:00:00"/>
        <d v="2022-01-25T00:00:00"/>
        <d v="2021-01-25T00:00:00"/>
        <d v="2023-01-13T00:00:00"/>
        <d v="2019-12-17T00:00:00"/>
        <d v="2020-10-01T00:00:00"/>
        <d v="2019-09-23T00:00:00"/>
        <d v="2019-12-09T00:00:00"/>
        <d v="2018-05-31T00:00:00"/>
        <d v="2018-07-12T00:00:00"/>
        <d v="2018-06-11T00:00:00"/>
        <d v="2018-07-04T00:00:00"/>
        <d v="2018-09-12T00:00:00"/>
        <d v="2018-07-29T00:00:00"/>
        <d v="2020-05-08T00:00:00"/>
        <d v="2019-08-26T00:00:00"/>
        <d v="2021-05-17T00:00:00"/>
        <d v="2019-10-08T00:00:00"/>
        <d v="2018-08-26T00:00:00"/>
        <d v="2018-01-31T00:00:00"/>
        <d v="2022-01-21T00:00:00"/>
        <d v="2018-05-15T00:00:00"/>
        <d v="2022-04-06T00:00:00"/>
        <d v="2018-06-03T00:00:00"/>
        <d v="2021-01-28T00:00:00"/>
        <d v="2020-12-20T00:00:00"/>
        <d v="2020-09-23T00:00:00"/>
        <d v="2021-05-10T00:00:00"/>
        <d v="2020-05-24T00:00:00"/>
        <d v="2020-09-02T00:00:00"/>
        <d v="2019-09-10T00:00:00"/>
        <d v="2022-03-31T00:00:00"/>
        <d v="2019-09-21T00:00:00"/>
        <d v="2018-05-08T00:00:00"/>
        <d v="2018-05-10T00:00:00"/>
        <d v="2022-03-20T00:00:00"/>
        <d v="2018-01-14T00:00:00"/>
        <d v="2020-09-25T00:00:00"/>
        <d v="2026-02-16T00:00:00"/>
        <d v="2019-10-31T00:00:00"/>
        <d v="2018-02-28T00:00:00"/>
        <d v="2020-10-06T00:00:00"/>
        <d v="2019-12-31T00:00:00"/>
        <d v="2018-08-07T00:00:00"/>
        <d v="2018-01-15T00:00:00"/>
        <d v="2018-03-06T00:00:00"/>
        <d v="2018-01-07T00:00:00"/>
        <d v="2018-04-11T00:00:00"/>
        <d v="2019-12-26T00:00:00"/>
        <d v="2020-08-26T00:00:00"/>
        <d v="2022-01-19T00:00:00"/>
        <d v="2020-08-18T00:00:00"/>
        <d v="2026-02-18T00:00:00"/>
        <d v="2019-12-07T00:00:00"/>
        <d v="2020-05-15T00:00:00"/>
        <d v="2018-07-26T00:00:00"/>
        <d v="2018-05-20T00:00:00"/>
        <d v="2026-02-20T00:00:00"/>
        <d v="2021-01-22T00:00:00"/>
        <d v="2018-01-17T00:00:00"/>
        <d v="2021-04-22T00:00:00"/>
        <d v="2018-04-05T00:00:00"/>
        <d v="2018-09-01T00:00:00"/>
        <d v="2021-01-30T00:00:00"/>
        <d v="2025-01-05T00:00:00"/>
        <d v="2025-01-19T00:00:00"/>
        <d v="2018-08-25T00:00:00"/>
        <d v="2018-06-17T00:00:00"/>
        <d v="2026-03-01T00:00:00"/>
        <d v="2018-04-15T00:00:00"/>
        <d v="2020-06-08T00:00:00"/>
        <d v="2019-11-13T00:00:00"/>
        <d v="2018-07-02T00:00:00"/>
        <d v="2019-08-09T00:00:00"/>
        <d v="2026-03-05T00:00:00"/>
        <d v="2019-10-12T00:00:00"/>
        <d v="2018-01-27T00:00:00"/>
        <d v="2018-04-21T00:00:00"/>
        <d v="2020-08-20T00:00:00"/>
        <d v="2019-10-22T00:00:00"/>
        <d v="2018-06-08T00:00:00"/>
        <d v="2020-07-06T00:00:00"/>
        <d v="2021-05-14T00:00:00"/>
        <d v="2020-08-04T00:00:00"/>
        <d v="2020-06-01T00:00:00"/>
        <d v="2022-01-24T00:00:00"/>
        <d v="2018-02-25T00:00:00"/>
        <d v="2018-02-24T00:00:00"/>
        <d v="2022-02-03T00:00:00"/>
        <d v="2021-01-19T00:00:00"/>
        <d v="2019-10-25T00:00:00"/>
        <d v="2021-05-12T00:00:00"/>
        <d v="2021-01-08T00:00:00"/>
        <d v="2025-02-02T00:00:00"/>
        <d v="2018-01-16T00:00:00"/>
        <d v="2018-09-18T00:00:00"/>
        <d v="2025-05-04T00:00:00"/>
        <d v="2019-11-22T00:00:00"/>
        <d v="2018-08-29T00:00:00"/>
        <d v="2025-03-13T00:00:00"/>
        <d v="2020-09-30T00:00:00"/>
        <d v="2022-04-07T00:00:00"/>
        <d v="2018-03-25T00:00:00"/>
        <d v="2020-05-19T00:00:00"/>
        <d v="2020-12-19T00:00:00"/>
        <d v="2020-07-08T00:00:00"/>
        <d v="2019-08-17T00:00:00"/>
        <d v="2020-08-29T00:00:00"/>
        <d v="2020-12-28T00:00:00"/>
        <d v="2020-12-15T00:00:00"/>
        <d v="2018-08-01T00:00:00"/>
        <d v="2019-09-03T00:00:00"/>
        <d v="2019-07-17T00:00:00"/>
        <d v="2021-06-02T00:00:00"/>
        <d v="2018-07-21T00:00:00"/>
        <d v="2019-10-28T00:00:00"/>
        <d v="2018-05-21T00:00:00"/>
        <d v="2019-12-29T00:00:00"/>
        <d v="2018-04-19T00:00:00"/>
        <d v="2019-08-30T00:00:00"/>
        <d v="2019-09-29T00:00:00"/>
        <d v="2019-09-22T00:00:00"/>
        <d v="2021-01-12T00:00:00"/>
        <d v="2019-08-29T00:00:00"/>
        <d v="2020-07-01T00:00:00"/>
        <d v="2026-03-03T00:00:00"/>
        <d v="2018-07-20T00:00:00"/>
        <d v="2020-09-26T00:00:00"/>
        <d v="2018-07-13T00:00:00"/>
        <d v="2018-06-26T00:00:00"/>
        <d v="2019-11-27T00:00:00"/>
        <d v="2021-05-25T00:00:00"/>
        <d v="2019-10-27T00:00:00"/>
        <d v="2018-03-26T00:00:00"/>
        <d v="2019-08-18T00:00:00"/>
        <d v="2020-05-16T00:00:00"/>
        <d v="2020-06-05T00:00:00"/>
        <d v="2021-04-30T00:00:00"/>
        <d v="2019-09-01T00:00:00"/>
        <d v="2020-05-30T00:00:00"/>
        <d v="2020-08-15T00:00:00"/>
        <d v="2022-03-27T00:00:00"/>
        <d v="2019-11-24T00:00:00"/>
        <d v="2022-03-28T00:00:00"/>
        <d v="2018-09-15T00:00:00"/>
        <d v="2018-01-20T00:00:00"/>
        <d v="2018-04-04T00:00:00"/>
        <d v="2018-04-27T00:00:00"/>
        <d v="2018-03-18T00:00:00"/>
        <d v="2022-03-19T00:00:00"/>
        <d v="2020-07-28T00:00:00"/>
        <d v="2019-12-27T00:00:00"/>
        <d v="2018-01-02T00:00:00"/>
        <d v="2019-08-11T00:00:00"/>
        <d v="2018-06-30T00:00:00"/>
        <d v="2018-04-02T00:00:00"/>
        <d v="2020-12-24T00:00:00"/>
        <d v="2018-05-17T00:00:00"/>
        <d v="2020-05-25T00:00:00"/>
        <d v="2019-11-29T00:00:00"/>
        <d v="2022-04-04T00:00:00"/>
        <d v="2025-12-11T00:00:00"/>
        <d v="2018-06-09T00:00:00"/>
        <d v="2018-09-02T00:00:00"/>
        <d v="2025-04-07T00:00:00"/>
        <d v="2018-09-16T00:00:00"/>
        <d v="2018-04-20T00:00:00"/>
        <d v="2018-08-22T00:00:00"/>
        <d v="2018-04-26T00:00:00"/>
        <d v="2022-04-09T00:00:00"/>
        <d v="2019-07-31T00:00:00"/>
        <d v="2021-01-26T00:00:00"/>
        <d v="2018-05-22T00:00:00"/>
        <d v="2021-05-08T00:00:00"/>
        <d v="2019-10-07T00:00:00"/>
      </sharedItems>
    </cacheField>
    <cacheField name="order month" numFmtId="0">
      <sharedItems containsSemiMixedTypes="0" containsString="0" containsNumber="1" containsInteger="1" minValue="1" maxValue="12" count="12">
        <n v="4"/>
        <n v="1"/>
        <n v="7"/>
        <n v="3"/>
        <n v="8"/>
        <n v="2"/>
        <n v="6"/>
        <n v="5"/>
        <n v="12"/>
        <n v="10"/>
        <n v="11"/>
        <n v="9"/>
      </sharedItems>
    </cacheField>
    <cacheField name="Product" numFmtId="0">
      <sharedItems count="13">
        <s v="Printer"/>
        <s v="Headphones"/>
        <s v="Monitor"/>
        <s v="Camera"/>
        <s v="Mouse"/>
        <s v="office Chair"/>
        <s v="Sneakers"/>
        <s v="Smartphone"/>
        <s v="Keyboard"/>
        <s v="Tablet"/>
        <s v="T-Shirt"/>
        <s v="Laptop"/>
        <s v="Smartwatch"/>
      </sharedItems>
    </cacheField>
    <cacheField name="Category" numFmtId="0">
      <sharedItems count="6">
        <s v="Office Equipment"/>
        <s v="Accessories"/>
        <s v="Electronics"/>
        <s v="Furniture"/>
        <s v="Wearables"/>
        <s v="Clothing"/>
      </sharedItems>
    </cacheField>
    <cacheField name="Region" numFmtId="0">
      <sharedItems count="5">
        <s v="East"/>
        <s v="South"/>
        <s v="West"/>
        <s v="North"/>
        <s v="Central"/>
      </sharedItems>
    </cacheField>
    <cacheField name="State" numFmtId="0">
      <sharedItems count="18">
        <s v="Jharkhand"/>
        <s v="Kerala"/>
        <s v="Tamil Nadu"/>
        <s v="Maharashtra"/>
        <s v="Delhi"/>
        <s v="Telangana"/>
        <s v="Bihar"/>
        <s v="Gujarat"/>
        <s v="Uttar Pradesh"/>
        <s v="Haryana"/>
        <s v="Madhya Pradesh"/>
        <s v="Rajasthan"/>
        <s v="Chhattisgarh"/>
        <s v="West Bengal"/>
        <s v="Punjab"/>
        <s v="Odisha"/>
        <s v="Karnataka"/>
        <s v="Goa"/>
      </sharedItems>
    </cacheField>
    <cacheField name="City" numFmtId="0">
      <sharedItems count="53">
        <s v="Ranchi"/>
        <s v="Kochi"/>
        <s v="Dhanbad"/>
        <s v="Chennai"/>
        <s v="Thiruvananthapuram"/>
        <s v="Pune"/>
        <s v="Noida"/>
        <s v="Warangal"/>
        <s v="Patna"/>
        <s v="Nagpur"/>
        <s v="Surat"/>
        <s v="Gaya"/>
        <s v="Lucknow"/>
        <s v="Coimbatore"/>
        <s v="Faridabad"/>
        <s v="Gwalior"/>
        <s v="Gurugram"/>
        <s v="Kanpur"/>
        <s v="Varanasi"/>
        <s v="Udaipur"/>
        <s v="Bilaspur"/>
        <s v="Bhilai"/>
        <s v="Durgapur"/>
        <s v="Raipur"/>
        <s v="Vadodara"/>
        <s v="Siliguri"/>
        <s v="Ludhiana"/>
        <s v="Bhopal"/>
        <s v="Mumbai"/>
        <s v="Kolkata"/>
        <s v="Ahmedabad"/>
        <s v="Muzaffarpur"/>
        <s v="Bhubaneswar"/>
        <s v="Mangaluru"/>
        <s v="Jodhpur"/>
        <s v="Panipat"/>
        <s v="Amritsar"/>
        <s v="Jaipur"/>
        <s v="New Delhi"/>
        <s v="Panaji"/>
        <s v="Jalandhar"/>
        <s v="Cuttack"/>
        <s v="Margao"/>
        <s v="Jamshedpur"/>
        <s v="Kozhikode"/>
        <s v="Nizamabad"/>
        <s v="Rourkela"/>
        <s v="Madurai"/>
        <s v="Mysuru"/>
        <s v="Bengaluru"/>
        <s v="Indore"/>
        <s v="Hyderabad"/>
        <s v="Vasco da Gama"/>
      </sharedItems>
    </cacheField>
    <cacheField name="Customer Segment" numFmtId="0">
      <sharedItems count="3">
        <s v="Consumer"/>
        <s v="Small Business"/>
        <s v="Corporate"/>
      </sharedItems>
    </cacheField>
    <cacheField name="Salesperson" numFmtId="0">
      <sharedItems count="13">
        <s v="Sachin"/>
        <s v="Priya"/>
        <s v="Ishita"/>
        <s v="Kavya"/>
        <s v="Meera"/>
        <s v="Aditya"/>
        <s v="Rohan"/>
        <s v="Aarav"/>
        <s v="Arjun"/>
        <s v="Diya"/>
        <s v="Rahul"/>
        <s v="Vivaan"/>
        <s v="Ananya" u="1"/>
      </sharedItems>
    </cacheField>
    <cacheField name="Sales Channel" numFmtId="0">
      <sharedItems count="3">
        <s v="Distributor"/>
        <s v="Online"/>
        <s v="Retail Store"/>
      </sharedItems>
    </cacheField>
    <cacheField name="Quantity" numFmtId="0">
      <sharedItems containsSemiMixedTypes="0" containsString="0" containsNumber="1" containsInteger="1" minValue="1" maxValue="10" count="10">
        <n v="5"/>
        <n v="1"/>
        <n v="4"/>
        <n v="10"/>
        <n v="6"/>
        <n v="8"/>
        <n v="9"/>
        <n v="3"/>
        <n v="7"/>
        <n v="2"/>
      </sharedItems>
    </cacheField>
    <cacheField name="Unit Price" numFmtId="0">
      <sharedItems containsSemiMixedTypes="0" containsString="0" containsNumber="1" containsInteger="1" minValue="500" maxValue="119800" count="505">
        <n v="9400"/>
        <n v="4300"/>
        <n v="24400"/>
        <n v="34300"/>
        <n v="14400"/>
        <n v="10300"/>
        <n v="23000"/>
        <n v="2800"/>
        <n v="800"/>
        <n v="9800"/>
        <n v="22300"/>
        <n v="22900"/>
        <n v="1900"/>
        <n v="21200"/>
        <n v="16000"/>
        <n v="1700"/>
        <n v="41700"/>
        <n v="13200"/>
        <n v="33500"/>
        <n v="33800"/>
        <n v="30400"/>
        <n v="3700"/>
        <n v="28600"/>
        <n v="78600"/>
        <n v="1200"/>
        <n v="100500"/>
        <n v="61900"/>
        <n v="1000"/>
        <n v="74700"/>
        <n v="16600"/>
        <n v="12800"/>
        <n v="17300"/>
        <n v="34900"/>
        <n v="58900"/>
        <n v="6600"/>
        <n v="18600"/>
        <n v="16900"/>
        <n v="7800"/>
        <n v="11900"/>
        <n v="27300"/>
        <n v="28300"/>
        <n v="1500"/>
        <n v="23700"/>
        <n v="39100"/>
        <n v="11800"/>
        <n v="9000"/>
        <n v="37000"/>
        <n v="2000"/>
        <n v="3000"/>
        <n v="23500"/>
        <n v="67500"/>
        <n v="20300"/>
        <n v="34700"/>
        <n v="74400"/>
        <n v="41800"/>
        <n v="3100"/>
        <n v="16100"/>
        <n v="24100"/>
        <n v="29500"/>
        <n v="27000"/>
        <n v="51400"/>
        <n v="58300"/>
        <n v="26000"/>
        <n v="24900"/>
        <n v="29600"/>
        <n v="68700"/>
        <n v="15700"/>
        <n v="1300"/>
        <n v="22400"/>
        <n v="24500"/>
        <n v="18000"/>
        <n v="69900"/>
        <n v="39900"/>
        <n v="10000"/>
        <n v="4000"/>
        <n v="26100"/>
        <n v="48400"/>
        <n v="59200"/>
        <n v="21100"/>
        <n v="23200"/>
        <n v="38900"/>
        <n v="31000"/>
        <n v="15300"/>
        <n v="83800"/>
        <n v="65500"/>
        <n v="72400"/>
        <n v="12600"/>
        <n v="2100"/>
        <n v="59700"/>
        <n v="2700"/>
        <n v="25500"/>
        <n v="28200"/>
        <n v="40900"/>
        <n v="93300"/>
        <n v="1800"/>
        <n v="22200"/>
        <n v="5000"/>
        <n v="19600"/>
        <n v="59600"/>
        <n v="11700"/>
        <n v="79800"/>
        <n v="65100"/>
        <n v="80500"/>
        <n v="8900"/>
        <n v="55700"/>
        <n v="28500"/>
        <n v="21500"/>
        <n v="5800"/>
        <n v="57400"/>
        <n v="2600"/>
        <n v="22100"/>
        <n v="78200"/>
        <n v="37500"/>
        <n v="86300"/>
        <n v="59900"/>
        <n v="2200"/>
        <n v="35300"/>
        <n v="71700"/>
        <n v="27900"/>
        <n v="89800"/>
        <n v="41000"/>
        <n v="24600"/>
        <n v="1400"/>
        <n v="51500"/>
        <n v="54300"/>
        <n v="3200"/>
        <n v="63000"/>
        <n v="25200"/>
        <n v="3500"/>
        <n v="39300"/>
        <n v="61400"/>
        <n v="26400"/>
        <n v="44800"/>
        <n v="6400"/>
        <n v="23400"/>
        <n v="36100"/>
        <n v="63900"/>
        <n v="19300"/>
        <n v="11100"/>
        <n v="30500"/>
        <n v="10200"/>
        <n v="32300"/>
        <n v="39700"/>
        <n v="14200"/>
        <n v="57900"/>
        <n v="41500"/>
        <n v="12300"/>
        <n v="66700"/>
        <n v="7100"/>
        <n v="3800"/>
        <n v="94700"/>
        <n v="5100"/>
        <n v="82100"/>
        <n v="14600"/>
        <n v="2300"/>
        <n v="5600"/>
        <n v="7200"/>
        <n v="3600"/>
        <n v="54400"/>
        <n v="20200"/>
        <n v="900"/>
        <n v="100200"/>
        <n v="20900"/>
        <n v="31700"/>
        <n v="20600"/>
        <n v="29200"/>
        <n v="40100"/>
        <n v="16400"/>
        <n v="14900"/>
        <n v="600"/>
        <n v="19700"/>
        <n v="5900"/>
        <n v="30800"/>
        <n v="15200"/>
        <n v="4400"/>
        <n v="2500"/>
        <n v="2400"/>
        <n v="12100"/>
        <n v="24200"/>
        <n v="8100"/>
        <n v="22800"/>
        <n v="7000"/>
        <n v="49800"/>
        <n v="112900"/>
        <n v="29900"/>
        <n v="13600"/>
        <n v="2900"/>
        <n v="25600"/>
        <n v="12000"/>
        <n v="26600"/>
        <n v="71300"/>
        <n v="58100"/>
        <n v="21700"/>
        <n v="36700"/>
        <n v="1100"/>
        <n v="26300"/>
        <n v="70200"/>
        <n v="10700"/>
        <n v="6100"/>
        <n v="56300"/>
        <n v="91200"/>
        <n v="46100"/>
        <n v="4800"/>
        <n v="23100"/>
        <n v="6200"/>
        <n v="96900"/>
        <n v="82300"/>
        <n v="39200"/>
        <n v="85400"/>
        <n v="23900"/>
        <n v="64100"/>
        <n v="10500"/>
        <n v="15100"/>
        <n v="64000"/>
        <n v="60500"/>
        <n v="74100"/>
        <n v="8700"/>
        <n v="48000"/>
        <n v="43400"/>
        <n v="67300"/>
        <n v="1600"/>
        <n v="59300"/>
        <n v="65700"/>
        <n v="18300"/>
        <n v="22000"/>
        <n v="31500"/>
        <n v="29400"/>
        <n v="77100"/>
        <n v="37400"/>
        <n v="41100"/>
        <n v="17500"/>
        <n v="60900"/>
        <n v="66200"/>
        <n v="32000"/>
        <n v="14300"/>
        <n v="9300"/>
        <n v="3300"/>
        <n v="8600"/>
        <n v="62000"/>
        <n v="9600"/>
        <n v="77500"/>
        <n v="18700"/>
        <n v="16200"/>
        <n v="90200"/>
        <n v="10800"/>
        <n v="38800"/>
        <n v="57200"/>
        <n v="27400"/>
        <n v="41600"/>
        <n v="27800"/>
        <n v="16300"/>
        <n v="24300"/>
        <n v="42200"/>
        <n v="28000"/>
        <n v="4100"/>
        <n v="21600"/>
        <n v="55200"/>
        <n v="64400"/>
        <n v="22500"/>
        <n v="43000"/>
        <n v="12200"/>
        <n v="33000"/>
        <n v="15600"/>
        <n v="15500"/>
        <n v="29800"/>
        <n v="77600"/>
        <n v="26700"/>
        <n v="47300"/>
        <n v="67700"/>
        <n v="30700"/>
        <n v="69100"/>
        <n v="45000"/>
        <n v="33400"/>
        <n v="4600"/>
        <n v="13900"/>
        <n v="36600"/>
        <n v="79900"/>
        <n v="33300"/>
        <n v="34400"/>
        <n v="74800"/>
        <n v="72100"/>
        <n v="60100"/>
        <n v="70100"/>
        <n v="58700"/>
        <n v="20800"/>
        <n v="66400"/>
        <n v="33200"/>
        <n v="50700"/>
        <n v="70900"/>
        <n v="74300"/>
        <n v="101900"/>
        <n v="53600"/>
        <n v="66300"/>
        <n v="5200"/>
        <n v="17100"/>
        <n v="13700"/>
        <n v="67800"/>
        <n v="7300"/>
        <n v="75900"/>
        <n v="32200"/>
        <n v="50400"/>
        <n v="81500"/>
        <n v="23300"/>
        <n v="55800"/>
        <n v="12900"/>
        <n v="18200"/>
        <n v="7900"/>
        <n v="47700"/>
        <n v="4200"/>
        <n v="51100"/>
        <n v="10400"/>
        <n v="74500"/>
        <n v="30000"/>
        <n v="11400"/>
        <n v="27600"/>
        <n v="59100"/>
        <n v="34000"/>
        <n v="15400"/>
        <n v="69300"/>
        <n v="19100"/>
        <n v="34500"/>
        <n v="21800"/>
        <n v="87600"/>
        <n v="56600"/>
        <n v="26800"/>
        <n v="93800"/>
        <n v="13400"/>
        <n v="84800"/>
        <n v="30200"/>
        <n v="71500"/>
        <n v="34600"/>
        <n v="40200"/>
        <n v="5700"/>
        <n v="57600"/>
        <n v="60400"/>
        <n v="94500"/>
        <n v="24000"/>
        <n v="70700"/>
        <n v="75700"/>
        <n v="68400"/>
        <n v="10900"/>
        <n v="104600"/>
        <n v="17900"/>
        <n v="65200"/>
        <n v="9900"/>
        <n v="7400"/>
        <n v="94900"/>
        <n v="700"/>
        <n v="89300"/>
        <n v="4900"/>
        <n v="26500"/>
        <n v="37100"/>
        <n v="93200"/>
        <n v="25700"/>
        <n v="35100"/>
        <n v="56200"/>
        <n v="70000"/>
        <n v="32700"/>
        <n v="31200"/>
        <n v="85100"/>
        <n v="4500"/>
        <n v="56400"/>
        <n v="22700"/>
        <n v="38400"/>
        <n v="72900"/>
        <n v="46200"/>
        <n v="49500"/>
        <n v="75000"/>
        <n v="17000"/>
        <n v="67400"/>
        <n v="11300"/>
        <n v="8000"/>
        <n v="67600"/>
        <n v="71900"/>
        <n v="55400"/>
        <n v="11500"/>
        <n v="60700"/>
        <n v="52900"/>
        <n v="8200"/>
        <n v="37600"/>
        <n v="80800"/>
        <n v="82700"/>
        <n v="44100"/>
        <n v="82400"/>
        <n v="61500"/>
        <n v="85900"/>
        <n v="10600"/>
        <n v="83600"/>
        <n v="65800"/>
        <n v="13100"/>
        <n v="40700"/>
        <n v="14700"/>
        <n v="42700"/>
        <n v="4700"/>
        <n v="73500"/>
        <n v="76400"/>
        <n v="74200"/>
        <n v="7600"/>
        <n v="69600"/>
        <n v="49700"/>
        <n v="14000"/>
        <n v="28800"/>
        <n v="44000"/>
        <n v="11600"/>
        <n v="7500"/>
        <n v="34200"/>
        <n v="65600"/>
        <n v="9500"/>
        <n v="42300"/>
        <n v="29100"/>
        <n v="62600"/>
        <n v="50000"/>
        <n v="6000"/>
        <n v="35600"/>
        <n v="61800"/>
        <n v="27700"/>
        <n v="15900"/>
        <n v="64300"/>
        <n v="21000"/>
        <n v="57500"/>
        <n v="88000"/>
        <n v="19000"/>
        <n v="28400"/>
        <n v="45200"/>
        <n v="93700"/>
        <n v="64900"/>
        <n v="36200"/>
        <n v="119800"/>
        <n v="38600"/>
        <n v="6300"/>
        <n v="20100"/>
        <n v="72000"/>
        <n v="76700"/>
        <n v="51200"/>
        <n v="104800"/>
        <n v="16700"/>
        <n v="39800"/>
        <n v="98800"/>
        <n v="78900"/>
        <n v="40600"/>
        <n v="33900"/>
        <n v="90500"/>
        <n v="36500"/>
        <n v="68600"/>
        <n v="18800"/>
        <n v="19800"/>
        <n v="21400"/>
        <n v="35200"/>
        <n v="86900"/>
        <n v="64500"/>
        <n v="80900"/>
        <n v="27500"/>
        <n v="6500"/>
        <n v="61000"/>
        <n v="50300"/>
        <n v="35800"/>
        <n v="58200"/>
        <n v="92600"/>
        <n v="19200"/>
        <n v="50600"/>
        <n v="18500"/>
        <n v="113200"/>
        <n v="63400"/>
        <n v="71800"/>
        <n v="61600"/>
        <n v="73100"/>
        <n v="74600"/>
        <n v="57000"/>
        <n v="3900"/>
        <n v="500"/>
        <n v="44600"/>
        <n v="6700"/>
        <n v="51600"/>
        <n v="30100"/>
        <n v="25300"/>
        <n v="40000"/>
        <n v="62100"/>
        <n v="5400"/>
        <n v="62900"/>
        <n v="16500"/>
        <n v="81000"/>
        <n v="89200"/>
        <n v="87200"/>
        <n v="71400"/>
        <n v="15000"/>
        <n v="20000"/>
        <n v="9200"/>
        <n v="48800"/>
        <n v="12700"/>
        <n v="46800"/>
        <n v="33600"/>
        <n v="25400"/>
        <n v="13300"/>
        <n v="48600"/>
        <n v="91700"/>
        <n v="102400"/>
        <n v="28900"/>
        <n v="42800"/>
        <n v="23600"/>
        <n v="57800"/>
        <n v="43200"/>
        <n v="29300"/>
        <n v="19900"/>
        <n v="26900"/>
        <n v="12400"/>
      </sharedItems>
    </cacheField>
    <cacheField name="Discount" numFmtId="0">
      <sharedItems containsSemiMixedTypes="0" containsString="0" containsNumber="1" minValue="0" maxValue="0.2" count="5">
        <n v="0"/>
        <n v="0.1"/>
        <n v="0.15"/>
        <n v="0.2"/>
        <n v="0.05"/>
      </sharedItems>
    </cacheField>
    <cacheField name="Sales" numFmtId="0">
      <sharedItems containsSemiMixedTypes="0" containsString="0" containsNumber="1" containsInteger="1" minValue="450" maxValue="1198000" count="880">
        <n v="47000"/>
        <n v="3870"/>
        <n v="97600"/>
        <n v="308700"/>
        <n v="77760"/>
        <n v="74160"/>
        <n v="207000"/>
        <n v="21420"/>
        <n v="2160"/>
        <n v="26460"/>
        <n v="6720"/>
        <n v="211850"/>
        <n v="174040"/>
        <n v="1900"/>
        <n v="118720"/>
        <n v="135680"/>
        <n v="57600"/>
        <n v="13770"/>
        <n v="187650"/>
        <n v="11220"/>
        <n v="100500"/>
        <n v="11400"/>
        <n v="9270"/>
        <n v="288990"/>
        <n v="48640"/>
        <n v="26640"/>
        <n v="170170"/>
        <n v="471600"/>
        <n v="8400"/>
        <n v="301500"/>
        <n v="61900"/>
        <n v="6300"/>
        <n v="709650"/>
        <n v="149400"/>
        <n v="11520"/>
        <n v="31140"/>
        <n v="132620"/>
        <n v="58900"/>
        <n v="5610"/>
        <n v="66960"/>
        <n v="84500"/>
        <n v="78000"/>
        <n v="67830"/>
        <n v="163800"/>
        <n v="229230"/>
        <n v="4000"/>
        <n v="8100"/>
        <n v="170640"/>
        <n v="93840"/>
        <n v="70210"/>
        <n v="20140"/>
        <n v="38250"/>
        <n v="37000"/>
        <n v="9600"/>
        <n v="18900"/>
        <n v="117500"/>
        <n v="182250"/>
        <n v="121800"/>
        <n v="281070"/>
        <n v="535680"/>
        <n v="75240"/>
        <n v="30000"/>
        <n v="5580"/>
        <n v="12000"/>
        <n v="43470"/>
        <n v="65070"/>
        <n v="118000"/>
        <n v="48600"/>
        <n v="349520"/>
        <n v="466400"/>
        <n v="247000"/>
        <n v="22410"/>
        <n v="25160"/>
        <n v="583950"/>
        <n v="28260"/>
        <n v="222870"/>
        <n v="9360"/>
        <n v="156800"/>
        <n v="110250"/>
        <n v="102600"/>
        <n v="332025"/>
        <n v="159600"/>
        <n v="9500"/>
        <n v="24000"/>
        <n v="182700"/>
        <n v="43560"/>
        <n v="352240"/>
        <n v="200450"/>
        <n v="139200"/>
        <n v="17100"/>
        <n v="184775"/>
        <n v="251100"/>
        <n v="145350"/>
        <n v="335200"/>
        <n v="167025"/>
        <n v="579200"/>
        <n v="10080"/>
        <n v="900"/>
        <n v="119400"/>
        <n v="4860"/>
        <n v="22950"/>
        <n v="112800"/>
        <n v="56525"/>
        <n v="65440"/>
        <n v="79305"/>
        <n v="8500"/>
        <n v="111000"/>
        <n v="25000"/>
        <n v="2295"/>
        <n v="66640"/>
        <n v="112000"/>
        <n v="56620"/>
        <n v="46800"/>
        <n v="478800"/>
        <n v="195300"/>
        <n v="14620"/>
        <n v="382375"/>
        <n v="72090"/>
        <n v="189380"/>
        <n v="171000"/>
        <n v="38700"/>
        <n v="46400"/>
        <n v="50320"/>
        <n v="1800"/>
        <n v="4420"/>
        <n v="114800"/>
        <n v="18200"/>
        <n v="11100"/>
        <n v="79560"/>
        <n v="10400"/>
        <n v="10800"/>
        <n v="563040"/>
        <n v="37500"/>
        <n v="368100"/>
        <n v="388350"/>
        <n v="56905"/>
        <n v="17600"/>
        <n v="141200"/>
        <n v="451710"/>
        <n v="25110"/>
        <n v="686970"/>
        <n v="77900"/>
        <n v="110700"/>
        <n v="10710"/>
        <n v="175100"/>
        <n v="464265"/>
        <n v="630000"/>
        <n v="119000"/>
        <n v="26600"/>
        <n v="71820"/>
        <n v="15750"/>
        <n v="74670"/>
        <n v="429800"/>
        <n v="52800"/>
        <n v="80640"/>
        <n v="12825"/>
        <n v="46080"/>
        <n v="200070"/>
        <n v="30685"/>
        <n v="102240"/>
        <n v="16405"/>
        <n v="37740"/>
        <n v="40600"/>
        <n v="15200"/>
        <n v="72000"/>
        <n v="164700"/>
        <n v="91800"/>
        <n v="31860"/>
        <n v="247095"/>
        <n v="39700"/>
        <n v="99400"/>
        <n v="173700"/>
        <n v="124500"/>
        <n v="24600"/>
        <n v="213440"/>
        <n v="197640"/>
        <n v="21600"/>
        <n v="56800"/>
        <n v="16150"/>
        <n v="284100"/>
        <n v="41310"/>
        <n v="628065"/>
        <n v="116800"/>
        <n v="5100"/>
        <n v="10200"/>
        <n v="8280"/>
        <n v="5040"/>
        <n v="51840"/>
        <n v="5415"/>
        <n v="174080"/>
        <n v="103000"/>
        <n v="141400"/>
        <n v="70650"/>
        <n v="811620"/>
        <n v="35530"/>
        <n v="199710"/>
        <n v="273600"/>
        <n v="39140"/>
        <n v="221920"/>
        <n v="16000"/>
        <n v="32080"/>
        <n v="125460"/>
        <n v="107280"/>
        <n v="1620"/>
        <n v="238545"/>
        <n v="9690"/>
        <n v="50235"/>
        <n v="106110"/>
        <n v="2880"/>
        <n v="51120"/>
        <n v="33480"/>
        <n v="40140"/>
        <n v="21240"/>
        <n v="184800"/>
        <n v="115520"/>
        <n v="26400"/>
        <n v="22500"/>
        <n v="54450"/>
        <n v="96800"/>
        <n v="61965"/>
        <n v="114000"/>
        <n v="5850"/>
        <n v="41650"/>
        <n v="26505"/>
        <n v="72900"/>
        <n v="179280"/>
        <n v="643530"/>
        <n v="356250"/>
        <n v="179400"/>
        <n v="36720"/>
        <n v="5510"/>
        <n v="4560"/>
        <n v="177600"/>
        <n v="16800"/>
        <n v="10620"/>
        <n v="25600"/>
        <n v="48060"/>
        <n v="32400"/>
        <n v="180880"/>
        <n v="285200"/>
        <n v="104580"/>
        <n v="6000"/>
        <n v="132525"/>
        <n v="36890"/>
        <n v="313785"/>
        <n v="7920"/>
        <n v="63120"/>
        <n v="28800"/>
        <n v="315900"/>
        <n v="7200"/>
        <n v="64200"/>
        <n v="43920"/>
        <n v="281500"/>
        <n v="91200"/>
        <n v="1440"/>
        <n v="306565"/>
        <n v="16625"/>
        <n v="15360"/>
        <n v="274550"/>
        <n v="8240"/>
        <n v="147840"/>
        <n v="17670"/>
        <n v="190620"/>
        <n v="90720"/>
        <n v="193800"/>
        <n v="419730"/>
        <n v="299880"/>
        <n v="85400"/>
        <n v="90820"/>
        <n v="461520"/>
        <n v="102000"/>
        <n v="42000"/>
        <n v="38505"/>
        <n v="12800"/>
        <n v="486400"/>
        <n v="272250"/>
        <n v="251940"/>
        <n v="20880"/>
        <n v="66555"/>
        <n v="319200"/>
        <n v="25560"/>
        <n v="130200"/>
        <n v="146160"/>
        <n v="319675"/>
        <n v="22800"/>
        <n v="480330"/>
        <n v="23040"/>
        <n v="131400"/>
        <n v="4320"/>
        <n v="65880"/>
        <n v="282000"/>
        <n v="10000"/>
        <n v="75330"/>
        <n v="15300"/>
        <n v="119700"/>
        <n v="117600"/>
        <n v="616800"/>
        <n v="374000"/>
        <n v="35640"/>
        <n v="78400"/>
        <n v="411000"/>
        <n v="14400"/>
        <n v="31500"/>
        <n v="274050"/>
        <n v="49410"/>
        <n v="133380"/>
        <n v="198600"/>
        <n v="30400"/>
        <n v="108680"/>
        <n v="62910"/>
        <n v="93000"/>
        <n v="212800"/>
        <n v="11610"/>
        <n v="43000"/>
        <n v="19380"/>
        <n v="117800"/>
        <n v="27360"/>
        <n v="697500"/>
        <n v="13500"/>
        <n v="89760"/>
        <n v="1890"/>
        <n v="14580"/>
        <n v="19350"/>
        <n v="306680"/>
        <n v="38880"/>
        <n v="244440"/>
        <n v="183040"/>
        <n v="197280"/>
        <n v="212160"/>
        <n v="118150"/>
        <n v="154850"/>
        <n v="194400"/>
        <n v="251090"/>
        <n v="9720"/>
        <n v="235200"/>
        <n v="25200"/>
        <n v="36900"/>
        <n v="151200"/>
        <n v="6960"/>
        <n v="209760"/>
        <n v="27740"/>
        <n v="27900"/>
        <n v="61180"/>
        <n v="153000"/>
        <n v="31770"/>
        <n v="326800"/>
        <n v="12200"/>
        <n v="5220"/>
        <n v="297000"/>
        <n v="62400"/>
        <n v="147250"/>
        <n v="40320"/>
        <n v="59600"/>
        <n v="298500"/>
        <n v="465600"/>
        <n v="160200"/>
        <n v="55840"/>
        <n v="28350"/>
        <n v="473000"/>
        <n v="677000"/>
        <n v="193410"/>
        <n v="345500"/>
        <n v="344250"/>
        <n v="11700"/>
        <n v="150300"/>
        <n v="144200"/>
        <n v="9435"/>
        <n v="34960"/>
        <n v="39000"/>
        <n v="62280"/>
        <n v="27800"/>
        <n v="146400"/>
        <n v="55500"/>
        <n v="203745"/>
        <n v="209790"/>
        <n v="28475"/>
        <n v="221670"/>
        <n v="247680"/>
        <n v="673200"/>
        <n v="129780"/>
        <n v="154000"/>
        <n v="73340"/>
        <n v="456760"/>
        <n v="378540"/>
        <n v="299370"/>
        <n v="124830"/>
        <n v="59280"/>
        <n v="6600"/>
        <n v="567720"/>
        <n v="298800"/>
        <n v="104100"/>
        <n v="7040"/>
        <n v="181260"/>
        <n v="108990"/>
        <n v="7695"/>
        <n v="74290"/>
        <n v="301665"/>
        <n v="638100"/>
        <n v="705850"/>
        <n v="815200"/>
        <n v="101840"/>
        <n v="59000"/>
        <n v="563550"/>
        <n v="26520"/>
        <n v="40800"/>
        <n v="468720"/>
        <n v="241380"/>
        <n v="130815"/>
        <n v="69870"/>
        <n v="106000"/>
        <n v="325440"/>
        <n v="14600"/>
        <n v="2700"/>
        <n v="11760"/>
        <n v="516120"/>
        <n v="96600"/>
        <n v="302400"/>
        <n v="28215"/>
        <n v="484925"/>
        <n v="209700"/>
        <n v="89280"/>
        <n v="110295"/>
        <n v="5985"/>
        <n v="35190"/>
        <n v="267840"/>
        <n v="147420"/>
        <n v="71100"/>
        <n v="31700"/>
        <n v="100800"/>
        <n v="119850"/>
        <n v="152640"/>
        <n v="17850"/>
        <n v="23655"/>
        <n v="69200"/>
        <n v="3240"/>
        <n v="459900"/>
        <n v="145600"/>
        <n v="357600"/>
        <n v="108000"/>
        <n v="115200"/>
        <n v="173880"/>
        <n v="309510"/>
        <n v="531900"/>
        <n v="82350"/>
        <n v="950"/>
        <n v="340000"/>
        <n v="131670"/>
        <n v="800"/>
        <n v="3420"/>
        <n v="31350"/>
        <n v="360360"/>
        <n v="436590"/>
        <n v="61120"/>
        <n v="248400"/>
        <n v="58860"/>
        <n v="315360"/>
        <n v="47500"/>
        <n v="246960"/>
        <n v="179350"/>
        <n v="61000"/>
        <n v="396200"/>
        <n v="471485"/>
        <n v="23800"/>
        <n v="96480"/>
        <n v="159460"/>
        <n v="80400"/>
        <n v="7020"/>
        <n v="576640"/>
        <n v="31000"/>
        <n v="256700"/>
        <n v="450450"/>
        <n v="14000"/>
        <n v="176320"/>
        <n v="264690"/>
        <n v="97200"/>
        <n v="253260"/>
        <n v="17640"/>
        <n v="39900"/>
        <n v="175950"/>
        <n v="23940"/>
        <n v="460800"/>
        <n v="573800"/>
        <n v="94500"/>
        <n v="16200"/>
        <n v="240000"/>
        <n v="494900"/>
        <n v="80800"/>
        <n v="503405"/>
        <n v="15840"/>
        <n v="492480"/>
        <n v="19285"/>
        <n v="21800"/>
        <n v="397480"/>
        <n v="128880"/>
        <n v="8600"/>
        <n v="387940"/>
        <n v="6375"/>
        <n v="9860"/>
        <n v="68850"/>
        <n v="9450"/>
        <n v="8800"/>
        <n v="50490"/>
        <n v="274400"/>
        <n v="42180"/>
        <n v="197000"/>
        <n v="284700"/>
        <n v="7000"/>
        <n v="424175"/>
        <n v="4410"/>
        <n v="74700"/>
        <n v="124950"/>
        <n v="18360"/>
        <n v="271600"/>
        <n v="265000"/>
        <n v="300510"/>
        <n v="1260"/>
        <n v="372800"/>
        <n v="176400"/>
        <n v="25700"/>
        <n v="189540"/>
        <n v="116000"/>
        <n v="148400"/>
        <n v="562000"/>
        <n v="75600"/>
        <n v="59500"/>
        <n v="130800"/>
        <n v="265200"/>
        <n v="423510"/>
        <n v="34560"/>
        <n v="43200"/>
        <n v="689310"/>
        <n v="146000"/>
        <n v="360960"/>
        <n v="65520"/>
        <n v="129390"/>
        <n v="109440"/>
        <n v="41580"/>
        <n v="276480"/>
        <n v="69255"/>
        <n v="152100"/>
        <n v="277200"/>
        <n v="311850"/>
        <n v="300000"/>
        <n v="64600"/>
        <n v="110960"/>
        <n v="674000"/>
        <n v="50850"/>
        <n v="4085"/>
        <n v="83300"/>
        <n v="23275"/>
        <n v="204510"/>
        <n v="42750"/>
        <n v="13600"/>
        <n v="177120"/>
        <n v="30900"/>
        <n v="422800"/>
        <n v="510"/>
        <n v="1140"/>
        <n v="54400"/>
        <n v="114920"/>
        <n v="204850"/>
        <n v="503300"/>
        <n v="15120"/>
        <n v="221600"/>
        <n v="65550"/>
        <n v="14440"/>
        <n v="485600"/>
        <n v="428490"/>
        <n v="10260"/>
        <n v="9000"/>
        <n v="27880"/>
        <n v="250040"/>
        <n v="3230"/>
        <n v="115920"/>
        <n v="618120"/>
        <n v="66160"/>
        <n v="63400"/>
        <n v="2280"/>
        <n v="162400"/>
        <n v="12400"/>
        <n v="264600"/>
        <n v="395520"/>
        <n v="20610"/>
        <n v="13680"/>
        <n v="430500"/>
        <n v="103680"/>
        <n v="274880"/>
        <n v="19080"/>
        <n v="355215"/>
        <n v="526680"/>
        <n v="2900"/>
        <n v="11645"/>
        <n v="500080"/>
        <n v="13100"/>
        <n v="242165"/>
        <n v="433580"/>
        <n v="176460"/>
        <n v="5940"/>
        <n v="74970"/>
        <n v="201600"/>
        <n v="138510"/>
        <n v="37530"/>
        <n v="38430"/>
        <n v="196020"/>
        <n v="28200"/>
        <n v="136935"/>
        <n v="22000"/>
        <n v="735000"/>
        <n v="137000"/>
        <n v="194820"/>
        <n v="45800"/>
        <n v="87120"/>
        <n v="45600"/>
        <n v="563760"/>
        <n v="79520"/>
        <n v="218400"/>
        <n v="259200"/>
        <n v="376200"/>
        <n v="78880"/>
        <n v="140400"/>
        <n v="67500"/>
        <n v="256880"/>
        <n v="560880"/>
        <n v="48450"/>
        <n v="33390"/>
        <n v="40970"/>
        <n v="323595"/>
        <n v="21470"/>
        <n v="79800"/>
        <n v="95760"/>
        <n v="110500"/>
        <n v="66800"/>
        <n v="27645"/>
        <n v="594700"/>
        <n v="17200"/>
        <n v="400000"/>
        <n v="65800"/>
        <n v="5400"/>
        <n v="131385"/>
        <n v="12350"/>
        <n v="12600"/>
        <n v="91600"/>
        <n v="143450"/>
        <n v="142400"/>
        <n v="117040"/>
        <n v="219780"/>
        <n v="587100"/>
        <n v="263150"/>
        <n v="30210"/>
        <n v="85230"/>
        <n v="30960"/>
        <n v="5130"/>
        <n v="347220"/>
        <n v="7980"/>
        <n v="1100"/>
        <n v="45200"/>
        <n v="287500"/>
        <n v="83600"/>
        <n v="32300"/>
        <n v="438090"/>
        <n v="57545"/>
        <n v="268940"/>
        <n v="37905"/>
        <n v="172800"/>
        <n v="281100"/>
        <n v="61285"/>
        <n v="12960"/>
        <n v="519200"/>
        <n v="137560"/>
        <n v="10900"/>
        <n v="1198000"/>
        <n v="208440"/>
        <n v="4760"/>
        <n v="11305"/>
        <n v="22680"/>
        <n v="180900"/>
        <n v="99025"/>
        <n v="2960"/>
        <n v="227000"/>
        <n v="155520"/>
        <n v="207090"/>
        <n v="409600"/>
        <n v="57095"/>
        <n v="660240"/>
        <n v="45090"/>
        <n v="17300"/>
        <n v="46740"/>
        <n v="159200"/>
        <n v="62415"/>
        <n v="72800"/>
        <n v="711360"/>
        <n v="20070"/>
        <n v="118275"/>
        <n v="21930"/>
        <n v="53280"/>
        <n v="524685"/>
        <n v="347130"/>
        <n v="135600"/>
        <n v="3300"/>
        <n v="33440"/>
        <n v="3040"/>
        <n v="9990"/>
        <n v="39240"/>
        <n v="246240"/>
        <n v="181000"/>
        <n v="36500"/>
        <n v="71440"/>
        <n v="102690"/>
        <n v="122360"/>
        <n v="51300"/>
        <n v="53550"/>
        <n v="15660"/>
        <n v="534660"/>
        <n v="102125"/>
        <n v="216000"/>
        <n v="178600"/>
        <n v="94050"/>
        <n v="77040"/>
        <n v="732450"/>
        <n v="149600"/>
        <n v="12540"/>
        <n v="591000"/>
        <n v="164350"/>
        <n v="173800"/>
        <n v="40375"/>
        <n v="322500"/>
        <n v="137530"/>
        <n v="141120"/>
        <n v="182400"/>
        <n v="198000"/>
        <n v="26000"/>
        <n v="432630"/>
        <n v="494100"/>
        <n v="301800"/>
        <n v="207900"/>
        <n v="236880"/>
        <n v="5225"/>
        <n v="257760"/>
        <n v="197880"/>
        <n v="629680"/>
        <n v="69120"/>
        <n v="41400"/>
        <n v="133700"/>
        <n v="430100"/>
        <n v="4655"/>
        <n v="206400"/>
        <n v="401030"/>
        <n v="8075"/>
        <n v="89675"/>
        <n v="10640"/>
        <n v="229900"/>
        <n v="87875"/>
        <n v="220400"/>
        <n v="6545"/>
        <n v="18090"/>
        <n v="96220"/>
        <n v="25020"/>
        <n v="14960"/>
        <n v="456480"/>
        <n v="204630"/>
        <n v="314160"/>
        <n v="29970"/>
        <n v="234745"/>
        <n v="48000"/>
        <n v="292400"/>
        <n v="373000"/>
        <n v="85120"/>
        <n v="9120"/>
        <n v="256500"/>
        <n v="17550"/>
        <n v="22100"/>
        <n v="1785"/>
        <n v="356800"/>
        <n v="5695"/>
        <n v="450"/>
        <n v="278640"/>
        <n v="180600"/>
        <n v="126500"/>
        <n v="13950"/>
        <n v="112860"/>
        <n v="7395"/>
        <n v="159885"/>
        <n v="4080"/>
        <n v="606600"/>
        <n v="175560"/>
        <n v="119680"/>
        <n v="44280"/>
        <n v="105570"/>
        <n v="38950"/>
        <n v="241600"/>
        <n v="220000"/>
        <n v="30590"/>
        <n v="13005"/>
        <n v="402000"/>
        <n v="252000"/>
        <n v="472230"/>
        <n v="6480"/>
        <n v="5920"/>
        <n v="76950"/>
        <n v="629000"/>
        <n v="11800"/>
        <n v="50100"/>
        <n v="59400"/>
        <n v="70900"/>
        <n v="2755"/>
        <n v="41040"/>
        <n v="226800"/>
        <n v="619650"/>
        <n v="481680"/>
        <n v="148240"/>
        <n v="182070"/>
        <n v="216720"/>
        <n v="108500"/>
        <n v="15000"/>
        <n v="37400"/>
        <n v="180000"/>
        <n v="55200"/>
        <n v="439200"/>
        <n v="50800"/>
        <n v="83400"/>
        <n v="1995"/>
        <n v="17860"/>
        <n v="78840"/>
        <n v="66420"/>
        <n v="88920"/>
        <n v="3000"/>
        <n v="30240"/>
        <n v="3960"/>
        <n v="1200"/>
        <n v="120650"/>
        <n v="27000"/>
        <n v="150000"/>
        <n v="298680"/>
        <n v="30510"/>
        <n v="21060"/>
        <n v="16910"/>
        <n v="29600"/>
        <n v="57300"/>
        <n v="122000"/>
        <n v="55680"/>
        <n v="20825"/>
        <n v="50220"/>
        <n v="123300"/>
        <n v="14280"/>
        <n v="171990"/>
        <n v="112455"/>
        <n v="54270"/>
        <n v="371790"/>
        <n v="575450"/>
        <n v="5700"/>
        <n v="917000"/>
        <n v="102400"/>
        <n v="25650"/>
        <n v="41200"/>
        <n v="306765"/>
        <n v="73000"/>
        <n v="12900"/>
        <n v="14800"/>
        <n v="2210"/>
        <n v="191520"/>
        <n v="234090"/>
        <n v="13870"/>
        <n v="72760"/>
        <n v="201780"/>
        <n v="491300"/>
        <n v="345600"/>
        <n v="57780"/>
        <n v="478170"/>
        <n v="3325"/>
        <n v="42880"/>
        <n v="35000"/>
        <n v="3200"/>
        <n v="19980"/>
        <n v="99620"/>
        <n v="138720"/>
        <n v="18905"/>
        <n v="51110"/>
        <n v="47120"/>
        <n v="131500"/>
        <n v="390355"/>
      </sharedItems>
    </cacheField>
    <cacheField name="Cost" numFmtId="0">
      <sharedItems containsSemiMixedTypes="0" containsString="0" containsNumber="1" minValue="362.89" maxValue="918823.21" count="1000">
        <n v="29740.58"/>
        <n v="2767.16"/>
        <n v="73557.2"/>
        <n v="221286.52"/>
        <n v="48746.88"/>
        <n v="54784.39"/>
        <n v="128591.48"/>
        <n v="15398.39"/>
        <n v="1700.73"/>
        <n v="18235.13"/>
        <n v="5361.13"/>
        <n v="173611.55"/>
        <n v="134417.34"/>
        <n v="1469.06"/>
        <n v="79863.37"/>
        <n v="96026.35"/>
        <n v="38582.15"/>
        <n v="10645.21"/>
        <n v="130339.17"/>
        <n v="8453.31"/>
        <n v="78056.28"/>
        <n v="9508.31"/>
        <n v="6320.01"/>
        <n v="214317.38"/>
        <n v="37604.88"/>
        <n v="18623.71"/>
        <n v="129838.36"/>
        <n v="296266.95"/>
        <n v="6189.94"/>
        <n v="216046.97"/>
        <n v="41785.81"/>
        <n v="4125.88"/>
        <n v="467023.8"/>
        <n v="120779.11"/>
        <n v="9528.45"/>
        <n v="21612.47"/>
        <n v="109552.42"/>
        <n v="39757.71"/>
        <n v="3873.21"/>
        <n v="48121.34"/>
        <n v="62605.74"/>
        <n v="49803.27"/>
        <n v="47585.54"/>
        <n v="113456.98"/>
        <n v="154100.19"/>
        <n v="3288.82"/>
        <n v="6652.98"/>
        <n v="108715.02"/>
        <n v="73163.13"/>
        <n v="50950.09"/>
        <n v="13698.21"/>
        <n v="26894.61"/>
        <n v="25126.99"/>
        <n v="130089.95"/>
        <n v="7236.28"/>
        <n v="15029.73"/>
        <n v="87833.95"/>
        <n v="152011.86"/>
        <n v="87863.03"/>
        <n v="183970.18"/>
        <n v="375597.92"/>
        <n v="50662.37"/>
        <n v="20863.32"/>
        <n v="4152.53"/>
        <n v="7708.71"/>
        <n v="36488.55"/>
        <n v="48002.66"/>
        <n v="89011.7"/>
        <n v="36001.07"/>
        <n v="224906.97"/>
        <n v="369357.64"/>
        <n v="185108.58"/>
        <n v="14222.65"/>
        <n v="19964.24"/>
        <n v="376261.75"/>
        <n v="21037.08"/>
        <n v="184626.03"/>
        <n v="7391.35"/>
        <n v="102925.8"/>
        <n v="73341.34"/>
        <n v="80258.88"/>
        <n v="248264.87"/>
        <n v="133954.25"/>
        <n v="7070.52"/>
        <n v="16645.44"/>
        <n v="122195.95"/>
        <n v="34724.69"/>
        <n v="227903.12"/>
        <n v="125788.43"/>
        <n v="103630.34"/>
        <n v="13743.01"/>
        <n v="117291.21"/>
        <n v="169532.86"/>
        <n v="120771.02"/>
        <n v="249592.94"/>
        <n v="138656.14"/>
        <n v="463477.29"/>
        <n v="7238.66"/>
        <n v="8252.9"/>
        <n v="739.27"/>
        <n v="85983.71"/>
        <n v="3484.75"/>
        <n v="15405.21"/>
        <n v="12086.16"/>
        <n v="72677.53"/>
        <n v="39824.79"/>
        <n v="43908.13"/>
        <n v="63140.21"/>
        <n v="14350.22"/>
        <n v="5766.67"/>
        <n v="74989.69"/>
        <n v="20355.98"/>
        <n v="1755.35"/>
        <n v="43642.08"/>
        <n v="89594.71"/>
        <n v="35217.41"/>
        <n v="36098.47"/>
        <n v="388660.2"/>
        <n v="127914.94"/>
        <n v="9804.34"/>
        <n v="260140.17"/>
        <n v="52174.21"/>
        <n v="129671.7"/>
        <n v="130530.16"/>
        <n v="26477.22"/>
        <n v="34595.79"/>
        <n v="32111.8"/>
        <n v="1492.81"/>
        <n v="2818.3"/>
        <n v="75205.46"/>
        <n v="11931.34"/>
        <n v="6956.85"/>
        <n v="58323.77"/>
        <n v="7803.3"/>
        <n v="8198.92"/>
        <n v="360884.73"/>
        <n v="31251.02"/>
        <n v="278199.64"/>
        <n v="278913.4"/>
        <n v="46972.37"/>
        <n v="12163.16"/>
        <n v="108463.51"/>
        <n v="329467.54"/>
        <n v="17743.99"/>
        <n v="511616.5"/>
        <n v="63189.22"/>
        <n v="83160.81"/>
        <n v="7863.26"/>
        <n v="139879.84"/>
        <n v="307981.29"/>
        <n v="7467.65"/>
        <n v="431525.57"/>
        <n v="90482.45"/>
        <n v="17878.17"/>
        <n v="53797.05"/>
        <n v="11659.31"/>
        <n v="58083.67"/>
        <n v="327492.03"/>
        <n v="40172.19"/>
        <n v="59892.32"/>
        <n v="9144.12"/>
        <n v="36361.36"/>
        <n v="1179.08"/>
        <n v="141516.7"/>
        <n v="21594.17"/>
        <n v="76278.11"/>
        <n v="10802.11"/>
        <n v="24412.03"/>
        <n v="25719.97"/>
        <n v="9994.7"/>
        <n v="49491.06"/>
        <n v="129988.99"/>
        <n v="63449.41"/>
        <n v="23253.13"/>
        <n v="174529.78"/>
        <n v="32489.99"/>
        <n v="77754.2"/>
        <n v="144245.74"/>
        <n v="95275.69"/>
        <n v="16662.98"/>
        <n v="160595.23"/>
        <n v="139435.73"/>
        <n v="14898.02"/>
        <n v="35889.01"/>
        <n v="10771.61"/>
        <n v="6050.52"/>
        <n v="201236.2"/>
        <n v="30375.86"/>
        <n v="505738.97"/>
        <n v="89453.53"/>
        <n v="3734.34"/>
        <n v="7442.09"/>
        <n v="5563.24"/>
        <n v="3995.93"/>
        <n v="34025.95"/>
        <n v="4396.98"/>
        <n v="9447.16"/>
        <n v="110570.53"/>
        <n v="67403.61"/>
        <n v="110453.02"/>
        <n v="46882.03"/>
        <n v="607.69"/>
        <n v="612641.65"/>
        <n v="25625.5"/>
        <n v="157142.51"/>
        <n v="175299.19"/>
        <n v="25951.15"/>
        <n v="164824.52"/>
        <n v="11200.2"/>
        <n v="24603.51"/>
        <n v="3965.06"/>
        <n v="90461.47"/>
        <n v="76429.07"/>
        <n v="1042.3"/>
        <n v="151493.06"/>
        <n v="7395.11"/>
        <n v="36440.24"/>
        <n v="85384.74"/>
        <n v="2128.19"/>
        <n v="41279.3"/>
        <n v="22615.99"/>
        <n v="29456.27"/>
        <n v="16118.77"/>
        <n v="133802.11"/>
        <n v="83070.71"/>
        <n v="21207.91"/>
        <n v="17004.48"/>
        <n v="1758.45"/>
        <n v="34371.55"/>
        <n v="68937.91"/>
        <n v="46579.85"/>
        <n v="84071.9"/>
        <n v="4068.66"/>
        <n v="31231.79"/>
        <n v="19499.17"/>
        <n v="50660.61"/>
        <n v="115305.19"/>
        <n v="454972.84"/>
        <n v="255683.51"/>
        <n v="133081.88"/>
        <n v="28238.61"/>
        <n v="4620.94"/>
        <n v="3371.96"/>
        <n v="141143.4"/>
        <n v="11167.11"/>
        <n v="7966.16"/>
        <n v="20847.67"/>
        <n v="31218.61"/>
        <n v="25993.33"/>
        <n v="144345.91"/>
        <n v="198710.4"/>
        <n v="83119.5"/>
        <n v="4254.74"/>
        <n v="104312.35"/>
        <n v="29396.57"/>
        <n v="194556"/>
        <n v="6350.87"/>
        <n v="44373.99"/>
        <n v="19466.81"/>
        <n v="265318.91"/>
        <n v="5679.83"/>
        <n v="49377.43"/>
        <n v="28055"/>
        <n v="230952.48"/>
        <n v="71087.52"/>
        <n v="932.57"/>
        <n v="215142"/>
        <n v="11763.2"/>
        <n v="12176.51"/>
        <n v="189256.2"/>
        <n v="5635.43"/>
        <n v="108887.88"/>
        <n v="11768.59"/>
        <n v="139078.62"/>
        <n v="75829.14"/>
        <n v="140489.11"/>
        <n v="332666.49"/>
        <n v="185954.81"/>
        <n v="53560.83"/>
        <n v="73237.23"/>
        <n v="301187.56"/>
        <n v="72891.51"/>
        <n v="28772.22"/>
        <n v="24276.67"/>
        <n v="9039.38"/>
        <n v="334092.28"/>
        <n v="222463.36"/>
        <n v="177996.35"/>
        <n v="23522.75"/>
        <n v="15007.27"/>
        <n v="44122.83"/>
        <n v="231787.11"/>
        <n v="19818.27"/>
        <n v="105911.84"/>
        <n v="109003.81"/>
        <n v="241893.07"/>
        <n v="1996.24"/>
        <n v="18857.42"/>
        <n v="342475.43"/>
        <n v="17344.52"/>
        <n v="109364.66"/>
        <n v="2779.05"/>
        <n v="46761.19"/>
        <n v="216096.26"/>
        <n v="12987.19"/>
        <n v="8205.35"/>
        <n v="56562.04"/>
        <n v="80098.28"/>
        <n v="14241.24"/>
        <n v="9972.01"/>
        <n v="86578.49"/>
        <n v="92232.61"/>
        <n v="483174.46"/>
        <n v="250951.15"/>
        <n v="28666.67"/>
        <n v="51458.83"/>
        <n v="312204.08"/>
        <n v="10245.18"/>
        <n v="23517.59"/>
        <n v="216515.14"/>
        <n v="38119.76"/>
        <n v="88078.45"/>
        <n v="124966.43"/>
        <n v="24223.91"/>
        <n v="78481.36"/>
        <n v="40324.16"/>
        <n v="61900.18"/>
        <n v="168185.75"/>
        <n v="19851.47"/>
        <n v="9231.96"/>
        <n v="32291.57"/>
        <n v="12148.41"/>
        <n v="78246.8"/>
        <n v="6641.86"/>
        <n v="21680.68"/>
        <n v="565097.28"/>
        <n v="5366.06"/>
        <n v="10759.11"/>
        <n v="58956.03"/>
        <n v="1246.38"/>
        <n v="11728.07"/>
        <n v="12331.42"/>
        <n v="234607.13"/>
        <n v="29263.76"/>
        <n v="199515.96"/>
        <n v="116497.76"/>
        <n v="131849.23"/>
        <n v="135108.92"/>
        <n v="81145.1"/>
        <n v="102504.46"/>
        <n v="141458.34"/>
        <n v="162636.13"/>
        <n v="6822.26"/>
        <n v="193797.09"/>
        <n v="17495.93"/>
        <n v="28968.66"/>
        <n v="101665.71"/>
        <n v="4890.63"/>
        <n v="165748.49"/>
        <n v="20040.77"/>
        <n v="22041.27"/>
        <n v="38336.79"/>
        <n v="126741.45"/>
        <n v="26617.67"/>
        <n v="216886.71"/>
        <n v="33434.08"/>
        <n v="9344.9"/>
        <n v="4316.15"/>
        <n v="212487.36"/>
        <n v="50672.81"/>
        <n v="95140.58"/>
        <n v="27627.21"/>
        <n v="46025.65"/>
        <n v="243902.71"/>
        <n v="302971.39"/>
        <n v="114153.31"/>
        <n v="44999.76"/>
        <n v="20091.81"/>
        <n v="315836.47"/>
        <n v="70715.69"/>
        <n v="433349.26"/>
        <n v="155854.9"/>
        <n v="281429.83"/>
        <n v="275570.03"/>
        <n v="8951.57"/>
        <n v="106980.92"/>
        <n v="94467.94"/>
        <n v="7772.76"/>
        <n v="88699.01"/>
        <n v="25904.35"/>
        <n v="30636.18"/>
        <n v="49649.31"/>
        <n v="19632.93"/>
        <n v="111642.17"/>
        <n v="46494.93"/>
        <n v="139295.71"/>
        <n v="168066.99"/>
        <n v="22612.62"/>
        <n v="166849.46"/>
        <n v="189101.64"/>
        <n v="505378.79"/>
        <n v="85450.06"/>
        <n v="98525.03"/>
        <n v="58984.19"/>
        <n v="287458.88"/>
        <n v="243308.67"/>
        <n v="244516.13"/>
        <n v="81184.86"/>
        <n v="40740.99"/>
        <n v="4923.48"/>
        <n v="429061.95"/>
        <n v="192190.06"/>
        <n v="71590.57"/>
        <n v="5908.28"/>
        <n v="150924.41"/>
        <n v="75861.13"/>
        <n v="5449.25"/>
        <n v="52166.1"/>
        <n v="48132.59"/>
        <n v="225324.43"/>
        <n v="415762.53"/>
        <n v="28053.81"/>
        <n v="498831.2"/>
        <n v="509381.43"/>
        <n v="64363.33"/>
        <n v="40012.84"/>
        <n v="20426.73"/>
        <n v="416722.45"/>
        <n v="21999.17"/>
        <n v="18735.38"/>
        <n v="27958.39"/>
        <n v="388463.77"/>
        <n v="8109.93"/>
        <n v="160689.65"/>
        <n v="90456.35"/>
        <n v="48456.41"/>
        <n v="75416.89"/>
        <n v="272763.37"/>
        <n v="10567.23"/>
        <n v="1870.35"/>
        <n v="7448.83"/>
        <n v="4019.82"/>
        <n v="342282.91"/>
        <n v="65327.07"/>
        <n v="242808.75"/>
        <n v="22853.18"/>
        <n v="395165.91"/>
        <n v="171683.32"/>
        <n v="67538.68"/>
        <n v="69704.51"/>
        <n v="4560.26"/>
        <n v="22926.13"/>
        <n v="220637.26"/>
        <n v="98901.36"/>
        <n v="47767.61"/>
        <n v="24165.04"/>
        <n v="81044.94"/>
        <n v="9171.85"/>
        <n v="80452.43"/>
        <n v="107032.69"/>
        <n v="61235.46"/>
        <n v="14417.68"/>
        <n v="19457.47"/>
        <n v="55421.6"/>
        <n v="2515.6"/>
        <n v="293350.03"/>
        <n v="107408.05"/>
        <n v="8064.18"/>
        <n v="232491.71"/>
        <n v="79720.1"/>
        <n v="74562.75"/>
        <n v="6367.67"/>
        <n v="127074.26"/>
        <n v="237066.01"/>
        <n v="429585.74"/>
        <n v="18441.21"/>
        <n v="67798.43"/>
        <n v="21811.82"/>
        <n v="687.76"/>
        <n v="256413.99"/>
        <n v="85205.56"/>
        <n v="8610.43"/>
        <n v="584.35"/>
        <n v="2640.62"/>
        <n v="21590.19"/>
        <n v="226679.05"/>
        <n v="288591.38"/>
        <n v="47510.26"/>
        <n v="181931.53"/>
        <n v="47571.9"/>
        <n v="222833.32"/>
        <n v="31179.47"/>
        <n v="199727.83"/>
        <n v="143219.2"/>
        <n v="47497.6"/>
        <n v="7489.56"/>
        <n v="3266.2"/>
        <n v="299992.43"/>
        <n v="300089.4"/>
        <n v="16862.48"/>
        <n v="71935.44"/>
        <n v="119941.71"/>
        <n v="57261.68"/>
        <n v="5147.37"/>
        <n v="377889.84"/>
        <n v="10840.39"/>
        <n v="25935.34"/>
        <n v="164050.67"/>
        <n v="315291.97"/>
        <n v="9635.75"/>
        <n v="118589.87"/>
        <n v="187036.87"/>
        <n v="62792.41"/>
        <n v="179906.01"/>
        <n v="13195.7"/>
        <n v="25004.99"/>
        <n v="141583.4"/>
        <n v="19793.19"/>
        <n v="290782.58"/>
        <n v="432241.99"/>
        <n v="69185.76"/>
        <n v="11727.09"/>
        <n v="156958.7"/>
        <n v="344639.59"/>
        <n v="59590.87"/>
        <n v="330845.63"/>
        <n v="13271.75"/>
        <n v="391650.57"/>
        <n v="16059.26"/>
        <n v="15712.09"/>
        <n v="324177.8"/>
        <n v="100069.55"/>
        <n v="8069.88"/>
        <n v="6928.49"/>
        <n v="248166.97"/>
        <n v="5174.9"/>
        <n v="8967.91"/>
        <n v="7076.72"/>
        <n v="49623.77"/>
        <n v="7344.36"/>
        <n v="6354.28"/>
        <n v="32569.71"/>
        <n v="222417.78"/>
        <n v="31015.93"/>
        <n v="141419.34"/>
        <n v="216543.88"/>
        <n v="4968.16"/>
        <n v="4135.82"/>
        <n v="336175.52"/>
        <n v="3526.75"/>
        <n v="62300.89"/>
        <n v="84153.77"/>
        <n v="11752.19"/>
        <n v="199788.4"/>
        <n v="213178.7"/>
        <n v="191434.05"/>
        <n v="1005.51"/>
        <n v="295840.64"/>
        <n v="144752.56"/>
        <n v="40783.97"/>
        <n v="19646.21"/>
        <n v="138980.68"/>
        <n v="77964.4"/>
        <n v="106078.76"/>
        <n v="447173.44"/>
        <n v="56409.32"/>
        <n v="40443.03"/>
        <n v="104778.75"/>
        <n v="222730.09"/>
        <n v="268330.74"/>
        <n v="26214.81"/>
        <n v="32303.62"/>
        <n v="446754.64"/>
        <n v="29731.33"/>
        <n v="114161.46"/>
        <n v="273992.62"/>
        <n v="6760.69"/>
        <n v="41425.69"/>
        <n v="3640"/>
        <n v="84475.62"/>
        <n v="80307.06"/>
        <n v="32885.65"/>
        <n v="213066.42"/>
        <n v="48095.62"/>
        <n v="115486.29"/>
        <n v="176783.57"/>
        <n v="135461.42"/>
        <n v="194333.09"/>
        <n v="231172.73"/>
        <n v="4990.29"/>
        <n v="50760.4"/>
        <n v="71282.5"/>
        <n v="546378.81"/>
        <n v="42157.77"/>
        <n v="2832.24"/>
        <n v="53593.43"/>
        <n v="15752.75"/>
        <n v="142036.54"/>
        <n v="33301.84"/>
        <n v="200034.35"/>
        <n v="111382.65"/>
        <n v="9015.43"/>
        <n v="114412.67"/>
        <n v="20431.58"/>
        <n v="307616.26"/>
        <n v="373.64"/>
        <n v="729.33"/>
        <n v="36232.98"/>
        <n v="88487.57"/>
        <n v="158879.66"/>
        <n v="367537.74"/>
        <n v="9689.91"/>
        <n v="69052.92"/>
        <n v="180431.39"/>
        <n v="49844.83"/>
        <n v="11633"/>
        <n v="358276.79"/>
        <n v="331854.57"/>
        <n v="8005.4"/>
        <n v="4282.74"/>
        <n v="6645.43"/>
        <n v="19847.66"/>
        <n v="179641.25"/>
        <n v="2416.27"/>
        <n v="85278.81"/>
        <n v="482895.77"/>
        <n v="45063.96"/>
        <n v="51702.18"/>
        <n v="1857.98"/>
        <n v="134542.61"/>
        <n v="8032.1"/>
        <n v="196166.86"/>
        <n v="305358.56"/>
        <n v="16513.91"/>
        <n v="10671.27"/>
        <n v="273141.75"/>
        <n v="86246.29"/>
        <n v="222101.22"/>
        <n v="14924.15"/>
        <n v="263575.39"/>
        <n v="438999.38"/>
        <n v="2080.04"/>
        <n v="9666.96"/>
        <n v="30026.28"/>
        <n v="372640.97"/>
        <n v="8672.64"/>
        <n v="1192.01"/>
        <n v="163344.83"/>
        <n v="6986.21"/>
        <n v="170221.58"/>
        <n v="333462.02"/>
        <n v="112851.48"/>
        <n v="4414.24"/>
        <n v="51085.44"/>
        <n v="136569.13"/>
        <n v="102437.37"/>
        <n v="26426.62"/>
        <n v="29419.03"/>
        <n v="132039.17"/>
        <n v="23449.42"/>
        <n v="98212.48"/>
        <n v="18445.31"/>
        <n v="93095.85"/>
        <n v="598205.81"/>
        <n v="4959.34"/>
        <n v="11478.54"/>
        <n v="113922.97"/>
        <n v="155852.67"/>
        <n v="37791.91"/>
        <n v="123421.77"/>
        <n v="67798.87"/>
        <n v="37616.71"/>
        <n v="358449.59"/>
        <n v="58103.35"/>
        <n v="135877.88"/>
        <n v="32644.87"/>
        <n v="162858.62"/>
        <n v="314175.08"/>
        <n v="63934.22"/>
        <n v="91956.87"/>
        <n v="41919.98"/>
        <n v="209423.79"/>
        <n v="22203.95"/>
        <n v="7329.42"/>
        <n v="400736.72"/>
        <n v="34350.47"/>
        <n v="23545.97"/>
        <n v="6285.66"/>
        <n v="30843.72"/>
        <n v="265908.19"/>
        <n v="16757.22"/>
        <n v="65062.88"/>
        <n v="67547.35"/>
        <n v="82463.34"/>
        <n v="51027.1"/>
        <n v="19086.78"/>
        <n v="432305.11"/>
        <n v="13644.57"/>
        <n v="315377.41"/>
        <n v="54081.47"/>
        <n v="4091.8"/>
        <n v="90547.32"/>
        <n v="8369.98"/>
        <n v="31529.44"/>
        <n v="10347.07"/>
        <n v="75882.13"/>
        <n v="101031.29"/>
        <n v="116867.11"/>
        <n v="87024.92"/>
        <n v="157250.56"/>
        <n v="420861.92"/>
        <n v="177990.53"/>
        <n v="24682.83"/>
        <n v="53788.67"/>
        <n v="19726.43"/>
        <n v="5002.69"/>
        <n v="4050.4"/>
        <n v="246035.81"/>
        <n v="17793.39"/>
        <n v="5172.64"/>
        <n v="920.35"/>
        <n v="35299.82"/>
        <n v="97767.64"/>
        <n v="5352.86"/>
        <n v="234860.89"/>
        <n v="7123.76"/>
        <n v="61826.32"/>
        <n v="63995.07"/>
        <n v="21642.86"/>
        <n v="344922.91"/>
        <n v="85816.8"/>
        <n v="12325.25"/>
        <n v="15918.98"/>
        <n v="47803.93"/>
        <n v="223109.4"/>
        <n v="28560.34"/>
        <n v="136937.83"/>
        <n v="226598.18"/>
        <n v="49197.69"/>
        <n v="7941.12"/>
        <n v="9542.3"/>
        <n v="405647.67"/>
        <n v="107079.78"/>
        <n v="8772.32"/>
        <n v="918823.21"/>
        <n v="142798.28"/>
        <n v="5186.42"/>
        <n v="3462.87"/>
        <n v="9432.4"/>
        <n v="17948.53"/>
        <n v="136891.04"/>
        <n v="73624.92"/>
        <n v="2180.26"/>
        <n v="37603.94"/>
        <n v="176260.62"/>
        <n v="125189.36"/>
        <n v="85466.06"/>
        <n v="134825.48"/>
        <n v="320270.25"/>
        <n v="45640.49"/>
        <n v="27553.35"/>
        <n v="458553.17"/>
        <n v="32294.2"/>
        <n v="6014.25"/>
        <n v="14480.05"/>
        <n v="7749.58"/>
        <n v="36460.35"/>
        <n v="129404.65"/>
        <n v="39620.6"/>
        <n v="20898.56"/>
        <n v="45283.36"/>
        <n v="492496.11"/>
        <n v="14625.3"/>
        <n v="95415.86"/>
        <n v="13809.58"/>
        <n v="14915.42"/>
        <n v="36089.03"/>
        <n v="355606.25"/>
        <n v="225978.54"/>
        <n v="3495.54"/>
        <n v="98047.14"/>
        <n v="2072.06"/>
        <n v="23109.57"/>
        <n v="2304.4"/>
        <n v="6993.2"/>
        <n v="30995.4"/>
        <n v="197427.31"/>
        <n v="15293.34"/>
        <n v="141851.12"/>
        <n v="27791.47"/>
        <n v="49532.28"/>
        <n v="80169.22"/>
        <n v="90143.11"/>
        <n v="42115.14"/>
        <n v="40321.21"/>
        <n v="11115.66"/>
        <n v="3991.6"/>
        <n v="411646.14"/>
        <n v="18531.28"/>
        <n v="64873.22"/>
        <n v="79538.52"/>
        <n v="164242.17"/>
        <n v="201733.16"/>
        <n v="137344.63"/>
        <n v="77902.12"/>
        <n v="64351.81"/>
        <n v="474390.66"/>
        <n v="113457.52"/>
        <n v="9617.14"/>
        <n v="383326.01"/>
        <n v="124006.82"/>
        <n v="19763.19"/>
        <n v="142294.62"/>
        <n v="30519.17"/>
        <n v="4615.09"/>
        <n v="16952.33"/>
        <n v="264024.77"/>
        <n v="1837.71"/>
        <n v="86759.45"/>
        <n v="113675.92"/>
        <n v="59655.08"/>
        <n v="133751.01"/>
        <n v="156157.68"/>
        <n v="19456.66"/>
        <n v="363136.22"/>
        <n v="333913.44"/>
        <n v="244378.18"/>
        <n v="155777.77"/>
        <n v="185374.73"/>
        <n v="3837.45"/>
        <n v="189444.84"/>
        <n v="126668.18"/>
        <n v="430235.79"/>
        <n v="39925.26"/>
        <n v="135773.79"/>
        <n v="57583.91"/>
        <n v="31694.7"/>
        <n v="109795.59"/>
        <n v="345029.15"/>
        <n v="3208.26"/>
        <n v="143611.32"/>
        <n v="293905.66"/>
        <n v="5721.92"/>
        <n v="105408.62"/>
        <n v="67087.54"/>
        <n v="7158.79"/>
        <n v="156469.54"/>
        <n v="58886.02"/>
        <n v="30380.74"/>
        <n v="147032.98"/>
        <n v="4311.6"/>
        <n v="12265.7"/>
        <n v="66493.34"/>
        <n v="20097.19"/>
        <n v="9999.48"/>
        <n v="381176.1"/>
        <n v="129298.57"/>
        <n v="219748.2"/>
        <n v="19043.72"/>
        <n v="151277.64"/>
        <n v="30996"/>
        <n v="211948.04"/>
        <n v="285962.29"/>
        <n v="57209.05"/>
        <n v="6478.43"/>
        <n v="207200.34"/>
        <n v="12798.55"/>
        <n v="17709.16"/>
        <n v="515.8"/>
        <n v="1377.55"/>
        <n v="232208.96"/>
        <n v="10913.65"/>
        <n v="4086.92"/>
        <n v="362.89"/>
        <n v="178151.64"/>
        <n v="120519.17"/>
        <n v="94069.94"/>
        <n v="10465.59"/>
        <n v="83736.59"/>
        <n v="5541.02"/>
        <n v="794.32"/>
        <n v="119513.72"/>
        <n v="2564.49"/>
        <n v="483916.64"/>
        <n v="131137.51"/>
        <n v="52398.88"/>
        <n v="96822.16"/>
        <n v="27750.69"/>
        <n v="82236.35"/>
        <n v="26037.7"/>
        <n v="7871.77"/>
        <n v="26425.01"/>
        <n v="170932.09"/>
        <n v="148239.43"/>
        <n v="23120.47"/>
        <n v="10307.65"/>
        <n v="10865.97"/>
        <n v="273203.99"/>
        <n v="200477.97"/>
        <n v="292788.09"/>
        <n v="5386.06"/>
        <n v="4159.29"/>
        <n v="10160.32"/>
        <n v="55299.4"/>
        <n v="476487.72"/>
        <n v="8013.28"/>
        <n v="22203.09"/>
        <n v="32671.4"/>
        <n v="37137.93"/>
        <n v="60988.2"/>
        <n v="7134.17"/>
        <n v="49379.86"/>
        <n v="1859.55"/>
        <n v="32755.19"/>
        <n v="157772.92"/>
        <n v="399503.38"/>
        <n v="353754.55"/>
        <n v="110868.79"/>
        <n v="124819.1"/>
        <n v="150535.61"/>
        <n v="78263.71"/>
        <n v="11064.84"/>
        <n v="28465.38"/>
        <n v="145030.7"/>
        <n v="43035.3"/>
        <n v="286886.11"/>
        <n v="32343.72"/>
        <n v="67034.2"/>
        <n v="1539.2"/>
        <n v="13043.11"/>
        <n v="61646.87"/>
        <n v="48958.73"/>
        <n v="61436.11"/>
        <n v="68520.77"/>
        <n v="2379.12"/>
        <n v="22989.95"/>
        <n v="2920.44"/>
        <n v="757.55"/>
        <n v="75179.97"/>
        <n v="21057.57"/>
        <n v="94448.85"/>
        <n v="249046.37"/>
        <n v="21510.09"/>
        <n v="14383.13"/>
        <n v="12985.15"/>
        <n v="20783.44"/>
        <n v="29710.42"/>
        <n v="40545.07"/>
        <n v="2078.55"/>
        <n v="99802.3"/>
        <n v="45118.27"/>
        <n v="27197.03"/>
        <n v="13848.34"/>
        <n v="38008.09"/>
        <n v="93872.46"/>
        <n v="2866.01"/>
        <n v="11951.31"/>
        <n v="144288.44"/>
        <n v="71929.08"/>
        <n v="44700.32"/>
        <n v="290939.47"/>
        <n v="359584.01"/>
        <n v="4526.72"/>
        <n v="599865.5"/>
        <n v="77522.33"/>
        <n v="17798.88"/>
        <n v="27126.43"/>
        <n v="239758.02"/>
        <n v="7207.96"/>
        <n v="59107.09"/>
        <n v="8476.24"/>
        <n v="10167.89"/>
        <n v="1770.45"/>
        <n v="127123.66"/>
        <n v="165072.94"/>
        <n v="10277.61"/>
        <n v="58604.48"/>
        <n v="10607.34"/>
        <n v="3736.49"/>
        <n v="127499.4"/>
        <n v="62676.53"/>
        <n v="4047.51"/>
        <n v="336114.9"/>
        <n v="242235.59"/>
        <n v="68509.53"/>
        <n v="47262.23"/>
        <n v="357299.86"/>
        <n v="2316.08"/>
        <n v="32411.39"/>
        <n v="21975.26"/>
        <n v="2464.84"/>
        <n v="14410.99"/>
        <n v="73145.15"/>
        <n v="111456.2"/>
        <n v="13792.96"/>
        <n v="36631.78"/>
        <n v="31159.25"/>
        <n v="102259.9"/>
        <n v="285407.99"/>
        <n v="19087.7"/>
      </sharedItems>
    </cacheField>
    <cacheField name="Profit" numFmtId="0">
      <sharedItems containsSemiMixedTypes="0" containsString="0" containsNumber="1" minValue="87.11" maxValue="317134.5" count="999">
        <n v="17259.42"/>
        <n v="1102.84"/>
        <n v="24042.8"/>
        <n v="87413.48"/>
        <n v="29013.12"/>
        <n v="19375.61"/>
        <n v="78408.52"/>
        <n v="6021.61"/>
        <n v="459.27"/>
        <n v="8224.87"/>
        <n v="1358.87"/>
        <n v="38238.45"/>
        <n v="39622.66"/>
        <n v="430.94"/>
        <n v="38856.63"/>
        <n v="39653.65"/>
        <n v="19017.85"/>
        <n v="3124.79"/>
        <n v="57310.83"/>
        <n v="2766.69"/>
        <n v="22443.72"/>
        <n v="1891.69"/>
        <n v="2949.99"/>
        <n v="74672.62"/>
        <n v="11035.12"/>
        <n v="8016.29"/>
        <n v="40331.64"/>
        <n v="175333.05"/>
        <n v="2210.06"/>
        <n v="85453.03"/>
        <n v="20114.19"/>
        <n v="2174.12"/>
        <n v="242626.2"/>
        <n v="28620.89"/>
        <n v="1991.55"/>
        <n v="9527.53"/>
        <n v="23067.58"/>
        <n v="19142.29"/>
        <n v="1736.79"/>
        <n v="18838.66"/>
        <n v="21894.26"/>
        <n v="28196.73"/>
        <n v="20244.46"/>
        <n v="50343.02"/>
        <n v="75129.81"/>
        <n v="711.18"/>
        <n v="1447.02"/>
        <n v="61924.98"/>
        <n v="20676.87"/>
        <n v="19259.91"/>
        <n v="6441.79"/>
        <n v="11355.39"/>
        <n v="11873.01"/>
        <n v="33710.05"/>
        <n v="2363.72"/>
        <n v="3870.27"/>
        <n v="29666.05"/>
        <n v="30238.14"/>
        <n v="33936.97"/>
        <n v="97099.82"/>
        <n v="160082.08"/>
        <n v="24577.63"/>
        <n v="9136.68"/>
        <n v="1427.47"/>
        <n v="4291.29"/>
        <n v="6981.45"/>
        <n v="17067.34"/>
        <n v="28988.3"/>
        <n v="12598.93"/>
        <n v="124613.03"/>
        <n v="97042.36"/>
        <n v="61891.42"/>
        <n v="8187.35"/>
        <n v="5195.76"/>
        <n v="207688.25"/>
        <n v="7222.92"/>
        <n v="38243.97"/>
        <n v="1968.65"/>
        <n v="53874.2"/>
        <n v="36908.66"/>
        <n v="22341.12"/>
        <n v="83760.13"/>
        <n v="25645.75"/>
        <n v="2429.48"/>
        <n v="7354.56"/>
        <n v="60504.05"/>
        <n v="8835.31"/>
        <n v="124336.88"/>
        <n v="74661.57"/>
        <n v="35569.66"/>
        <n v="3356.99"/>
        <n v="67483.79"/>
        <n v="81567.14"/>
        <n v="24578.98"/>
        <n v="85607.06"/>
        <n v="28368.86"/>
        <n v="115722.71"/>
        <n v="2841.34"/>
        <n v="1827.1"/>
        <n v="160.73"/>
        <n v="33416.29"/>
        <n v="1375.25"/>
        <n v="7544.79"/>
        <n v="6813.84"/>
        <n v="40122.47"/>
        <n v="16700.21"/>
        <n v="21531.87"/>
        <n v="16164.79"/>
        <n v="2749.78"/>
        <n v="2733.33"/>
        <n v="36010.31"/>
        <n v="4644.02"/>
        <n v="539.65"/>
        <n v="22997.92"/>
        <n v="22405.29"/>
        <n v="21402.59"/>
        <n v="10701.53"/>
        <n v="90139.8"/>
        <n v="67385.06"/>
        <n v="4815.66"/>
        <n v="122234.83"/>
        <n v="19915.79"/>
        <n v="59708.3"/>
        <n v="40469.84"/>
        <n v="12222.78"/>
        <n v="11804.21"/>
        <n v="18208.2"/>
        <n v="307.19"/>
        <n v="1601.7"/>
        <n v="39594.54"/>
        <n v="6268.66"/>
        <n v="4143.15"/>
        <n v="21236.23"/>
        <n v="2596.7"/>
        <n v="2601.08"/>
        <n v="202155.27"/>
        <n v="6248.98"/>
        <n v="89900.36"/>
        <n v="109436.6"/>
        <n v="9932.63"/>
        <n v="5436.84"/>
        <n v="32736.49"/>
        <n v="122242.46"/>
        <n v="7366.01"/>
        <n v="175353.5"/>
        <n v="14710.78"/>
        <n v="27539.19"/>
        <n v="2846.74"/>
        <n v="35220.16"/>
        <n v="156283.71"/>
        <n v="2132.35"/>
        <n v="198474.43"/>
        <n v="28517.55"/>
        <n v="8721.83"/>
        <n v="18022.95"/>
        <n v="4090.69"/>
        <n v="16586.33"/>
        <n v="102307.97"/>
        <n v="12627.81"/>
        <n v="20747.68"/>
        <n v="3680.88"/>
        <n v="9718.64"/>
        <n v="620.92"/>
        <n v="58553.3"/>
        <n v="9090.83"/>
        <n v="25961.89"/>
        <n v="5602.89"/>
        <n v="13327.97"/>
        <n v="14880.03"/>
        <n v="5205.3"/>
        <n v="22508.94"/>
        <n v="34711.01"/>
        <n v="28350.59"/>
        <n v="8606.87"/>
        <n v="72565.22"/>
        <n v="7210.01"/>
        <n v="21645.8"/>
        <n v="29454.26"/>
        <n v="29224.31"/>
        <n v="7937.02"/>
        <n v="52844.77"/>
        <n v="58204.27"/>
        <n v="6701.98"/>
        <n v="20910.99"/>
        <n v="5378.39"/>
        <n v="2049.48"/>
        <n v="82863.8"/>
        <n v="10934.14"/>
        <n v="122326.03"/>
        <n v="27346.47"/>
        <n v="1365.66"/>
        <n v="2757.91"/>
        <n v="2716.76"/>
        <n v="1044.07"/>
        <n v="17814.05"/>
        <n v="1018.02"/>
        <n v="2072.84"/>
        <n v="63509.47"/>
        <n v="35596.39"/>
        <n v="30946.98"/>
        <n v="23767.97"/>
        <n v="292.31"/>
        <n v="198978.35"/>
        <n v="9904.5"/>
        <n v="42567.49"/>
        <n v="98300.81"/>
        <n v="13188.85"/>
        <n v="57095.48"/>
        <n v="4799.8"/>
        <n v="7476.49"/>
        <n v="894.94"/>
        <n v="34998.53"/>
        <n v="30850.93"/>
        <n v="577.7"/>
        <n v="87051.94"/>
        <n v="2294.89"/>
        <n v="13794.76"/>
        <n v="20725.26"/>
        <n v="751.81"/>
        <n v="9840.7"/>
        <n v="10864.01"/>
        <n v="10683.73"/>
        <n v="5121.23"/>
        <n v="50997.89"/>
        <n v="32449.29"/>
        <n v="5192.09"/>
        <n v="5495.52"/>
        <n v="401.55"/>
        <n v="20078.45"/>
        <n v="27862.09"/>
        <n v="15385.15"/>
        <n v="29928.1"/>
        <n v="1781.34"/>
        <n v="10418.21"/>
        <n v="7005.83"/>
        <n v="22239.39"/>
        <n v="63974.81"/>
        <n v="188557.16"/>
        <n v="100566.49"/>
        <n v="46318.12"/>
        <n v="8481.39"/>
        <n v="889.06"/>
        <n v="1188.04"/>
        <n v="36456.6"/>
        <n v="5632.89"/>
        <n v="2653.84"/>
        <n v="4752.33"/>
        <n v="16841.39"/>
        <n v="6406.67"/>
        <n v="36534.09"/>
        <n v="86489.6"/>
        <n v="21460.5"/>
        <n v="1745.26"/>
        <n v="28212.65"/>
        <n v="7493.43"/>
        <n v="119229"/>
        <n v="1569.13"/>
        <n v="18746.01"/>
        <n v="9333.19"/>
        <n v="50581.09"/>
        <n v="1520.17"/>
        <n v="14822.57"/>
        <n v="15865"/>
        <n v="50547.52"/>
        <n v="20112.48"/>
        <n v="507.43"/>
        <n v="91423"/>
        <n v="4861.8"/>
        <n v="3183.49"/>
        <n v="85293.8"/>
        <n v="2604.57"/>
        <n v="38952.12"/>
        <n v="5901.41"/>
        <n v="51541.38"/>
        <n v="14890.86"/>
        <n v="53310.89"/>
        <n v="87063.51"/>
        <n v="113925.19"/>
        <n v="31839.17"/>
        <n v="17582.77"/>
        <n v="160332.44"/>
        <n v="29108.49"/>
        <n v="13227.78"/>
        <n v="14228.33"/>
        <n v="3760.62"/>
        <n v="152307.72"/>
        <n v="49786.64"/>
        <n v="73943.65"/>
        <n v="8877.25"/>
        <n v="5872.73"/>
        <n v="22432.17"/>
        <n v="87412.89"/>
        <n v="5741.73"/>
        <n v="24288.16"/>
        <n v="37156.19"/>
        <n v="77781.93"/>
        <n v="883.76"/>
        <n v="3942.58"/>
        <n v="137854.57"/>
        <n v="5695.48"/>
        <n v="22035.34"/>
        <n v="1540.95"/>
        <n v="19118.81"/>
        <n v="65903.74"/>
        <n v="7892.81"/>
        <n v="1794.65"/>
        <n v="18767.96"/>
        <n v="22141.72"/>
        <n v="3358.76"/>
        <n v="5327.99"/>
        <n v="33121.51"/>
        <n v="25367.39"/>
        <n v="133625.54"/>
        <n v="123048.85"/>
        <n v="6973.33"/>
        <n v="26941.17"/>
        <n v="98795.92"/>
        <n v="4154.82"/>
        <n v="7982.41"/>
        <n v="57534.86"/>
        <n v="11290.24"/>
        <n v="45301.55"/>
        <n v="73633.57"/>
        <n v="6176.09"/>
        <n v="30198.64"/>
        <n v="22585.84"/>
        <n v="31099.82"/>
        <n v="44614.25"/>
        <n v="6548.53"/>
        <n v="2378.04"/>
        <n v="10708.43"/>
        <n v="7231.59"/>
        <n v="39553.2"/>
        <n v="2958.14"/>
        <n v="5679.32"/>
        <n v="132402.72"/>
        <n v="1833.94"/>
        <n v="2740.89"/>
        <n v="30803.97"/>
        <n v="643.62"/>
        <n v="2851.93"/>
        <n v="7018.58"/>
        <n v="72072.87"/>
        <n v="9616.24"/>
        <n v="44924.04"/>
        <n v="66542.24"/>
        <n v="65430.77"/>
        <n v="77051.08"/>
        <n v="37004.9"/>
        <n v="52345.54"/>
        <n v="52941.66"/>
        <n v="88453.87"/>
        <n v="2897.74"/>
        <n v="41402.91"/>
        <n v="7704.07"/>
        <n v="7931.34"/>
        <n v="49534.29"/>
        <n v="2069.37"/>
        <n v="44011.51"/>
        <n v="7699.23"/>
        <n v="5858.73"/>
        <n v="22843.21"/>
        <n v="26258.55"/>
        <n v="5152.33"/>
        <n v="109913.29"/>
        <n v="19365.92"/>
        <n v="2855.1"/>
        <n v="903.85"/>
        <n v="84512.64"/>
        <n v="11727.19"/>
        <n v="52109.42"/>
        <n v="12692.79"/>
        <n v="13574.35"/>
        <n v="54597.29"/>
        <n v="162628.61"/>
        <n v="46046.69"/>
        <n v="10840.24"/>
        <n v="8258.19"/>
        <n v="157163.53"/>
        <n v="26084.31"/>
        <n v="243650.74"/>
        <n v="37555.1"/>
        <n v="64070.17"/>
        <n v="68679.97"/>
        <n v="2748.43"/>
        <n v="43319.08"/>
        <n v="49732.06"/>
        <n v="1662.24"/>
        <n v="23300.99"/>
        <n v="9055.65"/>
        <n v="8363.82"/>
        <n v="12630.69"/>
        <n v="8167.07"/>
        <n v="34757.83"/>
        <n v="9005.07"/>
        <n v="64449.29"/>
        <n v="41723.01"/>
        <n v="5862.38"/>
        <n v="54820.54"/>
        <n v="58578.36"/>
        <n v="167821.21"/>
        <n v="44329.94"/>
        <n v="55474.97"/>
        <n v="14355.81"/>
        <n v="169301.12"/>
        <n v="135231.33"/>
        <n v="54853.87"/>
        <n v="43645.14"/>
        <n v="18539.01"/>
        <n v="1676.52"/>
        <n v="138658.05"/>
        <n v="106609.94"/>
        <n v="32509.43"/>
        <n v="1131.72"/>
        <n v="30335.59"/>
        <n v="33128.87"/>
        <n v="2245.75"/>
        <n v="21173.9"/>
        <n v="26157.41"/>
        <n v="76340.57"/>
        <n v="222337.47"/>
        <n v="10646.19"/>
        <n v="207018.8"/>
        <n v="305818.57"/>
        <n v="37476.67"/>
        <n v="18987.16"/>
        <n v="4773.27"/>
        <n v="146827.55"/>
        <n v="4520.83"/>
        <n v="4304.62"/>
        <n v="12841.61"/>
        <n v="80256.23"/>
        <n v="3290.07"/>
        <n v="80690.35"/>
        <n v="40358.65"/>
        <n v="21413.59"/>
        <n v="30583.11"/>
        <n v="52676.63"/>
        <n v="4032.77"/>
        <n v="829.65"/>
        <n v="4311.17"/>
        <n v="840.18"/>
        <n v="173837.09"/>
        <n v="31272.93"/>
        <n v="59591.25"/>
        <n v="5361.82"/>
        <n v="89759.09"/>
        <n v="38016.68"/>
        <n v="21741.32"/>
        <n v="40590.49"/>
        <n v="1424.74"/>
        <n v="12263.87"/>
        <n v="47202.74"/>
        <n v="48518.64"/>
        <n v="23332.39"/>
        <n v="7534.96"/>
        <n v="19755.06"/>
        <n v="2228.15"/>
        <n v="39397.57"/>
        <n v="45607.31"/>
        <n v="29484.54"/>
        <n v="3432.32"/>
        <n v="4197.53"/>
        <n v="13778.4"/>
        <n v="724.4"/>
        <n v="166549.97"/>
        <n v="38191.95"/>
        <n v="2335.82"/>
        <n v="125108.29"/>
        <n v="28279.9"/>
        <n v="40637.25"/>
        <n v="3322.33"/>
        <n v="46805.74"/>
        <n v="72443.99"/>
        <n v="102314.26"/>
        <n v="8078.79"/>
        <n v="14551.57"/>
        <n v="10588.18"/>
        <n v="262.24"/>
        <n v="83586.01"/>
        <n v="46464.44"/>
        <n v="4889.57"/>
        <n v="215.65"/>
        <n v="779.38"/>
        <n v="9759.81"/>
        <n v="133680.95"/>
        <n v="147998.62"/>
        <n v="13609.74"/>
        <n v="66468.47"/>
        <n v="11288.1"/>
        <n v="92526.68"/>
        <n v="16320.53"/>
        <n v="47232.17"/>
        <n v="36130.8"/>
        <n v="13502.4"/>
        <n v="2110.44"/>
        <n v="733.8"/>
        <n v="96207.57"/>
        <n v="171395.6"/>
        <n v="6937.52"/>
        <n v="24544.56"/>
        <n v="39518.29"/>
        <n v="23138.32"/>
        <n v="1872.63"/>
        <n v="198750.16"/>
        <n v="4459.61"/>
        <n v="5064.66"/>
        <n v="92649.33"/>
        <n v="135158.03"/>
        <n v="4364.25"/>
        <n v="57730.13"/>
        <n v="77653.13"/>
        <n v="34407.59"/>
        <n v="73353.99"/>
        <n v="4444.3"/>
        <n v="14895.01"/>
        <n v="34366.6"/>
        <n v="4146.81"/>
        <n v="170017.42"/>
        <n v="141558.01"/>
        <n v="25314.24"/>
        <n v="4472.91"/>
        <n v="83041.3"/>
        <n v="150260.41"/>
        <n v="21209.13"/>
        <n v="172559.37"/>
        <n v="2568.25"/>
        <n v="100829.43"/>
        <n v="3225.74"/>
        <n v="6087.91"/>
        <n v="73302.2"/>
        <n v="28810.45"/>
        <n v="1930.12"/>
        <n v="1671.51"/>
        <n v="139773.03"/>
        <n v="1200.1"/>
        <n v="5432.09"/>
        <n v="2783.28"/>
        <n v="19226.23"/>
        <n v="2105.64"/>
        <n v="2445.72"/>
        <n v="17920.29"/>
        <n v="51982.22"/>
        <n v="11164.07"/>
        <n v="55580.66"/>
        <n v="68156.12"/>
        <n v="2031.84"/>
        <n v="904.18"/>
        <n v="87999.48"/>
        <n v="883.25"/>
        <n v="12399.11"/>
        <n v="40796.23"/>
        <n v="6607.81"/>
        <n v="71811.6"/>
        <n v="51821.3"/>
        <n v="109075.95"/>
        <n v="254.49"/>
        <n v="76959.36"/>
        <n v="31647.44"/>
        <n v="18816.03"/>
        <n v="6053.79"/>
        <n v="50559.32"/>
        <n v="38035.6"/>
        <n v="42321.24"/>
        <n v="114826.56"/>
        <n v="19190.68"/>
        <n v="19056.97"/>
        <n v="26021.25"/>
        <n v="42469.91"/>
        <n v="155179.26"/>
        <n v="8345.19"/>
        <n v="10896.38"/>
        <n v="242555.36"/>
        <n v="8518.67"/>
        <n v="31838.54"/>
        <n v="86967.38"/>
        <n v="2839.31"/>
        <n v="24094.31"/>
        <n v="1220"/>
        <n v="44914.38"/>
        <n v="29132.94"/>
        <n v="8694.35"/>
        <n v="63413.58"/>
        <n v="21159.38"/>
        <n v="36613.71"/>
        <n v="100416.43"/>
        <n v="28338.58"/>
        <n v="117516.91"/>
        <n v="68827.27"/>
        <n v="1009.71"/>
        <n v="13839.6"/>
        <n v="39677.5"/>
        <n v="127621.19"/>
        <n v="8692.23"/>
        <n v="1252.76"/>
        <n v="29706.57"/>
        <n v="7522.25"/>
        <n v="62473.46"/>
        <n v="9448.16"/>
        <n v="108665.65"/>
        <n v="68017.35"/>
        <n v="4584.57"/>
        <n v="62707.33"/>
        <n v="10468.42"/>
        <n v="115183.74"/>
        <n v="136.36"/>
        <n v="410.67"/>
        <n v="18167.02"/>
        <n v="26432.43"/>
        <n v="45970.34"/>
        <n v="135762.26"/>
        <n v="5430.09"/>
        <n v="23947.08"/>
        <n v="41168.61"/>
        <n v="15705.17"/>
        <n v="2807"/>
        <n v="127323.21"/>
        <n v="96635.43"/>
        <n v="2254.6"/>
        <n v="1567.26"/>
        <n v="2354.57"/>
        <n v="8032.34"/>
        <n v="70398.75"/>
        <n v="813.73"/>
        <n v="30641.19"/>
        <n v="135224.23"/>
        <n v="21096.04"/>
        <n v="11697.82"/>
        <n v="422.02"/>
        <n v="27857.39"/>
        <n v="4367.9"/>
        <n v="68433.14"/>
        <n v="90161.44"/>
        <n v="4096.09"/>
        <n v="3008.73"/>
        <n v="157358.25"/>
        <n v="17433.71"/>
        <n v="52778.78"/>
        <n v="4155.85"/>
        <n v="91639.61"/>
        <n v="87680.62"/>
        <n v="819.96"/>
        <n v="1978.04"/>
        <n v="13173.72"/>
        <n v="127439.03"/>
        <n v="4427.36"/>
        <n v="247.99"/>
        <n v="78820.17"/>
        <n v="2513.79"/>
        <n v="42578.42"/>
        <n v="100117.98"/>
        <n v="63608.52"/>
        <n v="1525.76"/>
        <n v="23884.56"/>
        <n v="65030.87"/>
        <n v="36072.63"/>
        <n v="11103.38"/>
        <n v="9010.97"/>
        <n v="63980.83"/>
        <n v="4750.58"/>
        <n v="38722.52"/>
        <n v="3554.69"/>
        <n v="35784.15"/>
        <n v="136794.19"/>
        <n v="2240.66"/>
        <n v="2921.46"/>
        <n v="23077.03"/>
        <n v="38967.33"/>
        <n v="8008.09"/>
        <n v="24978.23"/>
        <n v="19321.13"/>
        <n v="7983.29"/>
        <n v="205310.41"/>
        <n v="21416.65"/>
        <n v="82522.12"/>
        <n v="7255.13"/>
        <n v="96341.38"/>
        <n v="62024.92"/>
        <n v="14945.78"/>
        <n v="48443.13"/>
        <n v="25580.02"/>
        <n v="47456.21"/>
        <n v="5156.05"/>
        <n v="3380.58"/>
        <n v="160143.28"/>
        <n v="14099.53"/>
        <n v="9844.03"/>
        <n v="1814.34"/>
        <n v="10126.28"/>
        <n v="57686.81"/>
        <n v="4712.78"/>
        <n v="14737.12"/>
        <n v="28036.66"/>
        <n v="15772.9"/>
        <n v="8558.22"/>
        <n v="162394.89"/>
        <n v="3555.43"/>
        <n v="84622.59"/>
        <n v="11718.53"/>
        <n v="1308.2"/>
        <n v="40837.68"/>
        <n v="3980.02"/>
        <n v="14070.56"/>
        <n v="2252.93"/>
        <n v="15717.87"/>
        <n v="42418.71"/>
        <n v="25532.89"/>
        <n v="30015.08"/>
        <n v="62529.44"/>
        <n v="166238.08"/>
        <n v="85159.47"/>
        <n v="5527.17"/>
        <n v="31441.33"/>
        <n v="11233.57"/>
        <n v="1997.31"/>
        <n v="1079.6"/>
        <n v="101184.19"/>
        <n v="10106.61"/>
        <n v="2807.36"/>
        <n v="179.65"/>
        <n v="9900.18"/>
        <n v="53432.36"/>
        <n v="1847.14"/>
        <n v="52639.11"/>
        <n v="2596.24"/>
        <n v="21773.68"/>
        <n v="29004.93"/>
        <n v="10657.14"/>
        <n v="93167.09"/>
        <n v="16783.2"/>
        <n v="3824.75"/>
        <n v="9641.02"/>
        <n v="9741.07"/>
        <n v="45830.6"/>
        <n v="9344.66"/>
        <n v="35862.17"/>
        <n v="54501.82"/>
        <n v="12087.31"/>
        <n v="1658.88"/>
        <n v="3417.7"/>
        <n v="113552.33"/>
        <n v="30480.22"/>
        <n v="2127.68"/>
        <n v="279176.79"/>
        <n v="65641.72"/>
        <n v="2913.58"/>
        <n v="1297.13"/>
        <n v="1872.6"/>
        <n v="4731.47"/>
        <n v="44008.96"/>
        <n v="25400.08"/>
        <n v="779.74"/>
        <n v="10456.06"/>
        <n v="50739.38"/>
        <n v="30330.64"/>
        <n v="29733.94"/>
        <n v="72264.52"/>
        <n v="89329.75"/>
        <n v="11454.51"/>
        <n v="15646.65"/>
        <n v="201686.83"/>
        <n v="12795.8"/>
        <n v="2985.75"/>
        <n v="2819.95"/>
        <n v="2510.42"/>
        <n v="10279.65"/>
        <n v="29795.35"/>
        <n v="22794.4"/>
        <n v="10061.44"/>
        <n v="27516.64"/>
        <n v="218863.89"/>
        <n v="5444.7"/>
        <n v="22859.14"/>
        <n v="8120.42"/>
        <n v="3984.58"/>
        <n v="17190.97"/>
        <n v="169078.75"/>
        <n v="121151.46"/>
        <n v="914.46"/>
        <n v="37552.86"/>
        <n v="1227.94"/>
        <n v="10330.43"/>
        <n v="735.6"/>
        <n v="2996.8"/>
        <n v="8244.6"/>
        <n v="48812.69"/>
        <n v="7206.66"/>
        <n v="39148.88"/>
        <n v="8708.53"/>
        <n v="21907.72"/>
        <n v="22520.78"/>
        <n v="32216.89"/>
        <n v="9184.86"/>
        <n v="13228.79"/>
        <n v="4544.34"/>
        <n v="1858.4"/>
        <n v="123013.86"/>
        <n v="6468.72"/>
        <n v="13526.78"/>
        <n v="22586.48"/>
        <n v="51757.83"/>
        <n v="72666.84"/>
        <n v="41255.37"/>
        <n v="16147.88"/>
        <n v="12688.19"/>
        <n v="258059.34"/>
        <n v="36142.48"/>
        <n v="2922.86"/>
        <n v="207673.99"/>
        <n v="40343.18"/>
        <n v="11736.81"/>
        <n v="31505.38"/>
        <n v="9855.83"/>
        <n v="2384.91"/>
        <n v="9647.67"/>
        <n v="58475.23"/>
        <n v="457.29"/>
        <n v="50770.55"/>
        <n v="27444.08"/>
        <n v="23644.92"/>
        <n v="48648.99"/>
        <n v="41842.32"/>
        <n v="6543.34"/>
        <n v="69493.78"/>
        <n v="160186.56"/>
        <n v="57421.82"/>
        <n v="52122.23"/>
        <n v="51505.27"/>
        <n v="1387.55"/>
        <n v="68315.16"/>
        <n v="71211.82"/>
        <n v="199444.21"/>
        <n v="8674.74"/>
        <n v="58626.21"/>
        <n v="11536.09"/>
        <n v="9705.3"/>
        <n v="23904.41"/>
        <n v="85070.85"/>
        <n v="1446.74"/>
        <n v="62788.68"/>
        <n v="107124.34"/>
        <n v="2353.08"/>
        <n v="44891.38"/>
        <n v="22587.46"/>
        <n v="3481.21"/>
        <n v="73430.46"/>
        <n v="28988.98"/>
        <n v="12369.26"/>
        <n v="73367.02"/>
        <n v="2233.4"/>
        <n v="5824.3"/>
        <n v="29726.66"/>
        <n v="4922.81"/>
        <n v="4960.52"/>
        <n v="75303.9"/>
        <n v="75331.43"/>
        <n v="94411.8"/>
        <n v="10926.28"/>
        <n v="83467.36"/>
        <n v="17004"/>
        <n v="80451.96"/>
        <n v="87037.71"/>
        <n v="27910.95"/>
        <n v="2641.57"/>
        <n v="49299.66"/>
        <n v="4751.45"/>
        <n v="4390.84"/>
        <n v="284.2"/>
        <n v="407.45"/>
        <n v="124591.04"/>
        <n v="3486.35"/>
        <n v="1608.08"/>
        <n v="87.11"/>
        <n v="100488.36"/>
        <n v="60080.83"/>
        <n v="32430.06"/>
        <n v="3484.41"/>
        <n v="29123.41"/>
        <n v="1853.98"/>
        <n v="465.68"/>
        <n v="40371.28"/>
        <n v="1515.51"/>
        <n v="122683.36"/>
        <n v="44422.49"/>
        <n v="19601.12"/>
        <n v="22857.84"/>
        <n v="16529.31"/>
        <n v="23333.65"/>
        <n v="12842.3"/>
        <n v="2838.23"/>
        <n v="12524.99"/>
        <n v="70667.91"/>
        <n v="71760.57"/>
        <n v="7469.53"/>
        <n v="2697.35"/>
        <n v="5284.03"/>
        <n v="128796.01"/>
        <n v="51522.03"/>
        <n v="179441.91"/>
        <n v="1093.94"/>
        <n v="1760.71"/>
        <n v="2639.68"/>
        <n v="21650.6"/>
        <n v="152512.28"/>
        <n v="3786.72"/>
        <n v="4301.91"/>
        <n v="17428.6"/>
        <n v="22262.07"/>
        <n v="30211.8"/>
        <n v="4265.83"/>
        <n v="21520.14"/>
        <n v="895.45"/>
        <n v="8284.81"/>
        <n v="69027.08"/>
        <n v="220146.62"/>
        <n v="127925.45"/>
        <n v="37371.21"/>
        <n v="57250.9"/>
        <n v="66184.39"/>
        <n v="30236.29"/>
        <n v="3935.16"/>
        <n v="8934.62"/>
        <n v="34969.3"/>
        <n v="12164.7"/>
        <n v="152313.89"/>
        <n v="18456.28"/>
        <n v="16365.8"/>
        <n v="455.8"/>
        <n v="4816.89"/>
        <n v="17193.13"/>
        <n v="17461.27"/>
        <n v="27483.89"/>
        <n v="13829.23"/>
        <n v="620.88"/>
        <n v="7250.05"/>
        <n v="1039.56"/>
        <n v="442.45"/>
        <n v="45470.03"/>
        <n v="5942.43"/>
        <n v="55551.15"/>
        <n v="49633.63"/>
        <n v="8999.91"/>
        <n v="6676.87"/>
        <n v="3924.85"/>
        <n v="8816.56"/>
        <n v="8194.58"/>
        <n v="16754.93"/>
        <n v="801.45"/>
        <n v="22197.7"/>
        <n v="10561.73"/>
        <n v="15552.97"/>
        <n v="6976.66"/>
        <n v="12211.91"/>
        <n v="29427.54"/>
        <n v="1453.99"/>
        <n v="2328.69"/>
        <n v="27701.56"/>
        <n v="40525.92"/>
        <n v="9569.68"/>
        <n v="80850.53"/>
        <n v="215865.99"/>
        <n v="1173.28"/>
        <n v="317134.5"/>
        <n v="24877.67"/>
        <n v="7851.12"/>
        <n v="14073.57"/>
        <n v="67006.98"/>
        <n v="3592.04"/>
        <n v="13892.91"/>
        <n v="4423.76"/>
        <n v="4632.11"/>
        <n v="439.55"/>
        <n v="64396.34"/>
        <n v="69017.06"/>
        <n v="3592.39"/>
        <n v="14155.52"/>
        <n v="3672.66"/>
        <n v="1483.51"/>
        <n v="74280.6"/>
        <n v="34923.47"/>
        <n v="1892.49"/>
        <n v="155185.1"/>
        <n v="103364.41"/>
        <n v="25990.47"/>
        <n v="10517.77"/>
        <n v="120870.14"/>
        <n v="1008.92"/>
        <n v="10468.61"/>
        <n v="13024.74"/>
        <n v="735.16"/>
        <n v="5569.01"/>
        <n v="26474.85"/>
        <n v="27263.8"/>
        <n v="5112.04"/>
        <n v="14478.22"/>
        <n v="15960.75"/>
        <n v="29240.1"/>
        <n v="104947.01"/>
        <n v="8812.3"/>
      </sharedItems>
    </cacheField>
    <cacheField name="Payment Method" numFmtId="0">
      <sharedItems count="5">
        <s v="Net Banking"/>
        <s v="Credit Card"/>
        <s v="Debit Card"/>
        <s v="UPI"/>
        <s v="Cash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0"/>
    <x v="1"/>
    <x v="1"/>
    <x v="1"/>
    <x v="1"/>
    <x v="1"/>
    <x v="1"/>
    <x v="1"/>
  </r>
  <r>
    <x v="2"/>
    <x v="2"/>
    <x v="2"/>
    <x v="2"/>
    <x v="2"/>
    <x v="0"/>
    <x v="0"/>
    <x v="2"/>
    <x v="0"/>
    <x v="2"/>
    <x v="0"/>
    <x v="2"/>
    <x v="2"/>
    <x v="0"/>
    <x v="2"/>
    <x v="2"/>
    <x v="2"/>
    <x v="1"/>
  </r>
  <r>
    <x v="3"/>
    <x v="3"/>
    <x v="3"/>
    <x v="3"/>
    <x v="2"/>
    <x v="1"/>
    <x v="2"/>
    <x v="3"/>
    <x v="1"/>
    <x v="3"/>
    <x v="1"/>
    <x v="3"/>
    <x v="3"/>
    <x v="1"/>
    <x v="3"/>
    <x v="3"/>
    <x v="3"/>
    <x v="2"/>
  </r>
  <r>
    <x v="4"/>
    <x v="4"/>
    <x v="4"/>
    <x v="2"/>
    <x v="2"/>
    <x v="1"/>
    <x v="1"/>
    <x v="4"/>
    <x v="2"/>
    <x v="4"/>
    <x v="2"/>
    <x v="4"/>
    <x v="4"/>
    <x v="1"/>
    <x v="4"/>
    <x v="4"/>
    <x v="4"/>
    <x v="1"/>
  </r>
  <r>
    <x v="5"/>
    <x v="5"/>
    <x v="5"/>
    <x v="1"/>
    <x v="1"/>
    <x v="2"/>
    <x v="3"/>
    <x v="5"/>
    <x v="2"/>
    <x v="2"/>
    <x v="1"/>
    <x v="5"/>
    <x v="5"/>
    <x v="1"/>
    <x v="5"/>
    <x v="5"/>
    <x v="5"/>
    <x v="3"/>
  </r>
  <r>
    <x v="6"/>
    <x v="6"/>
    <x v="2"/>
    <x v="0"/>
    <x v="0"/>
    <x v="3"/>
    <x v="4"/>
    <x v="6"/>
    <x v="1"/>
    <x v="5"/>
    <x v="1"/>
    <x v="6"/>
    <x v="6"/>
    <x v="0"/>
    <x v="6"/>
    <x v="6"/>
    <x v="6"/>
    <x v="2"/>
  </r>
  <r>
    <x v="7"/>
    <x v="7"/>
    <x v="0"/>
    <x v="4"/>
    <x v="1"/>
    <x v="1"/>
    <x v="5"/>
    <x v="7"/>
    <x v="0"/>
    <x v="0"/>
    <x v="0"/>
    <x v="6"/>
    <x v="7"/>
    <x v="2"/>
    <x v="7"/>
    <x v="7"/>
    <x v="7"/>
    <x v="0"/>
  </r>
  <r>
    <x v="8"/>
    <x v="8"/>
    <x v="0"/>
    <x v="5"/>
    <x v="1"/>
    <x v="0"/>
    <x v="6"/>
    <x v="8"/>
    <x v="2"/>
    <x v="0"/>
    <x v="0"/>
    <x v="7"/>
    <x v="8"/>
    <x v="1"/>
    <x v="8"/>
    <x v="8"/>
    <x v="8"/>
    <x v="2"/>
  </r>
  <r>
    <x v="9"/>
    <x v="9"/>
    <x v="4"/>
    <x v="2"/>
    <x v="2"/>
    <x v="1"/>
    <x v="1"/>
    <x v="1"/>
    <x v="2"/>
    <x v="6"/>
    <x v="0"/>
    <x v="7"/>
    <x v="9"/>
    <x v="1"/>
    <x v="9"/>
    <x v="9"/>
    <x v="9"/>
    <x v="0"/>
  </r>
  <r>
    <x v="10"/>
    <x v="10"/>
    <x v="6"/>
    <x v="6"/>
    <x v="1"/>
    <x v="2"/>
    <x v="3"/>
    <x v="9"/>
    <x v="0"/>
    <x v="6"/>
    <x v="2"/>
    <x v="7"/>
    <x v="7"/>
    <x v="3"/>
    <x v="10"/>
    <x v="10"/>
    <x v="10"/>
    <x v="4"/>
  </r>
  <r>
    <x v="11"/>
    <x v="11"/>
    <x v="1"/>
    <x v="7"/>
    <x v="2"/>
    <x v="2"/>
    <x v="7"/>
    <x v="10"/>
    <x v="0"/>
    <x v="2"/>
    <x v="0"/>
    <x v="3"/>
    <x v="10"/>
    <x v="4"/>
    <x v="11"/>
    <x v="11"/>
    <x v="11"/>
    <x v="3"/>
  </r>
  <r>
    <x v="12"/>
    <x v="12"/>
    <x v="7"/>
    <x v="2"/>
    <x v="2"/>
    <x v="0"/>
    <x v="6"/>
    <x v="11"/>
    <x v="2"/>
    <x v="3"/>
    <x v="0"/>
    <x v="5"/>
    <x v="11"/>
    <x v="4"/>
    <x v="12"/>
    <x v="12"/>
    <x v="12"/>
    <x v="2"/>
  </r>
  <r>
    <x v="13"/>
    <x v="13"/>
    <x v="4"/>
    <x v="8"/>
    <x v="1"/>
    <x v="3"/>
    <x v="8"/>
    <x v="12"/>
    <x v="1"/>
    <x v="7"/>
    <x v="1"/>
    <x v="1"/>
    <x v="12"/>
    <x v="0"/>
    <x v="13"/>
    <x v="13"/>
    <x v="13"/>
    <x v="3"/>
  </r>
  <r>
    <x v="14"/>
    <x v="14"/>
    <x v="0"/>
    <x v="9"/>
    <x v="2"/>
    <x v="1"/>
    <x v="2"/>
    <x v="13"/>
    <x v="2"/>
    <x v="6"/>
    <x v="2"/>
    <x v="8"/>
    <x v="13"/>
    <x v="3"/>
    <x v="14"/>
    <x v="14"/>
    <x v="14"/>
    <x v="4"/>
  </r>
  <r>
    <x v="15"/>
    <x v="15"/>
    <x v="4"/>
    <x v="2"/>
    <x v="2"/>
    <x v="3"/>
    <x v="9"/>
    <x v="14"/>
    <x v="1"/>
    <x v="7"/>
    <x v="1"/>
    <x v="5"/>
    <x v="13"/>
    <x v="3"/>
    <x v="15"/>
    <x v="15"/>
    <x v="15"/>
    <x v="4"/>
  </r>
  <r>
    <x v="16"/>
    <x v="16"/>
    <x v="2"/>
    <x v="7"/>
    <x v="2"/>
    <x v="4"/>
    <x v="10"/>
    <x v="15"/>
    <x v="1"/>
    <x v="8"/>
    <x v="1"/>
    <x v="2"/>
    <x v="14"/>
    <x v="1"/>
    <x v="16"/>
    <x v="16"/>
    <x v="16"/>
    <x v="3"/>
  </r>
  <r>
    <x v="17"/>
    <x v="17"/>
    <x v="7"/>
    <x v="6"/>
    <x v="1"/>
    <x v="3"/>
    <x v="9"/>
    <x v="16"/>
    <x v="1"/>
    <x v="3"/>
    <x v="2"/>
    <x v="6"/>
    <x v="15"/>
    <x v="1"/>
    <x v="17"/>
    <x v="17"/>
    <x v="17"/>
    <x v="3"/>
  </r>
  <r>
    <x v="18"/>
    <x v="18"/>
    <x v="3"/>
    <x v="10"/>
    <x v="2"/>
    <x v="3"/>
    <x v="8"/>
    <x v="17"/>
    <x v="1"/>
    <x v="0"/>
    <x v="0"/>
    <x v="0"/>
    <x v="16"/>
    <x v="1"/>
    <x v="18"/>
    <x v="18"/>
    <x v="18"/>
    <x v="4"/>
  </r>
  <r>
    <x v="19"/>
    <x v="19"/>
    <x v="2"/>
    <x v="2"/>
    <x v="2"/>
    <x v="3"/>
    <x v="8"/>
    <x v="18"/>
    <x v="1"/>
    <x v="2"/>
    <x v="0"/>
    <x v="1"/>
    <x v="17"/>
    <x v="2"/>
    <x v="19"/>
    <x v="19"/>
    <x v="19"/>
    <x v="3"/>
  </r>
  <r>
    <x v="20"/>
    <x v="20"/>
    <x v="8"/>
    <x v="9"/>
    <x v="2"/>
    <x v="1"/>
    <x v="2"/>
    <x v="13"/>
    <x v="0"/>
    <x v="6"/>
    <x v="0"/>
    <x v="7"/>
    <x v="18"/>
    <x v="0"/>
    <x v="20"/>
    <x v="20"/>
    <x v="20"/>
    <x v="2"/>
  </r>
  <r>
    <x v="21"/>
    <x v="21"/>
    <x v="7"/>
    <x v="6"/>
    <x v="1"/>
    <x v="2"/>
    <x v="11"/>
    <x v="19"/>
    <x v="0"/>
    <x v="0"/>
    <x v="2"/>
    <x v="4"/>
    <x v="12"/>
    <x v="0"/>
    <x v="21"/>
    <x v="21"/>
    <x v="21"/>
    <x v="2"/>
  </r>
  <r>
    <x v="22"/>
    <x v="22"/>
    <x v="1"/>
    <x v="5"/>
    <x v="0"/>
    <x v="3"/>
    <x v="8"/>
    <x v="18"/>
    <x v="1"/>
    <x v="7"/>
    <x v="1"/>
    <x v="1"/>
    <x v="5"/>
    <x v="1"/>
    <x v="22"/>
    <x v="22"/>
    <x v="22"/>
    <x v="4"/>
  </r>
  <r>
    <x v="23"/>
    <x v="23"/>
    <x v="9"/>
    <x v="2"/>
    <x v="2"/>
    <x v="4"/>
    <x v="12"/>
    <x v="20"/>
    <x v="1"/>
    <x v="5"/>
    <x v="1"/>
    <x v="6"/>
    <x v="19"/>
    <x v="4"/>
    <x v="23"/>
    <x v="23"/>
    <x v="23"/>
    <x v="4"/>
  </r>
  <r>
    <x v="24"/>
    <x v="24"/>
    <x v="2"/>
    <x v="9"/>
    <x v="2"/>
    <x v="3"/>
    <x v="8"/>
    <x v="18"/>
    <x v="2"/>
    <x v="9"/>
    <x v="2"/>
    <x v="9"/>
    <x v="20"/>
    <x v="3"/>
    <x v="24"/>
    <x v="24"/>
    <x v="24"/>
    <x v="1"/>
  </r>
  <r>
    <x v="25"/>
    <x v="25"/>
    <x v="7"/>
    <x v="6"/>
    <x v="1"/>
    <x v="1"/>
    <x v="2"/>
    <x v="3"/>
    <x v="0"/>
    <x v="4"/>
    <x v="0"/>
    <x v="5"/>
    <x v="21"/>
    <x v="1"/>
    <x v="25"/>
    <x v="25"/>
    <x v="25"/>
    <x v="1"/>
  </r>
  <r>
    <x v="26"/>
    <x v="26"/>
    <x v="1"/>
    <x v="9"/>
    <x v="2"/>
    <x v="4"/>
    <x v="12"/>
    <x v="21"/>
    <x v="2"/>
    <x v="3"/>
    <x v="0"/>
    <x v="8"/>
    <x v="22"/>
    <x v="2"/>
    <x v="26"/>
    <x v="26"/>
    <x v="26"/>
    <x v="4"/>
  </r>
  <r>
    <x v="27"/>
    <x v="27"/>
    <x v="1"/>
    <x v="11"/>
    <x v="2"/>
    <x v="0"/>
    <x v="13"/>
    <x v="22"/>
    <x v="2"/>
    <x v="10"/>
    <x v="0"/>
    <x v="4"/>
    <x v="23"/>
    <x v="0"/>
    <x v="27"/>
    <x v="27"/>
    <x v="27"/>
    <x v="4"/>
  </r>
  <r>
    <x v="28"/>
    <x v="28"/>
    <x v="0"/>
    <x v="8"/>
    <x v="1"/>
    <x v="4"/>
    <x v="12"/>
    <x v="23"/>
    <x v="1"/>
    <x v="0"/>
    <x v="0"/>
    <x v="8"/>
    <x v="24"/>
    <x v="0"/>
    <x v="28"/>
    <x v="28"/>
    <x v="28"/>
    <x v="4"/>
  </r>
  <r>
    <x v="29"/>
    <x v="29"/>
    <x v="6"/>
    <x v="6"/>
    <x v="3"/>
    <x v="2"/>
    <x v="7"/>
    <x v="10"/>
    <x v="1"/>
    <x v="4"/>
    <x v="1"/>
    <x v="7"/>
    <x v="25"/>
    <x v="0"/>
    <x v="29"/>
    <x v="29"/>
    <x v="29"/>
    <x v="1"/>
  </r>
  <r>
    <x v="30"/>
    <x v="30"/>
    <x v="7"/>
    <x v="6"/>
    <x v="3"/>
    <x v="3"/>
    <x v="8"/>
    <x v="12"/>
    <x v="2"/>
    <x v="10"/>
    <x v="1"/>
    <x v="1"/>
    <x v="26"/>
    <x v="0"/>
    <x v="30"/>
    <x v="30"/>
    <x v="30"/>
    <x v="0"/>
  </r>
  <r>
    <x v="31"/>
    <x v="31"/>
    <x v="5"/>
    <x v="8"/>
    <x v="3"/>
    <x v="4"/>
    <x v="12"/>
    <x v="23"/>
    <x v="2"/>
    <x v="2"/>
    <x v="1"/>
    <x v="8"/>
    <x v="27"/>
    <x v="1"/>
    <x v="31"/>
    <x v="31"/>
    <x v="31"/>
    <x v="4"/>
  </r>
  <r>
    <x v="32"/>
    <x v="32"/>
    <x v="3"/>
    <x v="10"/>
    <x v="3"/>
    <x v="2"/>
    <x v="3"/>
    <x v="5"/>
    <x v="2"/>
    <x v="6"/>
    <x v="0"/>
    <x v="3"/>
    <x v="28"/>
    <x v="4"/>
    <x v="32"/>
    <x v="32"/>
    <x v="32"/>
    <x v="1"/>
  </r>
  <r>
    <x v="33"/>
    <x v="33"/>
    <x v="1"/>
    <x v="12"/>
    <x v="3"/>
    <x v="2"/>
    <x v="7"/>
    <x v="24"/>
    <x v="0"/>
    <x v="8"/>
    <x v="0"/>
    <x v="3"/>
    <x v="29"/>
    <x v="1"/>
    <x v="33"/>
    <x v="33"/>
    <x v="33"/>
    <x v="1"/>
  </r>
  <r>
    <x v="34"/>
    <x v="34"/>
    <x v="4"/>
    <x v="12"/>
    <x v="3"/>
    <x v="2"/>
    <x v="7"/>
    <x v="24"/>
    <x v="1"/>
    <x v="7"/>
    <x v="1"/>
    <x v="1"/>
    <x v="30"/>
    <x v="1"/>
    <x v="34"/>
    <x v="34"/>
    <x v="34"/>
    <x v="1"/>
  </r>
  <r>
    <x v="35"/>
    <x v="35"/>
    <x v="5"/>
    <x v="10"/>
    <x v="3"/>
    <x v="4"/>
    <x v="12"/>
    <x v="20"/>
    <x v="2"/>
    <x v="9"/>
    <x v="1"/>
    <x v="9"/>
    <x v="31"/>
    <x v="1"/>
    <x v="35"/>
    <x v="35"/>
    <x v="35"/>
    <x v="1"/>
  </r>
  <r>
    <x v="36"/>
    <x v="36"/>
    <x v="3"/>
    <x v="9"/>
    <x v="3"/>
    <x v="0"/>
    <x v="13"/>
    <x v="25"/>
    <x v="0"/>
    <x v="6"/>
    <x v="1"/>
    <x v="2"/>
    <x v="32"/>
    <x v="4"/>
    <x v="36"/>
    <x v="36"/>
    <x v="36"/>
    <x v="3"/>
  </r>
  <r>
    <x v="37"/>
    <x v="37"/>
    <x v="4"/>
    <x v="7"/>
    <x v="3"/>
    <x v="3"/>
    <x v="8"/>
    <x v="18"/>
    <x v="1"/>
    <x v="6"/>
    <x v="1"/>
    <x v="1"/>
    <x v="33"/>
    <x v="0"/>
    <x v="37"/>
    <x v="37"/>
    <x v="37"/>
    <x v="0"/>
  </r>
  <r>
    <x v="38"/>
    <x v="38"/>
    <x v="3"/>
    <x v="1"/>
    <x v="3"/>
    <x v="3"/>
    <x v="14"/>
    <x v="26"/>
    <x v="1"/>
    <x v="5"/>
    <x v="1"/>
    <x v="1"/>
    <x v="34"/>
    <x v="2"/>
    <x v="38"/>
    <x v="38"/>
    <x v="38"/>
    <x v="4"/>
  </r>
  <r>
    <x v="39"/>
    <x v="39"/>
    <x v="10"/>
    <x v="0"/>
    <x v="3"/>
    <x v="3"/>
    <x v="9"/>
    <x v="14"/>
    <x v="1"/>
    <x v="3"/>
    <x v="1"/>
    <x v="2"/>
    <x v="35"/>
    <x v="1"/>
    <x v="39"/>
    <x v="39"/>
    <x v="39"/>
    <x v="4"/>
  </r>
  <r>
    <x v="40"/>
    <x v="40"/>
    <x v="5"/>
    <x v="10"/>
    <x v="3"/>
    <x v="3"/>
    <x v="9"/>
    <x v="16"/>
    <x v="0"/>
    <x v="0"/>
    <x v="0"/>
    <x v="0"/>
    <x v="36"/>
    <x v="0"/>
    <x v="40"/>
    <x v="40"/>
    <x v="40"/>
    <x v="0"/>
  </r>
  <r>
    <x v="41"/>
    <x v="41"/>
    <x v="10"/>
    <x v="1"/>
    <x v="3"/>
    <x v="2"/>
    <x v="3"/>
    <x v="5"/>
    <x v="0"/>
    <x v="9"/>
    <x v="2"/>
    <x v="3"/>
    <x v="37"/>
    <x v="0"/>
    <x v="41"/>
    <x v="41"/>
    <x v="41"/>
    <x v="3"/>
  </r>
  <r>
    <x v="42"/>
    <x v="42"/>
    <x v="3"/>
    <x v="1"/>
    <x v="3"/>
    <x v="4"/>
    <x v="10"/>
    <x v="27"/>
    <x v="0"/>
    <x v="0"/>
    <x v="1"/>
    <x v="4"/>
    <x v="38"/>
    <x v="4"/>
    <x v="42"/>
    <x v="42"/>
    <x v="42"/>
    <x v="0"/>
  </r>
  <r>
    <x v="43"/>
    <x v="43"/>
    <x v="7"/>
    <x v="6"/>
    <x v="3"/>
    <x v="2"/>
    <x v="11"/>
    <x v="19"/>
    <x v="2"/>
    <x v="0"/>
    <x v="1"/>
    <x v="4"/>
    <x v="39"/>
    <x v="0"/>
    <x v="43"/>
    <x v="43"/>
    <x v="43"/>
    <x v="0"/>
  </r>
  <r>
    <x v="44"/>
    <x v="44"/>
    <x v="8"/>
    <x v="2"/>
    <x v="3"/>
    <x v="1"/>
    <x v="1"/>
    <x v="1"/>
    <x v="0"/>
    <x v="3"/>
    <x v="1"/>
    <x v="6"/>
    <x v="40"/>
    <x v="1"/>
    <x v="44"/>
    <x v="44"/>
    <x v="44"/>
    <x v="3"/>
  </r>
  <r>
    <x v="45"/>
    <x v="45"/>
    <x v="6"/>
    <x v="8"/>
    <x v="3"/>
    <x v="4"/>
    <x v="12"/>
    <x v="21"/>
    <x v="1"/>
    <x v="5"/>
    <x v="1"/>
    <x v="0"/>
    <x v="27"/>
    <x v="3"/>
    <x v="45"/>
    <x v="45"/>
    <x v="45"/>
    <x v="1"/>
  </r>
  <r>
    <x v="46"/>
    <x v="46"/>
    <x v="5"/>
    <x v="10"/>
    <x v="3"/>
    <x v="3"/>
    <x v="4"/>
    <x v="16"/>
    <x v="2"/>
    <x v="9"/>
    <x v="2"/>
    <x v="4"/>
    <x v="41"/>
    <x v="1"/>
    <x v="46"/>
    <x v="46"/>
    <x v="46"/>
    <x v="4"/>
  </r>
  <r>
    <x v="47"/>
    <x v="47"/>
    <x v="2"/>
    <x v="9"/>
    <x v="3"/>
    <x v="1"/>
    <x v="1"/>
    <x v="4"/>
    <x v="0"/>
    <x v="8"/>
    <x v="0"/>
    <x v="5"/>
    <x v="42"/>
    <x v="1"/>
    <x v="47"/>
    <x v="47"/>
    <x v="47"/>
    <x v="3"/>
  </r>
  <r>
    <x v="48"/>
    <x v="48"/>
    <x v="4"/>
    <x v="9"/>
    <x v="3"/>
    <x v="2"/>
    <x v="3"/>
    <x v="28"/>
    <x v="1"/>
    <x v="2"/>
    <x v="2"/>
    <x v="7"/>
    <x v="43"/>
    <x v="3"/>
    <x v="48"/>
    <x v="48"/>
    <x v="48"/>
    <x v="1"/>
  </r>
  <r>
    <x v="49"/>
    <x v="49"/>
    <x v="6"/>
    <x v="12"/>
    <x v="3"/>
    <x v="0"/>
    <x v="13"/>
    <x v="29"/>
    <x v="1"/>
    <x v="7"/>
    <x v="0"/>
    <x v="8"/>
    <x v="44"/>
    <x v="2"/>
    <x v="49"/>
    <x v="49"/>
    <x v="49"/>
    <x v="0"/>
  </r>
  <r>
    <x v="50"/>
    <x v="50"/>
    <x v="3"/>
    <x v="2"/>
    <x v="3"/>
    <x v="0"/>
    <x v="6"/>
    <x v="8"/>
    <x v="1"/>
    <x v="10"/>
    <x v="1"/>
    <x v="1"/>
    <x v="13"/>
    <x v="4"/>
    <x v="50"/>
    <x v="50"/>
    <x v="50"/>
    <x v="0"/>
  </r>
  <r>
    <x v="51"/>
    <x v="51"/>
    <x v="8"/>
    <x v="1"/>
    <x v="3"/>
    <x v="0"/>
    <x v="13"/>
    <x v="25"/>
    <x v="0"/>
    <x v="2"/>
    <x v="2"/>
    <x v="0"/>
    <x v="45"/>
    <x v="2"/>
    <x v="51"/>
    <x v="51"/>
    <x v="51"/>
    <x v="3"/>
  </r>
  <r>
    <x v="52"/>
    <x v="52"/>
    <x v="5"/>
    <x v="10"/>
    <x v="3"/>
    <x v="2"/>
    <x v="7"/>
    <x v="30"/>
    <x v="1"/>
    <x v="4"/>
    <x v="2"/>
    <x v="1"/>
    <x v="46"/>
    <x v="0"/>
    <x v="52"/>
    <x v="52"/>
    <x v="52"/>
    <x v="1"/>
  </r>
  <r>
    <x v="53"/>
    <x v="53"/>
    <x v="7"/>
    <x v="6"/>
    <x v="3"/>
    <x v="1"/>
    <x v="1"/>
    <x v="1"/>
    <x v="0"/>
    <x v="0"/>
    <x v="0"/>
    <x v="4"/>
    <x v="39"/>
    <x v="0"/>
    <x v="43"/>
    <x v="53"/>
    <x v="53"/>
    <x v="0"/>
  </r>
  <r>
    <x v="54"/>
    <x v="54"/>
    <x v="11"/>
    <x v="4"/>
    <x v="3"/>
    <x v="0"/>
    <x v="6"/>
    <x v="31"/>
    <x v="2"/>
    <x v="1"/>
    <x v="0"/>
    <x v="4"/>
    <x v="47"/>
    <x v="3"/>
    <x v="53"/>
    <x v="54"/>
    <x v="54"/>
    <x v="1"/>
  </r>
  <r>
    <x v="55"/>
    <x v="55"/>
    <x v="7"/>
    <x v="8"/>
    <x v="3"/>
    <x v="3"/>
    <x v="8"/>
    <x v="18"/>
    <x v="2"/>
    <x v="9"/>
    <x v="1"/>
    <x v="8"/>
    <x v="48"/>
    <x v="1"/>
    <x v="54"/>
    <x v="55"/>
    <x v="55"/>
    <x v="1"/>
  </r>
  <r>
    <x v="56"/>
    <x v="56"/>
    <x v="5"/>
    <x v="9"/>
    <x v="3"/>
    <x v="4"/>
    <x v="12"/>
    <x v="21"/>
    <x v="1"/>
    <x v="5"/>
    <x v="0"/>
    <x v="0"/>
    <x v="49"/>
    <x v="0"/>
    <x v="55"/>
    <x v="56"/>
    <x v="56"/>
    <x v="3"/>
  </r>
  <r>
    <x v="57"/>
    <x v="57"/>
    <x v="2"/>
    <x v="7"/>
    <x v="3"/>
    <x v="0"/>
    <x v="15"/>
    <x v="32"/>
    <x v="0"/>
    <x v="4"/>
    <x v="0"/>
    <x v="7"/>
    <x v="50"/>
    <x v="1"/>
    <x v="56"/>
    <x v="57"/>
    <x v="57"/>
    <x v="2"/>
  </r>
  <r>
    <x v="58"/>
    <x v="58"/>
    <x v="3"/>
    <x v="7"/>
    <x v="3"/>
    <x v="2"/>
    <x v="7"/>
    <x v="30"/>
    <x v="2"/>
    <x v="11"/>
    <x v="1"/>
    <x v="4"/>
    <x v="51"/>
    <x v="0"/>
    <x v="57"/>
    <x v="58"/>
    <x v="58"/>
    <x v="1"/>
  </r>
  <r>
    <x v="59"/>
    <x v="59"/>
    <x v="7"/>
    <x v="9"/>
    <x v="3"/>
    <x v="1"/>
    <x v="16"/>
    <x v="33"/>
    <x v="0"/>
    <x v="7"/>
    <x v="2"/>
    <x v="6"/>
    <x v="52"/>
    <x v="1"/>
    <x v="58"/>
    <x v="59"/>
    <x v="59"/>
    <x v="4"/>
  </r>
  <r>
    <x v="60"/>
    <x v="60"/>
    <x v="1"/>
    <x v="11"/>
    <x v="3"/>
    <x v="0"/>
    <x v="13"/>
    <x v="25"/>
    <x v="2"/>
    <x v="4"/>
    <x v="2"/>
    <x v="5"/>
    <x v="53"/>
    <x v="1"/>
    <x v="59"/>
    <x v="60"/>
    <x v="60"/>
    <x v="2"/>
  </r>
  <r>
    <x v="61"/>
    <x v="61"/>
    <x v="6"/>
    <x v="7"/>
    <x v="3"/>
    <x v="0"/>
    <x v="6"/>
    <x v="31"/>
    <x v="0"/>
    <x v="0"/>
    <x v="1"/>
    <x v="9"/>
    <x v="54"/>
    <x v="1"/>
    <x v="60"/>
    <x v="61"/>
    <x v="61"/>
    <x v="4"/>
  </r>
  <r>
    <x v="62"/>
    <x v="62"/>
    <x v="4"/>
    <x v="8"/>
    <x v="3"/>
    <x v="3"/>
    <x v="9"/>
    <x v="14"/>
    <x v="0"/>
    <x v="8"/>
    <x v="2"/>
    <x v="3"/>
    <x v="48"/>
    <x v="0"/>
    <x v="61"/>
    <x v="62"/>
    <x v="62"/>
    <x v="2"/>
  </r>
  <r>
    <x v="63"/>
    <x v="63"/>
    <x v="10"/>
    <x v="8"/>
    <x v="3"/>
    <x v="2"/>
    <x v="11"/>
    <x v="34"/>
    <x v="2"/>
    <x v="2"/>
    <x v="1"/>
    <x v="9"/>
    <x v="55"/>
    <x v="1"/>
    <x v="62"/>
    <x v="63"/>
    <x v="63"/>
    <x v="4"/>
  </r>
  <r>
    <x v="64"/>
    <x v="64"/>
    <x v="3"/>
    <x v="4"/>
    <x v="3"/>
    <x v="0"/>
    <x v="0"/>
    <x v="2"/>
    <x v="2"/>
    <x v="10"/>
    <x v="0"/>
    <x v="4"/>
    <x v="47"/>
    <x v="0"/>
    <x v="63"/>
    <x v="64"/>
    <x v="64"/>
    <x v="4"/>
  </r>
  <r>
    <x v="65"/>
    <x v="65"/>
    <x v="8"/>
    <x v="7"/>
    <x v="3"/>
    <x v="3"/>
    <x v="9"/>
    <x v="35"/>
    <x v="2"/>
    <x v="11"/>
    <x v="0"/>
    <x v="7"/>
    <x v="56"/>
    <x v="1"/>
    <x v="64"/>
    <x v="65"/>
    <x v="65"/>
    <x v="4"/>
  </r>
  <r>
    <x v="66"/>
    <x v="66"/>
    <x v="4"/>
    <x v="0"/>
    <x v="3"/>
    <x v="3"/>
    <x v="14"/>
    <x v="36"/>
    <x v="2"/>
    <x v="5"/>
    <x v="1"/>
    <x v="7"/>
    <x v="57"/>
    <x v="1"/>
    <x v="65"/>
    <x v="66"/>
    <x v="66"/>
    <x v="4"/>
  </r>
  <r>
    <x v="67"/>
    <x v="67"/>
    <x v="7"/>
    <x v="6"/>
    <x v="3"/>
    <x v="2"/>
    <x v="11"/>
    <x v="37"/>
    <x v="2"/>
    <x v="6"/>
    <x v="2"/>
    <x v="2"/>
    <x v="58"/>
    <x v="0"/>
    <x v="66"/>
    <x v="67"/>
    <x v="67"/>
    <x v="2"/>
  </r>
  <r>
    <x v="68"/>
    <x v="68"/>
    <x v="1"/>
    <x v="9"/>
    <x v="3"/>
    <x v="0"/>
    <x v="13"/>
    <x v="22"/>
    <x v="2"/>
    <x v="9"/>
    <x v="2"/>
    <x v="9"/>
    <x v="59"/>
    <x v="1"/>
    <x v="67"/>
    <x v="68"/>
    <x v="68"/>
    <x v="4"/>
  </r>
  <r>
    <x v="69"/>
    <x v="69"/>
    <x v="2"/>
    <x v="7"/>
    <x v="3"/>
    <x v="3"/>
    <x v="4"/>
    <x v="38"/>
    <x v="0"/>
    <x v="3"/>
    <x v="2"/>
    <x v="5"/>
    <x v="60"/>
    <x v="2"/>
    <x v="68"/>
    <x v="69"/>
    <x v="69"/>
    <x v="0"/>
  </r>
  <r>
    <x v="70"/>
    <x v="70"/>
    <x v="7"/>
    <x v="6"/>
    <x v="3"/>
    <x v="0"/>
    <x v="6"/>
    <x v="8"/>
    <x v="1"/>
    <x v="2"/>
    <x v="1"/>
    <x v="5"/>
    <x v="61"/>
    <x v="0"/>
    <x v="69"/>
    <x v="70"/>
    <x v="70"/>
    <x v="4"/>
  </r>
  <r>
    <x v="71"/>
    <x v="71"/>
    <x v="3"/>
    <x v="0"/>
    <x v="0"/>
    <x v="4"/>
    <x v="10"/>
    <x v="15"/>
    <x v="2"/>
    <x v="9"/>
    <x v="0"/>
    <x v="3"/>
    <x v="62"/>
    <x v="4"/>
    <x v="70"/>
    <x v="71"/>
    <x v="71"/>
    <x v="2"/>
  </r>
  <r>
    <x v="72"/>
    <x v="72"/>
    <x v="7"/>
    <x v="6"/>
    <x v="2"/>
    <x v="3"/>
    <x v="4"/>
    <x v="38"/>
    <x v="1"/>
    <x v="0"/>
    <x v="0"/>
    <x v="1"/>
    <x v="63"/>
    <x v="1"/>
    <x v="71"/>
    <x v="72"/>
    <x v="72"/>
    <x v="2"/>
  </r>
  <r>
    <x v="73"/>
    <x v="73"/>
    <x v="11"/>
    <x v="9"/>
    <x v="2"/>
    <x v="2"/>
    <x v="11"/>
    <x v="19"/>
    <x v="2"/>
    <x v="2"/>
    <x v="1"/>
    <x v="1"/>
    <x v="64"/>
    <x v="2"/>
    <x v="72"/>
    <x v="73"/>
    <x v="73"/>
    <x v="0"/>
  </r>
  <r>
    <x v="74"/>
    <x v="74"/>
    <x v="0"/>
    <x v="11"/>
    <x v="2"/>
    <x v="1"/>
    <x v="2"/>
    <x v="3"/>
    <x v="0"/>
    <x v="9"/>
    <x v="0"/>
    <x v="3"/>
    <x v="65"/>
    <x v="2"/>
    <x v="73"/>
    <x v="74"/>
    <x v="74"/>
    <x v="0"/>
  </r>
  <r>
    <x v="75"/>
    <x v="75"/>
    <x v="7"/>
    <x v="6"/>
    <x v="2"/>
    <x v="2"/>
    <x v="17"/>
    <x v="39"/>
    <x v="2"/>
    <x v="1"/>
    <x v="0"/>
    <x v="9"/>
    <x v="66"/>
    <x v="1"/>
    <x v="74"/>
    <x v="75"/>
    <x v="75"/>
    <x v="0"/>
  </r>
  <r>
    <x v="76"/>
    <x v="76"/>
    <x v="6"/>
    <x v="7"/>
    <x v="2"/>
    <x v="1"/>
    <x v="1"/>
    <x v="4"/>
    <x v="2"/>
    <x v="9"/>
    <x v="2"/>
    <x v="4"/>
    <x v="43"/>
    <x v="4"/>
    <x v="75"/>
    <x v="76"/>
    <x v="76"/>
    <x v="1"/>
  </r>
  <r>
    <x v="77"/>
    <x v="77"/>
    <x v="7"/>
    <x v="1"/>
    <x v="1"/>
    <x v="0"/>
    <x v="0"/>
    <x v="0"/>
    <x v="1"/>
    <x v="4"/>
    <x v="1"/>
    <x v="5"/>
    <x v="67"/>
    <x v="1"/>
    <x v="76"/>
    <x v="77"/>
    <x v="77"/>
    <x v="2"/>
  </r>
  <r>
    <x v="78"/>
    <x v="78"/>
    <x v="1"/>
    <x v="7"/>
    <x v="2"/>
    <x v="3"/>
    <x v="14"/>
    <x v="40"/>
    <x v="2"/>
    <x v="0"/>
    <x v="1"/>
    <x v="8"/>
    <x v="68"/>
    <x v="0"/>
    <x v="77"/>
    <x v="78"/>
    <x v="78"/>
    <x v="3"/>
  </r>
  <r>
    <x v="79"/>
    <x v="79"/>
    <x v="2"/>
    <x v="9"/>
    <x v="2"/>
    <x v="0"/>
    <x v="0"/>
    <x v="2"/>
    <x v="0"/>
    <x v="6"/>
    <x v="2"/>
    <x v="0"/>
    <x v="69"/>
    <x v="1"/>
    <x v="78"/>
    <x v="79"/>
    <x v="79"/>
    <x v="3"/>
  </r>
  <r>
    <x v="80"/>
    <x v="80"/>
    <x v="0"/>
    <x v="2"/>
    <x v="2"/>
    <x v="3"/>
    <x v="14"/>
    <x v="40"/>
    <x v="0"/>
    <x v="1"/>
    <x v="0"/>
    <x v="4"/>
    <x v="70"/>
    <x v="4"/>
    <x v="79"/>
    <x v="80"/>
    <x v="80"/>
    <x v="4"/>
  </r>
  <r>
    <x v="81"/>
    <x v="81"/>
    <x v="8"/>
    <x v="7"/>
    <x v="2"/>
    <x v="3"/>
    <x v="9"/>
    <x v="14"/>
    <x v="2"/>
    <x v="4"/>
    <x v="2"/>
    <x v="0"/>
    <x v="71"/>
    <x v="4"/>
    <x v="80"/>
    <x v="81"/>
    <x v="81"/>
    <x v="0"/>
  </r>
  <r>
    <x v="82"/>
    <x v="82"/>
    <x v="5"/>
    <x v="10"/>
    <x v="2"/>
    <x v="2"/>
    <x v="3"/>
    <x v="28"/>
    <x v="0"/>
    <x v="0"/>
    <x v="1"/>
    <x v="2"/>
    <x v="72"/>
    <x v="0"/>
    <x v="81"/>
    <x v="82"/>
    <x v="82"/>
    <x v="0"/>
  </r>
  <r>
    <x v="83"/>
    <x v="83"/>
    <x v="11"/>
    <x v="2"/>
    <x v="2"/>
    <x v="0"/>
    <x v="15"/>
    <x v="41"/>
    <x v="2"/>
    <x v="7"/>
    <x v="2"/>
    <x v="1"/>
    <x v="73"/>
    <x v="4"/>
    <x v="82"/>
    <x v="83"/>
    <x v="83"/>
    <x v="2"/>
  </r>
  <r>
    <x v="84"/>
    <x v="84"/>
    <x v="11"/>
    <x v="8"/>
    <x v="1"/>
    <x v="2"/>
    <x v="3"/>
    <x v="5"/>
    <x v="1"/>
    <x v="0"/>
    <x v="0"/>
    <x v="4"/>
    <x v="74"/>
    <x v="0"/>
    <x v="83"/>
    <x v="84"/>
    <x v="84"/>
    <x v="1"/>
  </r>
  <r>
    <x v="85"/>
    <x v="85"/>
    <x v="4"/>
    <x v="2"/>
    <x v="2"/>
    <x v="2"/>
    <x v="17"/>
    <x v="42"/>
    <x v="1"/>
    <x v="1"/>
    <x v="0"/>
    <x v="8"/>
    <x v="75"/>
    <x v="0"/>
    <x v="84"/>
    <x v="85"/>
    <x v="85"/>
    <x v="0"/>
  </r>
  <r>
    <x v="86"/>
    <x v="86"/>
    <x v="4"/>
    <x v="7"/>
    <x v="2"/>
    <x v="4"/>
    <x v="10"/>
    <x v="15"/>
    <x v="2"/>
    <x v="9"/>
    <x v="2"/>
    <x v="1"/>
    <x v="76"/>
    <x v="1"/>
    <x v="85"/>
    <x v="86"/>
    <x v="86"/>
    <x v="2"/>
  </r>
  <r>
    <x v="87"/>
    <x v="87"/>
    <x v="4"/>
    <x v="7"/>
    <x v="2"/>
    <x v="1"/>
    <x v="5"/>
    <x v="7"/>
    <x v="1"/>
    <x v="8"/>
    <x v="1"/>
    <x v="8"/>
    <x v="77"/>
    <x v="2"/>
    <x v="86"/>
    <x v="87"/>
    <x v="87"/>
    <x v="4"/>
  </r>
  <r>
    <x v="88"/>
    <x v="88"/>
    <x v="0"/>
    <x v="12"/>
    <x v="4"/>
    <x v="4"/>
    <x v="12"/>
    <x v="20"/>
    <x v="0"/>
    <x v="6"/>
    <x v="2"/>
    <x v="3"/>
    <x v="78"/>
    <x v="4"/>
    <x v="87"/>
    <x v="88"/>
    <x v="88"/>
    <x v="3"/>
  </r>
  <r>
    <x v="89"/>
    <x v="89"/>
    <x v="9"/>
    <x v="0"/>
    <x v="0"/>
    <x v="0"/>
    <x v="0"/>
    <x v="43"/>
    <x v="1"/>
    <x v="0"/>
    <x v="1"/>
    <x v="4"/>
    <x v="79"/>
    <x v="0"/>
    <x v="88"/>
    <x v="89"/>
    <x v="89"/>
    <x v="1"/>
  </r>
  <r>
    <x v="90"/>
    <x v="90"/>
    <x v="7"/>
    <x v="8"/>
    <x v="1"/>
    <x v="3"/>
    <x v="8"/>
    <x v="17"/>
    <x v="2"/>
    <x v="4"/>
    <x v="1"/>
    <x v="6"/>
    <x v="12"/>
    <x v="0"/>
    <x v="89"/>
    <x v="90"/>
    <x v="90"/>
    <x v="0"/>
  </r>
  <r>
    <x v="91"/>
    <x v="91"/>
    <x v="0"/>
    <x v="5"/>
    <x v="2"/>
    <x v="0"/>
    <x v="15"/>
    <x v="41"/>
    <x v="0"/>
    <x v="2"/>
    <x v="2"/>
    <x v="0"/>
    <x v="80"/>
    <x v="4"/>
    <x v="90"/>
    <x v="91"/>
    <x v="91"/>
    <x v="1"/>
  </r>
  <r>
    <x v="92"/>
    <x v="92"/>
    <x v="3"/>
    <x v="10"/>
    <x v="2"/>
    <x v="1"/>
    <x v="2"/>
    <x v="3"/>
    <x v="0"/>
    <x v="2"/>
    <x v="1"/>
    <x v="6"/>
    <x v="81"/>
    <x v="1"/>
    <x v="91"/>
    <x v="92"/>
    <x v="92"/>
    <x v="1"/>
  </r>
  <r>
    <x v="93"/>
    <x v="93"/>
    <x v="11"/>
    <x v="0"/>
    <x v="0"/>
    <x v="4"/>
    <x v="12"/>
    <x v="21"/>
    <x v="0"/>
    <x v="5"/>
    <x v="1"/>
    <x v="3"/>
    <x v="82"/>
    <x v="4"/>
    <x v="92"/>
    <x v="93"/>
    <x v="93"/>
    <x v="4"/>
  </r>
  <r>
    <x v="94"/>
    <x v="94"/>
    <x v="3"/>
    <x v="11"/>
    <x v="2"/>
    <x v="0"/>
    <x v="0"/>
    <x v="2"/>
    <x v="2"/>
    <x v="0"/>
    <x v="0"/>
    <x v="2"/>
    <x v="83"/>
    <x v="0"/>
    <x v="93"/>
    <x v="94"/>
    <x v="94"/>
    <x v="0"/>
  </r>
  <r>
    <x v="95"/>
    <x v="95"/>
    <x v="6"/>
    <x v="7"/>
    <x v="2"/>
    <x v="2"/>
    <x v="11"/>
    <x v="19"/>
    <x v="1"/>
    <x v="11"/>
    <x v="1"/>
    <x v="7"/>
    <x v="84"/>
    <x v="2"/>
    <x v="94"/>
    <x v="95"/>
    <x v="95"/>
    <x v="1"/>
  </r>
  <r>
    <x v="96"/>
    <x v="96"/>
    <x v="3"/>
    <x v="10"/>
    <x v="2"/>
    <x v="3"/>
    <x v="4"/>
    <x v="38"/>
    <x v="0"/>
    <x v="3"/>
    <x v="0"/>
    <x v="5"/>
    <x v="85"/>
    <x v="0"/>
    <x v="95"/>
    <x v="96"/>
    <x v="96"/>
    <x v="1"/>
  </r>
  <r>
    <x v="97"/>
    <x v="97"/>
    <x v="1"/>
    <x v="2"/>
    <x v="2"/>
    <x v="2"/>
    <x v="11"/>
    <x v="19"/>
    <x v="1"/>
    <x v="3"/>
    <x v="2"/>
    <x v="1"/>
    <x v="86"/>
    <x v="3"/>
    <x v="96"/>
    <x v="97"/>
    <x v="97"/>
    <x v="2"/>
  </r>
  <r>
    <x v="98"/>
    <x v="98"/>
    <x v="1"/>
    <x v="4"/>
    <x v="1"/>
    <x v="3"/>
    <x v="9"/>
    <x v="16"/>
    <x v="1"/>
    <x v="1"/>
    <x v="2"/>
    <x v="4"/>
    <x v="87"/>
    <x v="3"/>
    <x v="96"/>
    <x v="98"/>
    <x v="98"/>
    <x v="3"/>
  </r>
  <r>
    <x v="99"/>
    <x v="99"/>
    <x v="1"/>
    <x v="4"/>
    <x v="1"/>
    <x v="1"/>
    <x v="1"/>
    <x v="44"/>
    <x v="2"/>
    <x v="6"/>
    <x v="0"/>
    <x v="1"/>
    <x v="27"/>
    <x v="1"/>
    <x v="97"/>
    <x v="99"/>
    <x v="99"/>
    <x v="3"/>
  </r>
  <r>
    <x v="100"/>
    <x v="100"/>
    <x v="11"/>
    <x v="7"/>
    <x v="2"/>
    <x v="0"/>
    <x v="6"/>
    <x v="8"/>
    <x v="1"/>
    <x v="4"/>
    <x v="0"/>
    <x v="9"/>
    <x v="88"/>
    <x v="0"/>
    <x v="98"/>
    <x v="100"/>
    <x v="100"/>
    <x v="3"/>
  </r>
  <r>
    <x v="101"/>
    <x v="101"/>
    <x v="1"/>
    <x v="5"/>
    <x v="1"/>
    <x v="0"/>
    <x v="0"/>
    <x v="0"/>
    <x v="1"/>
    <x v="3"/>
    <x v="0"/>
    <x v="9"/>
    <x v="89"/>
    <x v="1"/>
    <x v="99"/>
    <x v="101"/>
    <x v="101"/>
    <x v="3"/>
  </r>
  <r>
    <x v="102"/>
    <x v="102"/>
    <x v="1"/>
    <x v="0"/>
    <x v="0"/>
    <x v="3"/>
    <x v="4"/>
    <x v="16"/>
    <x v="1"/>
    <x v="0"/>
    <x v="2"/>
    <x v="1"/>
    <x v="90"/>
    <x v="1"/>
    <x v="100"/>
    <x v="102"/>
    <x v="102"/>
    <x v="1"/>
  </r>
  <r>
    <x v="103"/>
    <x v="103"/>
    <x v="8"/>
    <x v="12"/>
    <x v="4"/>
    <x v="4"/>
    <x v="12"/>
    <x v="20"/>
    <x v="2"/>
    <x v="6"/>
    <x v="1"/>
    <x v="8"/>
    <x v="89"/>
    <x v="0"/>
    <x v="54"/>
    <x v="103"/>
    <x v="103"/>
    <x v="4"/>
  </r>
  <r>
    <x v="104"/>
    <x v="104"/>
    <x v="10"/>
    <x v="2"/>
    <x v="2"/>
    <x v="3"/>
    <x v="9"/>
    <x v="35"/>
    <x v="2"/>
    <x v="9"/>
    <x v="2"/>
    <x v="2"/>
    <x v="91"/>
    <x v="0"/>
    <x v="101"/>
    <x v="104"/>
    <x v="104"/>
    <x v="1"/>
  </r>
  <r>
    <x v="105"/>
    <x v="105"/>
    <x v="2"/>
    <x v="1"/>
    <x v="1"/>
    <x v="4"/>
    <x v="10"/>
    <x v="27"/>
    <x v="1"/>
    <x v="4"/>
    <x v="1"/>
    <x v="0"/>
    <x v="38"/>
    <x v="4"/>
    <x v="102"/>
    <x v="105"/>
    <x v="105"/>
    <x v="0"/>
  </r>
  <r>
    <x v="106"/>
    <x v="106"/>
    <x v="2"/>
    <x v="3"/>
    <x v="2"/>
    <x v="0"/>
    <x v="15"/>
    <x v="32"/>
    <x v="0"/>
    <x v="10"/>
    <x v="1"/>
    <x v="9"/>
    <x v="92"/>
    <x v="3"/>
    <x v="103"/>
    <x v="106"/>
    <x v="106"/>
    <x v="2"/>
  </r>
  <r>
    <x v="107"/>
    <x v="107"/>
    <x v="4"/>
    <x v="11"/>
    <x v="2"/>
    <x v="3"/>
    <x v="14"/>
    <x v="26"/>
    <x v="2"/>
    <x v="0"/>
    <x v="1"/>
    <x v="1"/>
    <x v="93"/>
    <x v="2"/>
    <x v="104"/>
    <x v="107"/>
    <x v="107"/>
    <x v="3"/>
  </r>
  <r>
    <x v="108"/>
    <x v="8"/>
    <x v="0"/>
    <x v="5"/>
    <x v="1"/>
    <x v="3"/>
    <x v="4"/>
    <x v="6"/>
    <x v="1"/>
    <x v="0"/>
    <x v="2"/>
    <x v="3"/>
    <x v="94"/>
    <x v="4"/>
    <x v="89"/>
    <x v="108"/>
    <x v="108"/>
    <x v="0"/>
  </r>
  <r>
    <x v="109"/>
    <x v="108"/>
    <x v="6"/>
    <x v="6"/>
    <x v="1"/>
    <x v="3"/>
    <x v="4"/>
    <x v="16"/>
    <x v="0"/>
    <x v="2"/>
    <x v="0"/>
    <x v="0"/>
    <x v="47"/>
    <x v="2"/>
    <x v="105"/>
    <x v="109"/>
    <x v="109"/>
    <x v="3"/>
  </r>
  <r>
    <x v="110"/>
    <x v="109"/>
    <x v="9"/>
    <x v="0"/>
    <x v="0"/>
    <x v="3"/>
    <x v="9"/>
    <x v="16"/>
    <x v="2"/>
    <x v="9"/>
    <x v="0"/>
    <x v="0"/>
    <x v="95"/>
    <x v="0"/>
    <x v="106"/>
    <x v="110"/>
    <x v="110"/>
    <x v="0"/>
  </r>
  <r>
    <x v="111"/>
    <x v="110"/>
    <x v="11"/>
    <x v="8"/>
    <x v="1"/>
    <x v="4"/>
    <x v="12"/>
    <x v="23"/>
    <x v="2"/>
    <x v="5"/>
    <x v="2"/>
    <x v="0"/>
    <x v="96"/>
    <x v="0"/>
    <x v="107"/>
    <x v="111"/>
    <x v="111"/>
    <x v="2"/>
  </r>
  <r>
    <x v="112"/>
    <x v="111"/>
    <x v="5"/>
    <x v="10"/>
    <x v="1"/>
    <x v="0"/>
    <x v="13"/>
    <x v="29"/>
    <x v="0"/>
    <x v="1"/>
    <x v="0"/>
    <x v="1"/>
    <x v="89"/>
    <x v="2"/>
    <x v="108"/>
    <x v="112"/>
    <x v="112"/>
    <x v="3"/>
  </r>
  <r>
    <x v="113"/>
    <x v="112"/>
    <x v="5"/>
    <x v="0"/>
    <x v="0"/>
    <x v="3"/>
    <x v="4"/>
    <x v="16"/>
    <x v="1"/>
    <x v="4"/>
    <x v="1"/>
    <x v="2"/>
    <x v="97"/>
    <x v="2"/>
    <x v="109"/>
    <x v="113"/>
    <x v="113"/>
    <x v="2"/>
  </r>
  <r>
    <x v="114"/>
    <x v="113"/>
    <x v="1"/>
    <x v="0"/>
    <x v="0"/>
    <x v="1"/>
    <x v="1"/>
    <x v="44"/>
    <x v="2"/>
    <x v="3"/>
    <x v="0"/>
    <x v="0"/>
    <x v="68"/>
    <x v="0"/>
    <x v="110"/>
    <x v="114"/>
    <x v="114"/>
    <x v="1"/>
  </r>
  <r>
    <x v="115"/>
    <x v="114"/>
    <x v="9"/>
    <x v="11"/>
    <x v="2"/>
    <x v="0"/>
    <x v="13"/>
    <x v="29"/>
    <x v="0"/>
    <x v="5"/>
    <x v="2"/>
    <x v="1"/>
    <x v="98"/>
    <x v="4"/>
    <x v="111"/>
    <x v="115"/>
    <x v="115"/>
    <x v="2"/>
  </r>
  <r>
    <x v="116"/>
    <x v="115"/>
    <x v="3"/>
    <x v="10"/>
    <x v="2"/>
    <x v="1"/>
    <x v="5"/>
    <x v="45"/>
    <x v="2"/>
    <x v="8"/>
    <x v="0"/>
    <x v="0"/>
    <x v="99"/>
    <x v="3"/>
    <x v="112"/>
    <x v="116"/>
    <x v="116"/>
    <x v="3"/>
  </r>
  <r>
    <x v="117"/>
    <x v="116"/>
    <x v="1"/>
    <x v="11"/>
    <x v="2"/>
    <x v="1"/>
    <x v="2"/>
    <x v="3"/>
    <x v="1"/>
    <x v="3"/>
    <x v="0"/>
    <x v="4"/>
    <x v="100"/>
    <x v="0"/>
    <x v="113"/>
    <x v="117"/>
    <x v="117"/>
    <x v="2"/>
  </r>
  <r>
    <x v="118"/>
    <x v="117"/>
    <x v="1"/>
    <x v="11"/>
    <x v="2"/>
    <x v="3"/>
    <x v="14"/>
    <x v="40"/>
    <x v="2"/>
    <x v="8"/>
    <x v="1"/>
    <x v="7"/>
    <x v="101"/>
    <x v="0"/>
    <x v="114"/>
    <x v="118"/>
    <x v="118"/>
    <x v="2"/>
  </r>
  <r>
    <x v="119"/>
    <x v="118"/>
    <x v="5"/>
    <x v="8"/>
    <x v="1"/>
    <x v="4"/>
    <x v="10"/>
    <x v="15"/>
    <x v="1"/>
    <x v="1"/>
    <x v="0"/>
    <x v="2"/>
    <x v="1"/>
    <x v="2"/>
    <x v="115"/>
    <x v="119"/>
    <x v="119"/>
    <x v="3"/>
  </r>
  <r>
    <x v="120"/>
    <x v="119"/>
    <x v="10"/>
    <x v="11"/>
    <x v="2"/>
    <x v="4"/>
    <x v="10"/>
    <x v="15"/>
    <x v="1"/>
    <x v="1"/>
    <x v="1"/>
    <x v="0"/>
    <x v="102"/>
    <x v="4"/>
    <x v="116"/>
    <x v="120"/>
    <x v="120"/>
    <x v="1"/>
  </r>
  <r>
    <x v="121"/>
    <x v="120"/>
    <x v="1"/>
    <x v="5"/>
    <x v="1"/>
    <x v="0"/>
    <x v="0"/>
    <x v="0"/>
    <x v="1"/>
    <x v="9"/>
    <x v="2"/>
    <x v="6"/>
    <x v="103"/>
    <x v="1"/>
    <x v="117"/>
    <x v="121"/>
    <x v="121"/>
    <x v="3"/>
  </r>
  <r>
    <x v="122"/>
    <x v="121"/>
    <x v="6"/>
    <x v="11"/>
    <x v="2"/>
    <x v="0"/>
    <x v="15"/>
    <x v="41"/>
    <x v="2"/>
    <x v="0"/>
    <x v="2"/>
    <x v="2"/>
    <x v="104"/>
    <x v="2"/>
    <x v="118"/>
    <x v="122"/>
    <x v="122"/>
    <x v="3"/>
  </r>
  <r>
    <x v="123"/>
    <x v="122"/>
    <x v="9"/>
    <x v="7"/>
    <x v="2"/>
    <x v="3"/>
    <x v="14"/>
    <x v="26"/>
    <x v="0"/>
    <x v="6"/>
    <x v="2"/>
    <x v="4"/>
    <x v="105"/>
    <x v="0"/>
    <x v="119"/>
    <x v="123"/>
    <x v="123"/>
    <x v="2"/>
  </r>
  <r>
    <x v="124"/>
    <x v="123"/>
    <x v="3"/>
    <x v="10"/>
    <x v="2"/>
    <x v="4"/>
    <x v="12"/>
    <x v="21"/>
    <x v="0"/>
    <x v="2"/>
    <x v="1"/>
    <x v="9"/>
    <x v="106"/>
    <x v="1"/>
    <x v="120"/>
    <x v="124"/>
    <x v="124"/>
    <x v="4"/>
  </r>
  <r>
    <x v="125"/>
    <x v="124"/>
    <x v="0"/>
    <x v="12"/>
    <x v="4"/>
    <x v="0"/>
    <x v="15"/>
    <x v="46"/>
    <x v="1"/>
    <x v="10"/>
    <x v="2"/>
    <x v="5"/>
    <x v="107"/>
    <x v="0"/>
    <x v="121"/>
    <x v="125"/>
    <x v="125"/>
    <x v="4"/>
  </r>
  <r>
    <x v="126"/>
    <x v="125"/>
    <x v="6"/>
    <x v="9"/>
    <x v="5"/>
    <x v="1"/>
    <x v="1"/>
    <x v="1"/>
    <x v="0"/>
    <x v="8"/>
    <x v="2"/>
    <x v="9"/>
    <x v="64"/>
    <x v="2"/>
    <x v="122"/>
    <x v="126"/>
    <x v="126"/>
    <x v="1"/>
  </r>
  <r>
    <x v="127"/>
    <x v="126"/>
    <x v="4"/>
    <x v="8"/>
    <x v="1"/>
    <x v="1"/>
    <x v="2"/>
    <x v="47"/>
    <x v="0"/>
    <x v="5"/>
    <x v="0"/>
    <x v="9"/>
    <x v="27"/>
    <x v="1"/>
    <x v="123"/>
    <x v="127"/>
    <x v="127"/>
    <x v="3"/>
  </r>
  <r>
    <x v="128"/>
    <x v="127"/>
    <x v="1"/>
    <x v="4"/>
    <x v="1"/>
    <x v="3"/>
    <x v="14"/>
    <x v="36"/>
    <x v="2"/>
    <x v="4"/>
    <x v="2"/>
    <x v="2"/>
    <x v="67"/>
    <x v="2"/>
    <x v="124"/>
    <x v="128"/>
    <x v="128"/>
    <x v="1"/>
  </r>
  <r>
    <x v="129"/>
    <x v="128"/>
    <x v="1"/>
    <x v="11"/>
    <x v="5"/>
    <x v="2"/>
    <x v="7"/>
    <x v="10"/>
    <x v="0"/>
    <x v="0"/>
    <x v="2"/>
    <x v="9"/>
    <x v="108"/>
    <x v="0"/>
    <x v="125"/>
    <x v="129"/>
    <x v="129"/>
    <x v="2"/>
  </r>
  <r>
    <x v="130"/>
    <x v="129"/>
    <x v="5"/>
    <x v="10"/>
    <x v="1"/>
    <x v="4"/>
    <x v="12"/>
    <x v="23"/>
    <x v="2"/>
    <x v="11"/>
    <x v="0"/>
    <x v="8"/>
    <x v="109"/>
    <x v="0"/>
    <x v="126"/>
    <x v="130"/>
    <x v="130"/>
    <x v="0"/>
  </r>
  <r>
    <x v="131"/>
    <x v="130"/>
    <x v="8"/>
    <x v="8"/>
    <x v="1"/>
    <x v="0"/>
    <x v="6"/>
    <x v="11"/>
    <x v="0"/>
    <x v="0"/>
    <x v="1"/>
    <x v="7"/>
    <x v="21"/>
    <x v="0"/>
    <x v="127"/>
    <x v="131"/>
    <x v="131"/>
    <x v="0"/>
  </r>
  <r>
    <x v="132"/>
    <x v="131"/>
    <x v="2"/>
    <x v="2"/>
    <x v="5"/>
    <x v="2"/>
    <x v="3"/>
    <x v="5"/>
    <x v="0"/>
    <x v="8"/>
    <x v="2"/>
    <x v="2"/>
    <x v="110"/>
    <x v="1"/>
    <x v="128"/>
    <x v="132"/>
    <x v="132"/>
    <x v="0"/>
  </r>
  <r>
    <x v="133"/>
    <x v="132"/>
    <x v="1"/>
    <x v="8"/>
    <x v="1"/>
    <x v="1"/>
    <x v="5"/>
    <x v="7"/>
    <x v="2"/>
    <x v="3"/>
    <x v="0"/>
    <x v="2"/>
    <x v="109"/>
    <x v="0"/>
    <x v="129"/>
    <x v="133"/>
    <x v="133"/>
    <x v="0"/>
  </r>
  <r>
    <x v="134"/>
    <x v="133"/>
    <x v="1"/>
    <x v="5"/>
    <x v="1"/>
    <x v="3"/>
    <x v="9"/>
    <x v="14"/>
    <x v="2"/>
    <x v="11"/>
    <x v="0"/>
    <x v="5"/>
    <x v="41"/>
    <x v="1"/>
    <x v="130"/>
    <x v="134"/>
    <x v="134"/>
    <x v="0"/>
  </r>
  <r>
    <x v="135"/>
    <x v="134"/>
    <x v="2"/>
    <x v="11"/>
    <x v="5"/>
    <x v="3"/>
    <x v="14"/>
    <x v="36"/>
    <x v="0"/>
    <x v="1"/>
    <x v="1"/>
    <x v="5"/>
    <x v="111"/>
    <x v="1"/>
    <x v="131"/>
    <x v="135"/>
    <x v="135"/>
    <x v="3"/>
  </r>
  <r>
    <x v="136"/>
    <x v="11"/>
    <x v="1"/>
    <x v="9"/>
    <x v="5"/>
    <x v="4"/>
    <x v="10"/>
    <x v="15"/>
    <x v="1"/>
    <x v="1"/>
    <x v="2"/>
    <x v="1"/>
    <x v="112"/>
    <x v="0"/>
    <x v="132"/>
    <x v="136"/>
    <x v="136"/>
    <x v="2"/>
  </r>
  <r>
    <x v="137"/>
    <x v="135"/>
    <x v="7"/>
    <x v="6"/>
    <x v="5"/>
    <x v="1"/>
    <x v="16"/>
    <x v="48"/>
    <x v="0"/>
    <x v="2"/>
    <x v="2"/>
    <x v="6"/>
    <x v="92"/>
    <x v="0"/>
    <x v="133"/>
    <x v="137"/>
    <x v="137"/>
    <x v="4"/>
  </r>
  <r>
    <x v="138"/>
    <x v="136"/>
    <x v="3"/>
    <x v="11"/>
    <x v="5"/>
    <x v="4"/>
    <x v="10"/>
    <x v="27"/>
    <x v="1"/>
    <x v="10"/>
    <x v="0"/>
    <x v="0"/>
    <x v="113"/>
    <x v="1"/>
    <x v="134"/>
    <x v="138"/>
    <x v="138"/>
    <x v="0"/>
  </r>
  <r>
    <x v="139"/>
    <x v="137"/>
    <x v="4"/>
    <x v="11"/>
    <x v="5"/>
    <x v="4"/>
    <x v="12"/>
    <x v="21"/>
    <x v="0"/>
    <x v="7"/>
    <x v="1"/>
    <x v="1"/>
    <x v="114"/>
    <x v="4"/>
    <x v="135"/>
    <x v="139"/>
    <x v="139"/>
    <x v="2"/>
  </r>
  <r>
    <x v="140"/>
    <x v="138"/>
    <x v="4"/>
    <x v="4"/>
    <x v="1"/>
    <x v="2"/>
    <x v="3"/>
    <x v="5"/>
    <x v="0"/>
    <x v="2"/>
    <x v="0"/>
    <x v="5"/>
    <x v="115"/>
    <x v="0"/>
    <x v="136"/>
    <x v="140"/>
    <x v="140"/>
    <x v="2"/>
  </r>
  <r>
    <x v="141"/>
    <x v="139"/>
    <x v="11"/>
    <x v="9"/>
    <x v="5"/>
    <x v="2"/>
    <x v="11"/>
    <x v="34"/>
    <x v="2"/>
    <x v="6"/>
    <x v="1"/>
    <x v="2"/>
    <x v="116"/>
    <x v="0"/>
    <x v="137"/>
    <x v="141"/>
    <x v="141"/>
    <x v="0"/>
  </r>
  <r>
    <x v="142"/>
    <x v="140"/>
    <x v="8"/>
    <x v="7"/>
    <x v="5"/>
    <x v="1"/>
    <x v="16"/>
    <x v="33"/>
    <x v="0"/>
    <x v="4"/>
    <x v="0"/>
    <x v="8"/>
    <x v="117"/>
    <x v="1"/>
    <x v="138"/>
    <x v="142"/>
    <x v="142"/>
    <x v="3"/>
  </r>
  <r>
    <x v="143"/>
    <x v="141"/>
    <x v="3"/>
    <x v="7"/>
    <x v="5"/>
    <x v="3"/>
    <x v="14"/>
    <x v="26"/>
    <x v="0"/>
    <x v="2"/>
    <x v="2"/>
    <x v="1"/>
    <x v="118"/>
    <x v="1"/>
    <x v="139"/>
    <x v="143"/>
    <x v="143"/>
    <x v="4"/>
  </r>
  <r>
    <x v="144"/>
    <x v="142"/>
    <x v="2"/>
    <x v="11"/>
    <x v="5"/>
    <x v="3"/>
    <x v="4"/>
    <x v="38"/>
    <x v="0"/>
    <x v="1"/>
    <x v="2"/>
    <x v="6"/>
    <x v="119"/>
    <x v="2"/>
    <x v="140"/>
    <x v="144"/>
    <x v="144"/>
    <x v="0"/>
  </r>
  <r>
    <x v="145"/>
    <x v="143"/>
    <x v="0"/>
    <x v="9"/>
    <x v="5"/>
    <x v="0"/>
    <x v="15"/>
    <x v="41"/>
    <x v="0"/>
    <x v="9"/>
    <x v="2"/>
    <x v="9"/>
    <x v="120"/>
    <x v="4"/>
    <x v="141"/>
    <x v="145"/>
    <x v="145"/>
    <x v="3"/>
  </r>
  <r>
    <x v="146"/>
    <x v="144"/>
    <x v="11"/>
    <x v="9"/>
    <x v="5"/>
    <x v="2"/>
    <x v="7"/>
    <x v="24"/>
    <x v="0"/>
    <x v="5"/>
    <x v="2"/>
    <x v="0"/>
    <x v="121"/>
    <x v="1"/>
    <x v="142"/>
    <x v="146"/>
    <x v="146"/>
    <x v="1"/>
  </r>
  <r>
    <x v="147"/>
    <x v="145"/>
    <x v="5"/>
    <x v="4"/>
    <x v="1"/>
    <x v="1"/>
    <x v="2"/>
    <x v="13"/>
    <x v="2"/>
    <x v="3"/>
    <x v="1"/>
    <x v="6"/>
    <x v="122"/>
    <x v="2"/>
    <x v="143"/>
    <x v="147"/>
    <x v="147"/>
    <x v="0"/>
  </r>
  <r>
    <x v="148"/>
    <x v="146"/>
    <x v="2"/>
    <x v="7"/>
    <x v="5"/>
    <x v="4"/>
    <x v="12"/>
    <x v="23"/>
    <x v="2"/>
    <x v="3"/>
    <x v="0"/>
    <x v="2"/>
    <x v="123"/>
    <x v="2"/>
    <x v="144"/>
    <x v="148"/>
    <x v="148"/>
    <x v="2"/>
  </r>
  <r>
    <x v="149"/>
    <x v="147"/>
    <x v="1"/>
    <x v="5"/>
    <x v="5"/>
    <x v="4"/>
    <x v="12"/>
    <x v="20"/>
    <x v="0"/>
    <x v="10"/>
    <x v="0"/>
    <x v="6"/>
    <x v="124"/>
    <x v="4"/>
    <x v="145"/>
    <x v="149"/>
    <x v="149"/>
    <x v="1"/>
  </r>
  <r>
    <x v="150"/>
    <x v="148"/>
    <x v="4"/>
    <x v="8"/>
    <x v="1"/>
    <x v="4"/>
    <x v="12"/>
    <x v="21"/>
    <x v="2"/>
    <x v="7"/>
    <x v="1"/>
    <x v="7"/>
    <x v="125"/>
    <x v="0"/>
    <x v="53"/>
    <x v="150"/>
    <x v="150"/>
    <x v="4"/>
  </r>
  <r>
    <x v="151"/>
    <x v="36"/>
    <x v="3"/>
    <x v="7"/>
    <x v="5"/>
    <x v="0"/>
    <x v="6"/>
    <x v="31"/>
    <x v="0"/>
    <x v="4"/>
    <x v="1"/>
    <x v="3"/>
    <x v="126"/>
    <x v="0"/>
    <x v="146"/>
    <x v="151"/>
    <x v="151"/>
    <x v="1"/>
  </r>
  <r>
    <x v="152"/>
    <x v="149"/>
    <x v="5"/>
    <x v="2"/>
    <x v="5"/>
    <x v="3"/>
    <x v="8"/>
    <x v="12"/>
    <x v="0"/>
    <x v="10"/>
    <x v="1"/>
    <x v="3"/>
    <x v="38"/>
    <x v="0"/>
    <x v="147"/>
    <x v="152"/>
    <x v="152"/>
    <x v="1"/>
  </r>
  <r>
    <x v="153"/>
    <x v="150"/>
    <x v="1"/>
    <x v="4"/>
    <x v="1"/>
    <x v="1"/>
    <x v="16"/>
    <x v="49"/>
    <x v="0"/>
    <x v="8"/>
    <x v="2"/>
    <x v="3"/>
    <x v="7"/>
    <x v="4"/>
    <x v="148"/>
    <x v="153"/>
    <x v="153"/>
    <x v="2"/>
  </r>
  <r>
    <x v="154"/>
    <x v="151"/>
    <x v="0"/>
    <x v="5"/>
    <x v="5"/>
    <x v="1"/>
    <x v="16"/>
    <x v="48"/>
    <x v="1"/>
    <x v="7"/>
    <x v="0"/>
    <x v="7"/>
    <x v="127"/>
    <x v="4"/>
    <x v="149"/>
    <x v="154"/>
    <x v="154"/>
    <x v="4"/>
  </r>
  <r>
    <x v="155"/>
    <x v="152"/>
    <x v="9"/>
    <x v="8"/>
    <x v="1"/>
    <x v="4"/>
    <x v="10"/>
    <x v="50"/>
    <x v="2"/>
    <x v="2"/>
    <x v="2"/>
    <x v="0"/>
    <x v="128"/>
    <x v="1"/>
    <x v="150"/>
    <x v="155"/>
    <x v="155"/>
    <x v="0"/>
  </r>
  <r>
    <x v="156"/>
    <x v="153"/>
    <x v="8"/>
    <x v="7"/>
    <x v="5"/>
    <x v="0"/>
    <x v="6"/>
    <x v="8"/>
    <x v="0"/>
    <x v="1"/>
    <x v="0"/>
    <x v="9"/>
    <x v="129"/>
    <x v="4"/>
    <x v="151"/>
    <x v="156"/>
    <x v="156"/>
    <x v="4"/>
  </r>
  <r>
    <x v="157"/>
    <x v="154"/>
    <x v="7"/>
    <x v="7"/>
    <x v="5"/>
    <x v="1"/>
    <x v="2"/>
    <x v="13"/>
    <x v="1"/>
    <x v="2"/>
    <x v="1"/>
    <x v="8"/>
    <x v="130"/>
    <x v="0"/>
    <x v="152"/>
    <x v="157"/>
    <x v="157"/>
    <x v="2"/>
  </r>
  <r>
    <x v="158"/>
    <x v="155"/>
    <x v="3"/>
    <x v="10"/>
    <x v="5"/>
    <x v="2"/>
    <x v="3"/>
    <x v="28"/>
    <x v="2"/>
    <x v="9"/>
    <x v="2"/>
    <x v="9"/>
    <x v="131"/>
    <x v="0"/>
    <x v="153"/>
    <x v="158"/>
    <x v="158"/>
    <x v="2"/>
  </r>
  <r>
    <x v="159"/>
    <x v="156"/>
    <x v="7"/>
    <x v="9"/>
    <x v="5"/>
    <x v="0"/>
    <x v="15"/>
    <x v="41"/>
    <x v="2"/>
    <x v="0"/>
    <x v="2"/>
    <x v="9"/>
    <x v="132"/>
    <x v="1"/>
    <x v="154"/>
    <x v="159"/>
    <x v="159"/>
    <x v="4"/>
  </r>
  <r>
    <x v="160"/>
    <x v="157"/>
    <x v="1"/>
    <x v="8"/>
    <x v="1"/>
    <x v="1"/>
    <x v="1"/>
    <x v="1"/>
    <x v="1"/>
    <x v="3"/>
    <x v="1"/>
    <x v="6"/>
    <x v="41"/>
    <x v="4"/>
    <x v="155"/>
    <x v="160"/>
    <x v="160"/>
    <x v="4"/>
  </r>
  <r>
    <x v="161"/>
    <x v="158"/>
    <x v="7"/>
    <x v="6"/>
    <x v="0"/>
    <x v="4"/>
    <x v="10"/>
    <x v="15"/>
    <x v="0"/>
    <x v="2"/>
    <x v="2"/>
    <x v="5"/>
    <x v="133"/>
    <x v="1"/>
    <x v="156"/>
    <x v="161"/>
    <x v="161"/>
    <x v="0"/>
  </r>
  <r>
    <x v="162"/>
    <x v="159"/>
    <x v="3"/>
    <x v="4"/>
    <x v="1"/>
    <x v="1"/>
    <x v="1"/>
    <x v="44"/>
    <x v="0"/>
    <x v="8"/>
    <x v="1"/>
    <x v="1"/>
    <x v="47"/>
    <x v="1"/>
    <x v="123"/>
    <x v="162"/>
    <x v="162"/>
    <x v="1"/>
  </r>
  <r>
    <x v="163"/>
    <x v="160"/>
    <x v="10"/>
    <x v="2"/>
    <x v="2"/>
    <x v="4"/>
    <x v="12"/>
    <x v="20"/>
    <x v="1"/>
    <x v="4"/>
    <x v="2"/>
    <x v="6"/>
    <x v="134"/>
    <x v="4"/>
    <x v="157"/>
    <x v="163"/>
    <x v="163"/>
    <x v="2"/>
  </r>
  <r>
    <x v="164"/>
    <x v="161"/>
    <x v="6"/>
    <x v="6"/>
    <x v="2"/>
    <x v="4"/>
    <x v="12"/>
    <x v="21"/>
    <x v="2"/>
    <x v="10"/>
    <x v="0"/>
    <x v="1"/>
    <x v="135"/>
    <x v="2"/>
    <x v="158"/>
    <x v="164"/>
    <x v="164"/>
    <x v="4"/>
  </r>
  <r>
    <x v="165"/>
    <x v="162"/>
    <x v="1"/>
    <x v="5"/>
    <x v="2"/>
    <x v="4"/>
    <x v="10"/>
    <x v="50"/>
    <x v="2"/>
    <x v="2"/>
    <x v="2"/>
    <x v="9"/>
    <x v="136"/>
    <x v="3"/>
    <x v="159"/>
    <x v="165"/>
    <x v="165"/>
    <x v="3"/>
  </r>
  <r>
    <x v="166"/>
    <x v="163"/>
    <x v="8"/>
    <x v="0"/>
    <x v="0"/>
    <x v="2"/>
    <x v="11"/>
    <x v="34"/>
    <x v="1"/>
    <x v="5"/>
    <x v="1"/>
    <x v="1"/>
    <x v="137"/>
    <x v="2"/>
    <x v="160"/>
    <x v="166"/>
    <x v="166"/>
    <x v="3"/>
  </r>
  <r>
    <x v="167"/>
    <x v="164"/>
    <x v="6"/>
    <x v="6"/>
    <x v="2"/>
    <x v="4"/>
    <x v="12"/>
    <x v="23"/>
    <x v="0"/>
    <x v="8"/>
    <x v="2"/>
    <x v="2"/>
    <x v="138"/>
    <x v="2"/>
    <x v="161"/>
    <x v="167"/>
    <x v="167"/>
    <x v="0"/>
  </r>
  <r>
    <x v="168"/>
    <x v="165"/>
    <x v="6"/>
    <x v="0"/>
    <x v="0"/>
    <x v="4"/>
    <x v="10"/>
    <x v="50"/>
    <x v="1"/>
    <x v="11"/>
    <x v="2"/>
    <x v="9"/>
    <x v="51"/>
    <x v="0"/>
    <x v="162"/>
    <x v="168"/>
    <x v="168"/>
    <x v="3"/>
  </r>
  <r>
    <x v="169"/>
    <x v="166"/>
    <x v="7"/>
    <x v="6"/>
    <x v="1"/>
    <x v="1"/>
    <x v="16"/>
    <x v="33"/>
    <x v="0"/>
    <x v="2"/>
    <x v="2"/>
    <x v="5"/>
    <x v="47"/>
    <x v="4"/>
    <x v="163"/>
    <x v="169"/>
    <x v="169"/>
    <x v="2"/>
  </r>
  <r>
    <x v="170"/>
    <x v="167"/>
    <x v="1"/>
    <x v="1"/>
    <x v="1"/>
    <x v="2"/>
    <x v="3"/>
    <x v="9"/>
    <x v="2"/>
    <x v="0"/>
    <x v="2"/>
    <x v="5"/>
    <x v="73"/>
    <x v="1"/>
    <x v="164"/>
    <x v="170"/>
    <x v="170"/>
    <x v="0"/>
  </r>
  <r>
    <x v="171"/>
    <x v="168"/>
    <x v="7"/>
    <x v="2"/>
    <x v="2"/>
    <x v="4"/>
    <x v="10"/>
    <x v="15"/>
    <x v="2"/>
    <x v="0"/>
    <x v="2"/>
    <x v="4"/>
    <x v="139"/>
    <x v="1"/>
    <x v="165"/>
    <x v="171"/>
    <x v="171"/>
    <x v="2"/>
  </r>
  <r>
    <x v="172"/>
    <x v="169"/>
    <x v="8"/>
    <x v="0"/>
    <x v="0"/>
    <x v="4"/>
    <x v="12"/>
    <x v="20"/>
    <x v="2"/>
    <x v="11"/>
    <x v="1"/>
    <x v="3"/>
    <x v="140"/>
    <x v="1"/>
    <x v="166"/>
    <x v="172"/>
    <x v="172"/>
    <x v="0"/>
  </r>
  <r>
    <x v="173"/>
    <x v="170"/>
    <x v="9"/>
    <x v="0"/>
    <x v="0"/>
    <x v="4"/>
    <x v="12"/>
    <x v="23"/>
    <x v="1"/>
    <x v="6"/>
    <x v="2"/>
    <x v="7"/>
    <x v="44"/>
    <x v="1"/>
    <x v="167"/>
    <x v="173"/>
    <x v="173"/>
    <x v="4"/>
  </r>
  <r>
    <x v="174"/>
    <x v="171"/>
    <x v="5"/>
    <x v="9"/>
    <x v="2"/>
    <x v="2"/>
    <x v="7"/>
    <x v="24"/>
    <x v="2"/>
    <x v="7"/>
    <x v="1"/>
    <x v="6"/>
    <x v="141"/>
    <x v="2"/>
    <x v="168"/>
    <x v="174"/>
    <x v="174"/>
    <x v="3"/>
  </r>
  <r>
    <x v="175"/>
    <x v="172"/>
    <x v="0"/>
    <x v="6"/>
    <x v="2"/>
    <x v="3"/>
    <x v="14"/>
    <x v="26"/>
    <x v="0"/>
    <x v="3"/>
    <x v="0"/>
    <x v="1"/>
    <x v="142"/>
    <x v="0"/>
    <x v="169"/>
    <x v="175"/>
    <x v="175"/>
    <x v="1"/>
  </r>
  <r>
    <x v="176"/>
    <x v="173"/>
    <x v="1"/>
    <x v="12"/>
    <x v="4"/>
    <x v="3"/>
    <x v="9"/>
    <x v="16"/>
    <x v="0"/>
    <x v="0"/>
    <x v="1"/>
    <x v="8"/>
    <x v="143"/>
    <x v="0"/>
    <x v="170"/>
    <x v="176"/>
    <x v="176"/>
    <x v="0"/>
  </r>
  <r>
    <x v="177"/>
    <x v="174"/>
    <x v="4"/>
    <x v="11"/>
    <x v="2"/>
    <x v="0"/>
    <x v="13"/>
    <x v="29"/>
    <x v="0"/>
    <x v="9"/>
    <x v="2"/>
    <x v="7"/>
    <x v="144"/>
    <x v="0"/>
    <x v="171"/>
    <x v="177"/>
    <x v="177"/>
    <x v="4"/>
  </r>
  <r>
    <x v="178"/>
    <x v="175"/>
    <x v="6"/>
    <x v="6"/>
    <x v="2"/>
    <x v="0"/>
    <x v="6"/>
    <x v="31"/>
    <x v="2"/>
    <x v="10"/>
    <x v="0"/>
    <x v="7"/>
    <x v="145"/>
    <x v="0"/>
    <x v="172"/>
    <x v="178"/>
    <x v="178"/>
    <x v="4"/>
  </r>
  <r>
    <x v="179"/>
    <x v="176"/>
    <x v="11"/>
    <x v="9"/>
    <x v="2"/>
    <x v="3"/>
    <x v="4"/>
    <x v="16"/>
    <x v="0"/>
    <x v="2"/>
    <x v="1"/>
    <x v="9"/>
    <x v="146"/>
    <x v="0"/>
    <x v="173"/>
    <x v="179"/>
    <x v="179"/>
    <x v="1"/>
  </r>
  <r>
    <x v="180"/>
    <x v="177"/>
    <x v="7"/>
    <x v="6"/>
    <x v="4"/>
    <x v="1"/>
    <x v="2"/>
    <x v="3"/>
    <x v="0"/>
    <x v="3"/>
    <x v="2"/>
    <x v="2"/>
    <x v="147"/>
    <x v="3"/>
    <x v="174"/>
    <x v="180"/>
    <x v="180"/>
    <x v="2"/>
  </r>
  <r>
    <x v="181"/>
    <x v="178"/>
    <x v="1"/>
    <x v="9"/>
    <x v="4"/>
    <x v="1"/>
    <x v="5"/>
    <x v="51"/>
    <x v="2"/>
    <x v="10"/>
    <x v="2"/>
    <x v="6"/>
    <x v="2"/>
    <x v="1"/>
    <x v="175"/>
    <x v="181"/>
    <x v="181"/>
    <x v="4"/>
  </r>
  <r>
    <x v="182"/>
    <x v="179"/>
    <x v="11"/>
    <x v="4"/>
    <x v="1"/>
    <x v="0"/>
    <x v="15"/>
    <x v="32"/>
    <x v="1"/>
    <x v="7"/>
    <x v="1"/>
    <x v="5"/>
    <x v="48"/>
    <x v="1"/>
    <x v="176"/>
    <x v="182"/>
    <x v="182"/>
    <x v="1"/>
  </r>
  <r>
    <x v="183"/>
    <x v="180"/>
    <x v="6"/>
    <x v="1"/>
    <x v="1"/>
    <x v="4"/>
    <x v="12"/>
    <x v="21"/>
    <x v="2"/>
    <x v="10"/>
    <x v="0"/>
    <x v="5"/>
    <x v="148"/>
    <x v="0"/>
    <x v="177"/>
    <x v="183"/>
    <x v="183"/>
    <x v="3"/>
  </r>
  <r>
    <x v="184"/>
    <x v="181"/>
    <x v="1"/>
    <x v="5"/>
    <x v="1"/>
    <x v="4"/>
    <x v="12"/>
    <x v="21"/>
    <x v="1"/>
    <x v="0"/>
    <x v="1"/>
    <x v="0"/>
    <x v="149"/>
    <x v="2"/>
    <x v="178"/>
    <x v="184"/>
    <x v="184"/>
    <x v="2"/>
  </r>
  <r>
    <x v="185"/>
    <x v="182"/>
    <x v="2"/>
    <x v="1"/>
    <x v="1"/>
    <x v="0"/>
    <x v="6"/>
    <x v="11"/>
    <x v="0"/>
    <x v="6"/>
    <x v="0"/>
    <x v="7"/>
    <x v="89"/>
    <x v="0"/>
    <x v="46"/>
    <x v="185"/>
    <x v="185"/>
    <x v="1"/>
  </r>
  <r>
    <x v="186"/>
    <x v="183"/>
    <x v="2"/>
    <x v="11"/>
    <x v="4"/>
    <x v="3"/>
    <x v="8"/>
    <x v="12"/>
    <x v="2"/>
    <x v="11"/>
    <x v="0"/>
    <x v="7"/>
    <x v="150"/>
    <x v="0"/>
    <x v="179"/>
    <x v="186"/>
    <x v="186"/>
    <x v="3"/>
  </r>
  <r>
    <x v="187"/>
    <x v="184"/>
    <x v="1"/>
    <x v="1"/>
    <x v="1"/>
    <x v="0"/>
    <x v="6"/>
    <x v="11"/>
    <x v="2"/>
    <x v="4"/>
    <x v="2"/>
    <x v="6"/>
    <x v="151"/>
    <x v="1"/>
    <x v="180"/>
    <x v="187"/>
    <x v="187"/>
    <x v="4"/>
  </r>
  <r>
    <x v="188"/>
    <x v="185"/>
    <x v="11"/>
    <x v="11"/>
    <x v="4"/>
    <x v="3"/>
    <x v="14"/>
    <x v="26"/>
    <x v="2"/>
    <x v="9"/>
    <x v="0"/>
    <x v="6"/>
    <x v="152"/>
    <x v="2"/>
    <x v="181"/>
    <x v="188"/>
    <x v="188"/>
    <x v="0"/>
  </r>
  <r>
    <x v="189"/>
    <x v="183"/>
    <x v="2"/>
    <x v="2"/>
    <x v="4"/>
    <x v="4"/>
    <x v="12"/>
    <x v="21"/>
    <x v="2"/>
    <x v="9"/>
    <x v="0"/>
    <x v="5"/>
    <x v="153"/>
    <x v="0"/>
    <x v="182"/>
    <x v="189"/>
    <x v="189"/>
    <x v="0"/>
  </r>
  <r>
    <x v="190"/>
    <x v="186"/>
    <x v="4"/>
    <x v="4"/>
    <x v="1"/>
    <x v="2"/>
    <x v="17"/>
    <x v="39"/>
    <x v="1"/>
    <x v="9"/>
    <x v="1"/>
    <x v="2"/>
    <x v="41"/>
    <x v="2"/>
    <x v="183"/>
    <x v="190"/>
    <x v="190"/>
    <x v="1"/>
  </r>
  <r>
    <x v="191"/>
    <x v="129"/>
    <x v="5"/>
    <x v="10"/>
    <x v="1"/>
    <x v="1"/>
    <x v="2"/>
    <x v="13"/>
    <x v="2"/>
    <x v="0"/>
    <x v="2"/>
    <x v="7"/>
    <x v="74"/>
    <x v="2"/>
    <x v="184"/>
    <x v="191"/>
    <x v="191"/>
    <x v="0"/>
  </r>
  <r>
    <x v="192"/>
    <x v="187"/>
    <x v="3"/>
    <x v="1"/>
    <x v="1"/>
    <x v="4"/>
    <x v="10"/>
    <x v="15"/>
    <x v="1"/>
    <x v="8"/>
    <x v="1"/>
    <x v="2"/>
    <x v="154"/>
    <x v="1"/>
    <x v="185"/>
    <x v="192"/>
    <x v="192"/>
    <x v="2"/>
  </r>
  <r>
    <x v="193"/>
    <x v="188"/>
    <x v="8"/>
    <x v="1"/>
    <x v="1"/>
    <x v="3"/>
    <x v="8"/>
    <x v="17"/>
    <x v="1"/>
    <x v="10"/>
    <x v="0"/>
    <x v="1"/>
    <x v="155"/>
    <x v="1"/>
    <x v="186"/>
    <x v="193"/>
    <x v="193"/>
    <x v="4"/>
  </r>
  <r>
    <x v="194"/>
    <x v="189"/>
    <x v="3"/>
    <x v="10"/>
    <x v="1"/>
    <x v="1"/>
    <x v="1"/>
    <x v="1"/>
    <x v="1"/>
    <x v="7"/>
    <x v="2"/>
    <x v="6"/>
    <x v="156"/>
    <x v="3"/>
    <x v="187"/>
    <x v="194"/>
    <x v="194"/>
    <x v="0"/>
  </r>
  <r>
    <x v="195"/>
    <x v="190"/>
    <x v="4"/>
    <x v="8"/>
    <x v="1"/>
    <x v="4"/>
    <x v="10"/>
    <x v="27"/>
    <x v="0"/>
    <x v="6"/>
    <x v="1"/>
    <x v="7"/>
    <x v="12"/>
    <x v="4"/>
    <x v="188"/>
    <x v="195"/>
    <x v="195"/>
    <x v="0"/>
  </r>
  <r>
    <x v="196"/>
    <x v="115"/>
    <x v="3"/>
    <x v="10"/>
    <x v="4"/>
    <x v="2"/>
    <x v="7"/>
    <x v="10"/>
    <x v="0"/>
    <x v="8"/>
    <x v="2"/>
    <x v="2"/>
    <x v="157"/>
    <x v="3"/>
    <x v="34"/>
    <x v="196"/>
    <x v="196"/>
    <x v="3"/>
  </r>
  <r>
    <x v="197"/>
    <x v="191"/>
    <x v="9"/>
    <x v="7"/>
    <x v="4"/>
    <x v="2"/>
    <x v="17"/>
    <x v="39"/>
    <x v="2"/>
    <x v="10"/>
    <x v="0"/>
    <x v="2"/>
    <x v="158"/>
    <x v="3"/>
    <x v="189"/>
    <x v="197"/>
    <x v="197"/>
    <x v="2"/>
  </r>
  <r>
    <x v="198"/>
    <x v="192"/>
    <x v="9"/>
    <x v="1"/>
    <x v="1"/>
    <x v="1"/>
    <x v="1"/>
    <x v="4"/>
    <x v="1"/>
    <x v="8"/>
    <x v="2"/>
    <x v="3"/>
    <x v="5"/>
    <x v="0"/>
    <x v="190"/>
    <x v="198"/>
    <x v="198"/>
    <x v="1"/>
  </r>
  <r>
    <x v="199"/>
    <x v="193"/>
    <x v="1"/>
    <x v="7"/>
    <x v="4"/>
    <x v="2"/>
    <x v="7"/>
    <x v="30"/>
    <x v="1"/>
    <x v="8"/>
    <x v="0"/>
    <x v="8"/>
    <x v="159"/>
    <x v="0"/>
    <x v="191"/>
    <x v="199"/>
    <x v="199"/>
    <x v="0"/>
  </r>
  <r>
    <x v="200"/>
    <x v="194"/>
    <x v="2"/>
    <x v="2"/>
    <x v="4"/>
    <x v="3"/>
    <x v="4"/>
    <x v="16"/>
    <x v="0"/>
    <x v="5"/>
    <x v="0"/>
    <x v="0"/>
    <x v="66"/>
    <x v="1"/>
    <x v="192"/>
    <x v="200"/>
    <x v="200"/>
    <x v="3"/>
  </r>
  <r>
    <x v="201"/>
    <x v="195"/>
    <x v="11"/>
    <x v="4"/>
    <x v="1"/>
    <x v="3"/>
    <x v="4"/>
    <x v="38"/>
    <x v="1"/>
    <x v="10"/>
    <x v="0"/>
    <x v="1"/>
    <x v="160"/>
    <x v="0"/>
    <x v="97"/>
    <x v="201"/>
    <x v="201"/>
    <x v="3"/>
  </r>
  <r>
    <x v="202"/>
    <x v="196"/>
    <x v="0"/>
    <x v="3"/>
    <x v="4"/>
    <x v="4"/>
    <x v="12"/>
    <x v="21"/>
    <x v="2"/>
    <x v="10"/>
    <x v="2"/>
    <x v="6"/>
    <x v="161"/>
    <x v="1"/>
    <x v="193"/>
    <x v="202"/>
    <x v="202"/>
    <x v="3"/>
  </r>
  <r>
    <x v="203"/>
    <x v="197"/>
    <x v="4"/>
    <x v="7"/>
    <x v="4"/>
    <x v="1"/>
    <x v="2"/>
    <x v="3"/>
    <x v="1"/>
    <x v="10"/>
    <x v="0"/>
    <x v="9"/>
    <x v="162"/>
    <x v="2"/>
    <x v="194"/>
    <x v="203"/>
    <x v="203"/>
    <x v="4"/>
  </r>
  <r>
    <x v="204"/>
    <x v="198"/>
    <x v="5"/>
    <x v="10"/>
    <x v="4"/>
    <x v="0"/>
    <x v="6"/>
    <x v="8"/>
    <x v="2"/>
    <x v="9"/>
    <x v="1"/>
    <x v="8"/>
    <x v="163"/>
    <x v="1"/>
    <x v="195"/>
    <x v="204"/>
    <x v="204"/>
    <x v="4"/>
  </r>
  <r>
    <x v="205"/>
    <x v="199"/>
    <x v="0"/>
    <x v="5"/>
    <x v="4"/>
    <x v="4"/>
    <x v="10"/>
    <x v="50"/>
    <x v="1"/>
    <x v="9"/>
    <x v="1"/>
    <x v="3"/>
    <x v="20"/>
    <x v="1"/>
    <x v="196"/>
    <x v="205"/>
    <x v="205"/>
    <x v="1"/>
  </r>
  <r>
    <x v="206"/>
    <x v="200"/>
    <x v="9"/>
    <x v="7"/>
    <x v="4"/>
    <x v="2"/>
    <x v="11"/>
    <x v="37"/>
    <x v="2"/>
    <x v="9"/>
    <x v="1"/>
    <x v="9"/>
    <x v="164"/>
    <x v="4"/>
    <x v="197"/>
    <x v="206"/>
    <x v="206"/>
    <x v="4"/>
  </r>
  <r>
    <x v="207"/>
    <x v="201"/>
    <x v="3"/>
    <x v="9"/>
    <x v="4"/>
    <x v="3"/>
    <x v="9"/>
    <x v="35"/>
    <x v="2"/>
    <x v="0"/>
    <x v="0"/>
    <x v="5"/>
    <x v="165"/>
    <x v="4"/>
    <x v="198"/>
    <x v="207"/>
    <x v="207"/>
    <x v="0"/>
  </r>
  <r>
    <x v="208"/>
    <x v="202"/>
    <x v="1"/>
    <x v="12"/>
    <x v="4"/>
    <x v="0"/>
    <x v="0"/>
    <x v="43"/>
    <x v="1"/>
    <x v="6"/>
    <x v="2"/>
    <x v="1"/>
    <x v="14"/>
    <x v="0"/>
    <x v="199"/>
    <x v="208"/>
    <x v="208"/>
    <x v="2"/>
  </r>
  <r>
    <x v="209"/>
    <x v="203"/>
    <x v="5"/>
    <x v="7"/>
    <x v="4"/>
    <x v="0"/>
    <x v="15"/>
    <x v="46"/>
    <x v="0"/>
    <x v="11"/>
    <x v="2"/>
    <x v="1"/>
    <x v="166"/>
    <x v="3"/>
    <x v="200"/>
    <x v="209"/>
    <x v="209"/>
    <x v="1"/>
  </r>
  <r>
    <x v="210"/>
    <x v="204"/>
    <x v="9"/>
    <x v="4"/>
    <x v="1"/>
    <x v="0"/>
    <x v="13"/>
    <x v="29"/>
    <x v="2"/>
    <x v="6"/>
    <x v="0"/>
    <x v="7"/>
    <x v="94"/>
    <x v="1"/>
    <x v="99"/>
    <x v="210"/>
    <x v="210"/>
    <x v="0"/>
  </r>
  <r>
    <x v="211"/>
    <x v="205"/>
    <x v="5"/>
    <x v="0"/>
    <x v="0"/>
    <x v="1"/>
    <x v="2"/>
    <x v="47"/>
    <x v="0"/>
    <x v="9"/>
    <x v="2"/>
    <x v="6"/>
    <x v="167"/>
    <x v="2"/>
    <x v="201"/>
    <x v="211"/>
    <x v="211"/>
    <x v="2"/>
  </r>
  <r>
    <x v="212"/>
    <x v="206"/>
    <x v="3"/>
    <x v="9"/>
    <x v="4"/>
    <x v="1"/>
    <x v="1"/>
    <x v="1"/>
    <x v="2"/>
    <x v="2"/>
    <x v="0"/>
    <x v="5"/>
    <x v="168"/>
    <x v="1"/>
    <x v="202"/>
    <x v="212"/>
    <x v="212"/>
    <x v="1"/>
  </r>
  <r>
    <x v="213"/>
    <x v="207"/>
    <x v="6"/>
    <x v="4"/>
    <x v="1"/>
    <x v="3"/>
    <x v="4"/>
    <x v="6"/>
    <x v="1"/>
    <x v="9"/>
    <x v="0"/>
    <x v="7"/>
    <x v="169"/>
    <x v="1"/>
    <x v="203"/>
    <x v="213"/>
    <x v="213"/>
    <x v="3"/>
  </r>
  <r>
    <x v="214"/>
    <x v="208"/>
    <x v="6"/>
    <x v="7"/>
    <x v="4"/>
    <x v="0"/>
    <x v="0"/>
    <x v="43"/>
    <x v="0"/>
    <x v="6"/>
    <x v="1"/>
    <x v="6"/>
    <x v="118"/>
    <x v="4"/>
    <x v="204"/>
    <x v="214"/>
    <x v="214"/>
    <x v="4"/>
  </r>
  <r>
    <x v="215"/>
    <x v="209"/>
    <x v="6"/>
    <x v="6"/>
    <x v="4"/>
    <x v="3"/>
    <x v="9"/>
    <x v="16"/>
    <x v="2"/>
    <x v="1"/>
    <x v="0"/>
    <x v="7"/>
    <x v="149"/>
    <x v="2"/>
    <x v="205"/>
    <x v="215"/>
    <x v="215"/>
    <x v="2"/>
  </r>
  <r>
    <x v="216"/>
    <x v="210"/>
    <x v="0"/>
    <x v="5"/>
    <x v="4"/>
    <x v="2"/>
    <x v="3"/>
    <x v="5"/>
    <x v="0"/>
    <x v="2"/>
    <x v="2"/>
    <x v="7"/>
    <x v="170"/>
    <x v="2"/>
    <x v="206"/>
    <x v="216"/>
    <x v="216"/>
    <x v="1"/>
  </r>
  <r>
    <x v="217"/>
    <x v="211"/>
    <x v="0"/>
    <x v="9"/>
    <x v="4"/>
    <x v="3"/>
    <x v="9"/>
    <x v="14"/>
    <x v="0"/>
    <x v="0"/>
    <x v="2"/>
    <x v="7"/>
    <x v="129"/>
    <x v="1"/>
    <x v="207"/>
    <x v="217"/>
    <x v="217"/>
    <x v="3"/>
  </r>
  <r>
    <x v="218"/>
    <x v="212"/>
    <x v="8"/>
    <x v="4"/>
    <x v="1"/>
    <x v="3"/>
    <x v="8"/>
    <x v="18"/>
    <x v="0"/>
    <x v="2"/>
    <x v="1"/>
    <x v="2"/>
    <x v="8"/>
    <x v="1"/>
    <x v="208"/>
    <x v="218"/>
    <x v="218"/>
    <x v="4"/>
  </r>
  <r>
    <x v="219"/>
    <x v="3"/>
    <x v="3"/>
    <x v="0"/>
    <x v="0"/>
    <x v="4"/>
    <x v="10"/>
    <x v="27"/>
    <x v="0"/>
    <x v="10"/>
    <x v="1"/>
    <x v="6"/>
    <x v="148"/>
    <x v="3"/>
    <x v="209"/>
    <x v="219"/>
    <x v="219"/>
    <x v="0"/>
  </r>
  <r>
    <x v="220"/>
    <x v="213"/>
    <x v="3"/>
    <x v="10"/>
    <x v="0"/>
    <x v="2"/>
    <x v="11"/>
    <x v="19"/>
    <x v="0"/>
    <x v="0"/>
    <x v="1"/>
    <x v="9"/>
    <x v="35"/>
    <x v="1"/>
    <x v="210"/>
    <x v="220"/>
    <x v="220"/>
    <x v="0"/>
  </r>
  <r>
    <x v="221"/>
    <x v="214"/>
    <x v="4"/>
    <x v="12"/>
    <x v="4"/>
    <x v="2"/>
    <x v="11"/>
    <x v="37"/>
    <x v="1"/>
    <x v="9"/>
    <x v="2"/>
    <x v="9"/>
    <x v="10"/>
    <x v="1"/>
    <x v="211"/>
    <x v="221"/>
    <x v="221"/>
    <x v="4"/>
  </r>
  <r>
    <x v="222"/>
    <x v="215"/>
    <x v="11"/>
    <x v="1"/>
    <x v="1"/>
    <x v="3"/>
    <x v="9"/>
    <x v="14"/>
    <x v="0"/>
    <x v="5"/>
    <x v="0"/>
    <x v="2"/>
    <x v="171"/>
    <x v="1"/>
    <x v="212"/>
    <x v="222"/>
    <x v="222"/>
    <x v="4"/>
  </r>
  <r>
    <x v="223"/>
    <x v="11"/>
    <x v="1"/>
    <x v="5"/>
    <x v="4"/>
    <x v="2"/>
    <x v="3"/>
    <x v="9"/>
    <x v="0"/>
    <x v="7"/>
    <x v="0"/>
    <x v="4"/>
    <x v="172"/>
    <x v="0"/>
    <x v="213"/>
    <x v="223"/>
    <x v="223"/>
    <x v="3"/>
  </r>
  <r>
    <x v="224"/>
    <x v="216"/>
    <x v="11"/>
    <x v="2"/>
    <x v="4"/>
    <x v="2"/>
    <x v="7"/>
    <x v="10"/>
    <x v="0"/>
    <x v="7"/>
    <x v="0"/>
    <x v="5"/>
    <x v="173"/>
    <x v="4"/>
    <x v="214"/>
    <x v="224"/>
    <x v="224"/>
    <x v="2"/>
  </r>
  <r>
    <x v="225"/>
    <x v="217"/>
    <x v="10"/>
    <x v="8"/>
    <x v="1"/>
    <x v="3"/>
    <x v="4"/>
    <x v="38"/>
    <x v="0"/>
    <x v="4"/>
    <x v="0"/>
    <x v="4"/>
    <x v="174"/>
    <x v="0"/>
    <x v="215"/>
    <x v="225"/>
    <x v="225"/>
    <x v="0"/>
  </r>
  <r>
    <x v="226"/>
    <x v="218"/>
    <x v="8"/>
    <x v="8"/>
    <x v="1"/>
    <x v="1"/>
    <x v="5"/>
    <x v="7"/>
    <x v="0"/>
    <x v="5"/>
    <x v="0"/>
    <x v="6"/>
    <x v="175"/>
    <x v="0"/>
    <x v="216"/>
    <x v="226"/>
    <x v="226"/>
    <x v="3"/>
  </r>
  <r>
    <x v="227"/>
    <x v="219"/>
    <x v="5"/>
    <x v="8"/>
    <x v="1"/>
    <x v="0"/>
    <x v="15"/>
    <x v="46"/>
    <x v="0"/>
    <x v="6"/>
    <x v="1"/>
    <x v="1"/>
    <x v="176"/>
    <x v="1"/>
    <x v="8"/>
    <x v="227"/>
    <x v="227"/>
    <x v="4"/>
  </r>
  <r>
    <x v="228"/>
    <x v="220"/>
    <x v="10"/>
    <x v="9"/>
    <x v="4"/>
    <x v="1"/>
    <x v="5"/>
    <x v="7"/>
    <x v="0"/>
    <x v="0"/>
    <x v="1"/>
    <x v="0"/>
    <x v="177"/>
    <x v="1"/>
    <x v="217"/>
    <x v="228"/>
    <x v="228"/>
    <x v="4"/>
  </r>
  <r>
    <x v="229"/>
    <x v="221"/>
    <x v="11"/>
    <x v="9"/>
    <x v="4"/>
    <x v="2"/>
    <x v="7"/>
    <x v="30"/>
    <x v="0"/>
    <x v="7"/>
    <x v="2"/>
    <x v="2"/>
    <x v="178"/>
    <x v="0"/>
    <x v="218"/>
    <x v="229"/>
    <x v="229"/>
    <x v="2"/>
  </r>
  <r>
    <x v="230"/>
    <x v="222"/>
    <x v="6"/>
    <x v="6"/>
    <x v="1"/>
    <x v="1"/>
    <x v="5"/>
    <x v="51"/>
    <x v="2"/>
    <x v="11"/>
    <x v="0"/>
    <x v="6"/>
    <x v="179"/>
    <x v="2"/>
    <x v="219"/>
    <x v="230"/>
    <x v="230"/>
    <x v="3"/>
  </r>
  <r>
    <x v="231"/>
    <x v="223"/>
    <x v="5"/>
    <x v="12"/>
    <x v="4"/>
    <x v="2"/>
    <x v="7"/>
    <x v="24"/>
    <x v="2"/>
    <x v="7"/>
    <x v="1"/>
    <x v="0"/>
    <x v="180"/>
    <x v="0"/>
    <x v="220"/>
    <x v="231"/>
    <x v="231"/>
    <x v="4"/>
  </r>
  <r>
    <x v="232"/>
    <x v="224"/>
    <x v="10"/>
    <x v="8"/>
    <x v="1"/>
    <x v="4"/>
    <x v="10"/>
    <x v="50"/>
    <x v="1"/>
    <x v="9"/>
    <x v="1"/>
    <x v="0"/>
    <x v="67"/>
    <x v="1"/>
    <x v="221"/>
    <x v="232"/>
    <x v="232"/>
    <x v="4"/>
  </r>
  <r>
    <x v="233"/>
    <x v="225"/>
    <x v="5"/>
    <x v="1"/>
    <x v="1"/>
    <x v="1"/>
    <x v="1"/>
    <x v="44"/>
    <x v="2"/>
    <x v="5"/>
    <x v="0"/>
    <x v="8"/>
    <x v="181"/>
    <x v="2"/>
    <x v="222"/>
    <x v="233"/>
    <x v="233"/>
    <x v="4"/>
  </r>
  <r>
    <x v="234"/>
    <x v="226"/>
    <x v="11"/>
    <x v="12"/>
    <x v="4"/>
    <x v="0"/>
    <x v="0"/>
    <x v="43"/>
    <x v="2"/>
    <x v="9"/>
    <x v="1"/>
    <x v="6"/>
    <x v="55"/>
    <x v="4"/>
    <x v="223"/>
    <x v="234"/>
    <x v="234"/>
    <x v="4"/>
  </r>
  <r>
    <x v="235"/>
    <x v="111"/>
    <x v="5"/>
    <x v="10"/>
    <x v="1"/>
    <x v="2"/>
    <x v="11"/>
    <x v="37"/>
    <x v="1"/>
    <x v="1"/>
    <x v="2"/>
    <x v="3"/>
    <x v="179"/>
    <x v="1"/>
    <x v="224"/>
    <x v="235"/>
    <x v="235"/>
    <x v="2"/>
  </r>
  <r>
    <x v="236"/>
    <x v="227"/>
    <x v="7"/>
    <x v="7"/>
    <x v="4"/>
    <x v="4"/>
    <x v="12"/>
    <x v="21"/>
    <x v="0"/>
    <x v="11"/>
    <x v="1"/>
    <x v="2"/>
    <x v="182"/>
    <x v="1"/>
    <x v="225"/>
    <x v="236"/>
    <x v="236"/>
    <x v="2"/>
  </r>
  <r>
    <x v="237"/>
    <x v="228"/>
    <x v="3"/>
    <x v="10"/>
    <x v="4"/>
    <x v="2"/>
    <x v="7"/>
    <x v="24"/>
    <x v="2"/>
    <x v="1"/>
    <x v="1"/>
    <x v="4"/>
    <x v="183"/>
    <x v="4"/>
    <x v="226"/>
    <x v="237"/>
    <x v="237"/>
    <x v="0"/>
  </r>
  <r>
    <x v="238"/>
    <x v="229"/>
    <x v="1"/>
    <x v="7"/>
    <x v="4"/>
    <x v="1"/>
    <x v="16"/>
    <x v="49"/>
    <x v="2"/>
    <x v="3"/>
    <x v="1"/>
    <x v="3"/>
    <x v="112"/>
    <x v="4"/>
    <x v="227"/>
    <x v="238"/>
    <x v="238"/>
    <x v="3"/>
  </r>
  <r>
    <x v="239"/>
    <x v="230"/>
    <x v="3"/>
    <x v="9"/>
    <x v="2"/>
    <x v="2"/>
    <x v="3"/>
    <x v="28"/>
    <x v="2"/>
    <x v="10"/>
    <x v="1"/>
    <x v="4"/>
    <x v="184"/>
    <x v="0"/>
    <x v="228"/>
    <x v="239"/>
    <x v="239"/>
    <x v="2"/>
  </r>
  <r>
    <x v="240"/>
    <x v="231"/>
    <x v="11"/>
    <x v="2"/>
    <x v="2"/>
    <x v="1"/>
    <x v="2"/>
    <x v="3"/>
    <x v="0"/>
    <x v="3"/>
    <x v="0"/>
    <x v="7"/>
    <x v="185"/>
    <x v="1"/>
    <x v="229"/>
    <x v="240"/>
    <x v="240"/>
    <x v="4"/>
  </r>
  <r>
    <x v="241"/>
    <x v="199"/>
    <x v="0"/>
    <x v="5"/>
    <x v="1"/>
    <x v="4"/>
    <x v="10"/>
    <x v="27"/>
    <x v="2"/>
    <x v="9"/>
    <x v="2"/>
    <x v="9"/>
    <x v="186"/>
    <x v="4"/>
    <x v="230"/>
    <x v="241"/>
    <x v="241"/>
    <x v="3"/>
  </r>
  <r>
    <x v="242"/>
    <x v="232"/>
    <x v="2"/>
    <x v="4"/>
    <x v="1"/>
    <x v="4"/>
    <x v="10"/>
    <x v="27"/>
    <x v="1"/>
    <x v="1"/>
    <x v="1"/>
    <x v="5"/>
    <x v="169"/>
    <x v="4"/>
    <x v="231"/>
    <x v="242"/>
    <x v="242"/>
    <x v="1"/>
  </r>
  <r>
    <x v="243"/>
    <x v="233"/>
    <x v="5"/>
    <x v="2"/>
    <x v="2"/>
    <x v="2"/>
    <x v="7"/>
    <x v="30"/>
    <x v="0"/>
    <x v="4"/>
    <x v="2"/>
    <x v="4"/>
    <x v="64"/>
    <x v="0"/>
    <x v="232"/>
    <x v="243"/>
    <x v="243"/>
    <x v="3"/>
  </r>
  <r>
    <x v="244"/>
    <x v="234"/>
    <x v="6"/>
    <x v="8"/>
    <x v="1"/>
    <x v="2"/>
    <x v="17"/>
    <x v="42"/>
    <x v="1"/>
    <x v="1"/>
    <x v="0"/>
    <x v="8"/>
    <x v="176"/>
    <x v="0"/>
    <x v="233"/>
    <x v="244"/>
    <x v="244"/>
    <x v="3"/>
  </r>
  <r>
    <x v="245"/>
    <x v="235"/>
    <x v="10"/>
    <x v="1"/>
    <x v="1"/>
    <x v="4"/>
    <x v="12"/>
    <x v="20"/>
    <x v="1"/>
    <x v="5"/>
    <x v="0"/>
    <x v="9"/>
    <x v="171"/>
    <x v="1"/>
    <x v="234"/>
    <x v="245"/>
    <x v="245"/>
    <x v="3"/>
  </r>
  <r>
    <x v="246"/>
    <x v="236"/>
    <x v="4"/>
    <x v="0"/>
    <x v="0"/>
    <x v="3"/>
    <x v="4"/>
    <x v="38"/>
    <x v="1"/>
    <x v="6"/>
    <x v="1"/>
    <x v="1"/>
    <x v="187"/>
    <x v="0"/>
    <x v="235"/>
    <x v="246"/>
    <x v="246"/>
    <x v="0"/>
  </r>
  <r>
    <x v="247"/>
    <x v="237"/>
    <x v="3"/>
    <x v="1"/>
    <x v="1"/>
    <x v="1"/>
    <x v="1"/>
    <x v="4"/>
    <x v="2"/>
    <x v="6"/>
    <x v="2"/>
    <x v="4"/>
    <x v="103"/>
    <x v="1"/>
    <x v="236"/>
    <x v="247"/>
    <x v="247"/>
    <x v="3"/>
  </r>
  <r>
    <x v="248"/>
    <x v="238"/>
    <x v="2"/>
    <x v="1"/>
    <x v="1"/>
    <x v="3"/>
    <x v="14"/>
    <x v="40"/>
    <x v="1"/>
    <x v="0"/>
    <x v="0"/>
    <x v="7"/>
    <x v="188"/>
    <x v="1"/>
    <x v="237"/>
    <x v="248"/>
    <x v="248"/>
    <x v="3"/>
  </r>
  <r>
    <x v="249"/>
    <x v="239"/>
    <x v="0"/>
    <x v="0"/>
    <x v="0"/>
    <x v="3"/>
    <x v="9"/>
    <x v="16"/>
    <x v="0"/>
    <x v="8"/>
    <x v="0"/>
    <x v="5"/>
    <x v="189"/>
    <x v="2"/>
    <x v="238"/>
    <x v="249"/>
    <x v="249"/>
    <x v="1"/>
  </r>
  <r>
    <x v="250"/>
    <x v="240"/>
    <x v="2"/>
    <x v="11"/>
    <x v="2"/>
    <x v="3"/>
    <x v="14"/>
    <x v="36"/>
    <x v="1"/>
    <x v="3"/>
    <x v="1"/>
    <x v="2"/>
    <x v="190"/>
    <x v="0"/>
    <x v="239"/>
    <x v="250"/>
    <x v="250"/>
    <x v="0"/>
  </r>
  <r>
    <x v="251"/>
    <x v="241"/>
    <x v="0"/>
    <x v="11"/>
    <x v="2"/>
    <x v="0"/>
    <x v="6"/>
    <x v="11"/>
    <x v="2"/>
    <x v="3"/>
    <x v="2"/>
    <x v="9"/>
    <x v="191"/>
    <x v="1"/>
    <x v="240"/>
    <x v="251"/>
    <x v="251"/>
    <x v="1"/>
  </r>
  <r>
    <x v="252"/>
    <x v="242"/>
    <x v="1"/>
    <x v="5"/>
    <x v="1"/>
    <x v="2"/>
    <x v="7"/>
    <x v="24"/>
    <x v="1"/>
    <x v="10"/>
    <x v="1"/>
    <x v="7"/>
    <x v="175"/>
    <x v="3"/>
    <x v="241"/>
    <x v="252"/>
    <x v="252"/>
    <x v="0"/>
  </r>
  <r>
    <x v="253"/>
    <x v="243"/>
    <x v="0"/>
    <x v="7"/>
    <x v="2"/>
    <x v="3"/>
    <x v="14"/>
    <x v="26"/>
    <x v="1"/>
    <x v="7"/>
    <x v="0"/>
    <x v="0"/>
    <x v="118"/>
    <x v="4"/>
    <x v="242"/>
    <x v="253"/>
    <x v="253"/>
    <x v="1"/>
  </r>
  <r>
    <x v="254"/>
    <x v="178"/>
    <x v="1"/>
    <x v="0"/>
    <x v="0"/>
    <x v="2"/>
    <x v="17"/>
    <x v="42"/>
    <x v="2"/>
    <x v="8"/>
    <x v="1"/>
    <x v="9"/>
    <x v="192"/>
    <x v="2"/>
    <x v="243"/>
    <x v="254"/>
    <x v="254"/>
    <x v="2"/>
  </r>
  <r>
    <x v="255"/>
    <x v="244"/>
    <x v="1"/>
    <x v="9"/>
    <x v="1"/>
    <x v="1"/>
    <x v="2"/>
    <x v="13"/>
    <x v="2"/>
    <x v="4"/>
    <x v="2"/>
    <x v="6"/>
    <x v="193"/>
    <x v="4"/>
    <x v="244"/>
    <x v="255"/>
    <x v="255"/>
    <x v="3"/>
  </r>
  <r>
    <x v="256"/>
    <x v="245"/>
    <x v="8"/>
    <x v="8"/>
    <x v="1"/>
    <x v="3"/>
    <x v="14"/>
    <x v="26"/>
    <x v="1"/>
    <x v="5"/>
    <x v="1"/>
    <x v="6"/>
    <x v="194"/>
    <x v="3"/>
    <x v="245"/>
    <x v="256"/>
    <x v="256"/>
    <x v="2"/>
  </r>
  <r>
    <x v="257"/>
    <x v="246"/>
    <x v="4"/>
    <x v="9"/>
    <x v="1"/>
    <x v="2"/>
    <x v="7"/>
    <x v="24"/>
    <x v="1"/>
    <x v="6"/>
    <x v="1"/>
    <x v="7"/>
    <x v="195"/>
    <x v="3"/>
    <x v="246"/>
    <x v="257"/>
    <x v="257"/>
    <x v="1"/>
  </r>
  <r>
    <x v="258"/>
    <x v="247"/>
    <x v="11"/>
    <x v="8"/>
    <x v="1"/>
    <x v="2"/>
    <x v="11"/>
    <x v="37"/>
    <x v="1"/>
    <x v="6"/>
    <x v="1"/>
    <x v="5"/>
    <x v="157"/>
    <x v="0"/>
    <x v="247"/>
    <x v="258"/>
    <x v="258"/>
    <x v="4"/>
  </r>
  <r>
    <x v="259"/>
    <x v="248"/>
    <x v="1"/>
    <x v="3"/>
    <x v="1"/>
    <x v="3"/>
    <x v="14"/>
    <x v="26"/>
    <x v="0"/>
    <x v="6"/>
    <x v="2"/>
    <x v="0"/>
    <x v="196"/>
    <x v="1"/>
    <x v="248"/>
    <x v="259"/>
    <x v="259"/>
    <x v="4"/>
  </r>
  <r>
    <x v="260"/>
    <x v="249"/>
    <x v="5"/>
    <x v="8"/>
    <x v="1"/>
    <x v="1"/>
    <x v="1"/>
    <x v="4"/>
    <x v="2"/>
    <x v="6"/>
    <x v="1"/>
    <x v="7"/>
    <x v="176"/>
    <x v="0"/>
    <x v="249"/>
    <x v="260"/>
    <x v="260"/>
    <x v="4"/>
  </r>
  <r>
    <x v="261"/>
    <x v="113"/>
    <x v="1"/>
    <x v="1"/>
    <x v="1"/>
    <x v="3"/>
    <x v="4"/>
    <x v="16"/>
    <x v="0"/>
    <x v="11"/>
    <x v="1"/>
    <x v="4"/>
    <x v="197"/>
    <x v="0"/>
    <x v="250"/>
    <x v="261"/>
    <x v="261"/>
    <x v="4"/>
  </r>
  <r>
    <x v="262"/>
    <x v="250"/>
    <x v="5"/>
    <x v="1"/>
    <x v="1"/>
    <x v="2"/>
    <x v="17"/>
    <x v="39"/>
    <x v="1"/>
    <x v="5"/>
    <x v="1"/>
    <x v="5"/>
    <x v="198"/>
    <x v="1"/>
    <x v="251"/>
    <x v="262"/>
    <x v="262"/>
    <x v="3"/>
  </r>
  <r>
    <x v="263"/>
    <x v="251"/>
    <x v="5"/>
    <x v="10"/>
    <x v="1"/>
    <x v="1"/>
    <x v="16"/>
    <x v="33"/>
    <x v="2"/>
    <x v="10"/>
    <x v="1"/>
    <x v="0"/>
    <x v="199"/>
    <x v="0"/>
    <x v="252"/>
    <x v="263"/>
    <x v="263"/>
    <x v="4"/>
  </r>
  <r>
    <x v="264"/>
    <x v="252"/>
    <x v="6"/>
    <x v="6"/>
    <x v="1"/>
    <x v="0"/>
    <x v="6"/>
    <x v="11"/>
    <x v="0"/>
    <x v="8"/>
    <x v="2"/>
    <x v="1"/>
    <x v="200"/>
    <x v="0"/>
    <x v="253"/>
    <x v="264"/>
    <x v="264"/>
    <x v="4"/>
  </r>
  <r>
    <x v="265"/>
    <x v="253"/>
    <x v="8"/>
    <x v="4"/>
    <x v="1"/>
    <x v="2"/>
    <x v="11"/>
    <x v="19"/>
    <x v="0"/>
    <x v="4"/>
    <x v="0"/>
    <x v="1"/>
    <x v="94"/>
    <x v="3"/>
    <x v="254"/>
    <x v="265"/>
    <x v="265"/>
    <x v="3"/>
  </r>
  <r>
    <x v="266"/>
    <x v="254"/>
    <x v="4"/>
    <x v="7"/>
    <x v="1"/>
    <x v="4"/>
    <x v="10"/>
    <x v="27"/>
    <x v="1"/>
    <x v="6"/>
    <x v="1"/>
    <x v="8"/>
    <x v="201"/>
    <x v="4"/>
    <x v="255"/>
    <x v="266"/>
    <x v="266"/>
    <x v="4"/>
  </r>
  <r>
    <x v="267"/>
    <x v="255"/>
    <x v="7"/>
    <x v="4"/>
    <x v="1"/>
    <x v="0"/>
    <x v="0"/>
    <x v="0"/>
    <x v="1"/>
    <x v="2"/>
    <x v="1"/>
    <x v="8"/>
    <x v="175"/>
    <x v="4"/>
    <x v="256"/>
    <x v="267"/>
    <x v="267"/>
    <x v="1"/>
  </r>
  <r>
    <x v="268"/>
    <x v="256"/>
    <x v="9"/>
    <x v="8"/>
    <x v="1"/>
    <x v="2"/>
    <x v="11"/>
    <x v="34"/>
    <x v="2"/>
    <x v="1"/>
    <x v="0"/>
    <x v="2"/>
    <x v="202"/>
    <x v="3"/>
    <x v="257"/>
    <x v="268"/>
    <x v="268"/>
    <x v="4"/>
  </r>
  <r>
    <x v="269"/>
    <x v="257"/>
    <x v="3"/>
    <x v="2"/>
    <x v="1"/>
    <x v="0"/>
    <x v="15"/>
    <x v="46"/>
    <x v="1"/>
    <x v="1"/>
    <x v="1"/>
    <x v="3"/>
    <x v="141"/>
    <x v="2"/>
    <x v="258"/>
    <x v="269"/>
    <x v="269"/>
    <x v="0"/>
  </r>
  <r>
    <x v="270"/>
    <x v="258"/>
    <x v="1"/>
    <x v="12"/>
    <x v="4"/>
    <x v="2"/>
    <x v="11"/>
    <x v="19"/>
    <x v="0"/>
    <x v="2"/>
    <x v="2"/>
    <x v="1"/>
    <x v="5"/>
    <x v="3"/>
    <x v="259"/>
    <x v="270"/>
    <x v="270"/>
    <x v="1"/>
  </r>
  <r>
    <x v="271"/>
    <x v="259"/>
    <x v="3"/>
    <x v="7"/>
    <x v="1"/>
    <x v="4"/>
    <x v="12"/>
    <x v="23"/>
    <x v="1"/>
    <x v="4"/>
    <x v="1"/>
    <x v="5"/>
    <x v="203"/>
    <x v="3"/>
    <x v="260"/>
    <x v="271"/>
    <x v="271"/>
    <x v="0"/>
  </r>
  <r>
    <x v="272"/>
    <x v="260"/>
    <x v="0"/>
    <x v="12"/>
    <x v="4"/>
    <x v="1"/>
    <x v="2"/>
    <x v="13"/>
    <x v="1"/>
    <x v="3"/>
    <x v="1"/>
    <x v="7"/>
    <x v="204"/>
    <x v="4"/>
    <x v="261"/>
    <x v="272"/>
    <x v="272"/>
    <x v="3"/>
  </r>
  <r>
    <x v="273"/>
    <x v="261"/>
    <x v="10"/>
    <x v="3"/>
    <x v="1"/>
    <x v="1"/>
    <x v="5"/>
    <x v="45"/>
    <x v="1"/>
    <x v="4"/>
    <x v="2"/>
    <x v="4"/>
    <x v="116"/>
    <x v="1"/>
    <x v="262"/>
    <x v="273"/>
    <x v="273"/>
    <x v="3"/>
  </r>
  <r>
    <x v="274"/>
    <x v="262"/>
    <x v="4"/>
    <x v="9"/>
    <x v="1"/>
    <x v="3"/>
    <x v="14"/>
    <x v="40"/>
    <x v="1"/>
    <x v="1"/>
    <x v="1"/>
    <x v="8"/>
    <x v="4"/>
    <x v="1"/>
    <x v="263"/>
    <x v="274"/>
    <x v="274"/>
    <x v="1"/>
  </r>
  <r>
    <x v="275"/>
    <x v="263"/>
    <x v="5"/>
    <x v="3"/>
    <x v="1"/>
    <x v="4"/>
    <x v="12"/>
    <x v="21"/>
    <x v="1"/>
    <x v="7"/>
    <x v="0"/>
    <x v="9"/>
    <x v="205"/>
    <x v="0"/>
    <x v="264"/>
    <x v="275"/>
    <x v="275"/>
    <x v="3"/>
  </r>
  <r>
    <x v="276"/>
    <x v="16"/>
    <x v="2"/>
    <x v="3"/>
    <x v="1"/>
    <x v="1"/>
    <x v="2"/>
    <x v="3"/>
    <x v="2"/>
    <x v="1"/>
    <x v="1"/>
    <x v="4"/>
    <x v="206"/>
    <x v="2"/>
    <x v="265"/>
    <x v="276"/>
    <x v="276"/>
    <x v="1"/>
  </r>
  <r>
    <x v="277"/>
    <x v="264"/>
    <x v="8"/>
    <x v="7"/>
    <x v="1"/>
    <x v="0"/>
    <x v="15"/>
    <x v="32"/>
    <x v="0"/>
    <x v="10"/>
    <x v="0"/>
    <x v="6"/>
    <x v="207"/>
    <x v="2"/>
    <x v="266"/>
    <x v="277"/>
    <x v="277"/>
    <x v="2"/>
  </r>
  <r>
    <x v="278"/>
    <x v="171"/>
    <x v="5"/>
    <x v="3"/>
    <x v="1"/>
    <x v="3"/>
    <x v="4"/>
    <x v="6"/>
    <x v="1"/>
    <x v="7"/>
    <x v="0"/>
    <x v="1"/>
    <x v="208"/>
    <x v="0"/>
    <x v="267"/>
    <x v="278"/>
    <x v="278"/>
    <x v="2"/>
  </r>
  <r>
    <x v="279"/>
    <x v="265"/>
    <x v="8"/>
    <x v="2"/>
    <x v="1"/>
    <x v="1"/>
    <x v="16"/>
    <x v="49"/>
    <x v="0"/>
    <x v="4"/>
    <x v="2"/>
    <x v="2"/>
    <x v="209"/>
    <x v="4"/>
    <x v="268"/>
    <x v="279"/>
    <x v="279"/>
    <x v="0"/>
  </r>
  <r>
    <x v="280"/>
    <x v="266"/>
    <x v="7"/>
    <x v="11"/>
    <x v="1"/>
    <x v="0"/>
    <x v="6"/>
    <x v="8"/>
    <x v="0"/>
    <x v="2"/>
    <x v="1"/>
    <x v="6"/>
    <x v="210"/>
    <x v="3"/>
    <x v="269"/>
    <x v="280"/>
    <x v="280"/>
    <x v="4"/>
  </r>
  <r>
    <x v="281"/>
    <x v="267"/>
    <x v="2"/>
    <x v="1"/>
    <x v="1"/>
    <x v="0"/>
    <x v="13"/>
    <x v="25"/>
    <x v="1"/>
    <x v="0"/>
    <x v="2"/>
    <x v="3"/>
    <x v="140"/>
    <x v="0"/>
    <x v="270"/>
    <x v="281"/>
    <x v="281"/>
    <x v="0"/>
  </r>
  <r>
    <x v="282"/>
    <x v="268"/>
    <x v="7"/>
    <x v="6"/>
    <x v="0"/>
    <x v="2"/>
    <x v="11"/>
    <x v="34"/>
    <x v="1"/>
    <x v="3"/>
    <x v="2"/>
    <x v="2"/>
    <x v="211"/>
    <x v="0"/>
    <x v="271"/>
    <x v="282"/>
    <x v="282"/>
    <x v="3"/>
  </r>
  <r>
    <x v="283"/>
    <x v="269"/>
    <x v="2"/>
    <x v="9"/>
    <x v="1"/>
    <x v="0"/>
    <x v="13"/>
    <x v="29"/>
    <x v="2"/>
    <x v="9"/>
    <x v="2"/>
    <x v="7"/>
    <x v="212"/>
    <x v="2"/>
    <x v="272"/>
    <x v="283"/>
    <x v="283"/>
    <x v="4"/>
  </r>
  <r>
    <x v="284"/>
    <x v="270"/>
    <x v="2"/>
    <x v="8"/>
    <x v="1"/>
    <x v="3"/>
    <x v="9"/>
    <x v="16"/>
    <x v="0"/>
    <x v="2"/>
    <x v="1"/>
    <x v="5"/>
    <x v="47"/>
    <x v="3"/>
    <x v="273"/>
    <x v="284"/>
    <x v="284"/>
    <x v="0"/>
  </r>
  <r>
    <x v="285"/>
    <x v="271"/>
    <x v="8"/>
    <x v="11"/>
    <x v="1"/>
    <x v="4"/>
    <x v="10"/>
    <x v="50"/>
    <x v="1"/>
    <x v="5"/>
    <x v="2"/>
    <x v="5"/>
    <x v="213"/>
    <x v="4"/>
    <x v="274"/>
    <x v="285"/>
    <x v="285"/>
    <x v="4"/>
  </r>
  <r>
    <x v="286"/>
    <x v="272"/>
    <x v="4"/>
    <x v="7"/>
    <x v="1"/>
    <x v="2"/>
    <x v="11"/>
    <x v="37"/>
    <x v="0"/>
    <x v="2"/>
    <x v="0"/>
    <x v="0"/>
    <x v="214"/>
    <x v="1"/>
    <x v="275"/>
    <x v="286"/>
    <x v="286"/>
    <x v="2"/>
  </r>
  <r>
    <x v="287"/>
    <x v="273"/>
    <x v="4"/>
    <x v="7"/>
    <x v="1"/>
    <x v="0"/>
    <x v="6"/>
    <x v="11"/>
    <x v="0"/>
    <x v="9"/>
    <x v="1"/>
    <x v="2"/>
    <x v="215"/>
    <x v="2"/>
    <x v="276"/>
    <x v="287"/>
    <x v="287"/>
    <x v="2"/>
  </r>
  <r>
    <x v="288"/>
    <x v="274"/>
    <x v="3"/>
    <x v="1"/>
    <x v="1"/>
    <x v="0"/>
    <x v="15"/>
    <x v="46"/>
    <x v="0"/>
    <x v="8"/>
    <x v="0"/>
    <x v="6"/>
    <x v="74"/>
    <x v="1"/>
    <x v="237"/>
    <x v="288"/>
    <x v="288"/>
    <x v="3"/>
  </r>
  <r>
    <x v="289"/>
    <x v="275"/>
    <x v="7"/>
    <x v="6"/>
    <x v="1"/>
    <x v="3"/>
    <x v="4"/>
    <x v="6"/>
    <x v="2"/>
    <x v="9"/>
    <x v="0"/>
    <x v="6"/>
    <x v="186"/>
    <x v="3"/>
    <x v="277"/>
    <x v="289"/>
    <x v="289"/>
    <x v="2"/>
  </r>
  <r>
    <x v="290"/>
    <x v="276"/>
    <x v="2"/>
    <x v="12"/>
    <x v="4"/>
    <x v="1"/>
    <x v="5"/>
    <x v="51"/>
    <x v="0"/>
    <x v="10"/>
    <x v="2"/>
    <x v="6"/>
    <x v="216"/>
    <x v="2"/>
    <x v="278"/>
    <x v="290"/>
    <x v="290"/>
    <x v="4"/>
  </r>
  <r>
    <x v="291"/>
    <x v="277"/>
    <x v="6"/>
    <x v="7"/>
    <x v="1"/>
    <x v="3"/>
    <x v="9"/>
    <x v="16"/>
    <x v="2"/>
    <x v="7"/>
    <x v="0"/>
    <x v="8"/>
    <x v="217"/>
    <x v="4"/>
    <x v="279"/>
    <x v="291"/>
    <x v="291"/>
    <x v="2"/>
  </r>
  <r>
    <x v="292"/>
    <x v="278"/>
    <x v="3"/>
    <x v="1"/>
    <x v="1"/>
    <x v="1"/>
    <x v="16"/>
    <x v="33"/>
    <x v="0"/>
    <x v="7"/>
    <x v="0"/>
    <x v="2"/>
    <x v="148"/>
    <x v="1"/>
    <x v="280"/>
    <x v="292"/>
    <x v="292"/>
    <x v="0"/>
  </r>
  <r>
    <x v="293"/>
    <x v="279"/>
    <x v="2"/>
    <x v="9"/>
    <x v="1"/>
    <x v="4"/>
    <x v="12"/>
    <x v="21"/>
    <x v="0"/>
    <x v="8"/>
    <x v="0"/>
    <x v="7"/>
    <x v="218"/>
    <x v="0"/>
    <x v="281"/>
    <x v="293"/>
    <x v="293"/>
    <x v="4"/>
  </r>
  <r>
    <x v="294"/>
    <x v="280"/>
    <x v="2"/>
    <x v="9"/>
    <x v="1"/>
    <x v="0"/>
    <x v="13"/>
    <x v="29"/>
    <x v="1"/>
    <x v="5"/>
    <x v="0"/>
    <x v="5"/>
    <x v="51"/>
    <x v="1"/>
    <x v="282"/>
    <x v="294"/>
    <x v="294"/>
    <x v="1"/>
  </r>
  <r>
    <x v="295"/>
    <x v="281"/>
    <x v="4"/>
    <x v="11"/>
    <x v="1"/>
    <x v="3"/>
    <x v="8"/>
    <x v="17"/>
    <x v="0"/>
    <x v="6"/>
    <x v="1"/>
    <x v="0"/>
    <x v="219"/>
    <x v="4"/>
    <x v="283"/>
    <x v="295"/>
    <x v="295"/>
    <x v="4"/>
  </r>
  <r>
    <x v="296"/>
    <x v="282"/>
    <x v="4"/>
    <x v="4"/>
    <x v="1"/>
    <x v="0"/>
    <x v="13"/>
    <x v="22"/>
    <x v="2"/>
    <x v="0"/>
    <x v="1"/>
    <x v="9"/>
    <x v="220"/>
    <x v="1"/>
    <x v="208"/>
    <x v="296"/>
    <x v="296"/>
    <x v="0"/>
  </r>
  <r>
    <x v="297"/>
    <x v="159"/>
    <x v="3"/>
    <x v="4"/>
    <x v="1"/>
    <x v="0"/>
    <x v="0"/>
    <x v="43"/>
    <x v="0"/>
    <x v="2"/>
    <x v="2"/>
    <x v="5"/>
    <x v="48"/>
    <x v="4"/>
    <x v="284"/>
    <x v="297"/>
    <x v="297"/>
    <x v="0"/>
  </r>
  <r>
    <x v="298"/>
    <x v="283"/>
    <x v="4"/>
    <x v="7"/>
    <x v="1"/>
    <x v="1"/>
    <x v="16"/>
    <x v="48"/>
    <x v="1"/>
    <x v="7"/>
    <x v="0"/>
    <x v="6"/>
    <x v="221"/>
    <x v="1"/>
    <x v="285"/>
    <x v="298"/>
    <x v="298"/>
    <x v="2"/>
  </r>
  <r>
    <x v="299"/>
    <x v="284"/>
    <x v="5"/>
    <x v="8"/>
    <x v="1"/>
    <x v="0"/>
    <x v="0"/>
    <x v="43"/>
    <x v="1"/>
    <x v="1"/>
    <x v="1"/>
    <x v="5"/>
    <x v="157"/>
    <x v="3"/>
    <x v="286"/>
    <x v="299"/>
    <x v="299"/>
    <x v="4"/>
  </r>
  <r>
    <x v="300"/>
    <x v="285"/>
    <x v="5"/>
    <x v="11"/>
    <x v="1"/>
    <x v="2"/>
    <x v="11"/>
    <x v="19"/>
    <x v="1"/>
    <x v="1"/>
    <x v="2"/>
    <x v="9"/>
    <x v="222"/>
    <x v="0"/>
    <x v="287"/>
    <x v="300"/>
    <x v="300"/>
    <x v="3"/>
  </r>
  <r>
    <x v="301"/>
    <x v="286"/>
    <x v="8"/>
    <x v="4"/>
    <x v="1"/>
    <x v="3"/>
    <x v="9"/>
    <x v="35"/>
    <x v="2"/>
    <x v="6"/>
    <x v="0"/>
    <x v="9"/>
    <x v="89"/>
    <x v="3"/>
    <x v="288"/>
    <x v="301"/>
    <x v="301"/>
    <x v="2"/>
  </r>
  <r>
    <x v="302"/>
    <x v="287"/>
    <x v="2"/>
    <x v="12"/>
    <x v="4"/>
    <x v="4"/>
    <x v="10"/>
    <x v="50"/>
    <x v="0"/>
    <x v="8"/>
    <x v="0"/>
    <x v="2"/>
    <x v="223"/>
    <x v="1"/>
    <x v="289"/>
    <x v="302"/>
    <x v="302"/>
    <x v="3"/>
  </r>
  <r>
    <x v="303"/>
    <x v="288"/>
    <x v="7"/>
    <x v="6"/>
    <x v="1"/>
    <x v="3"/>
    <x v="14"/>
    <x v="26"/>
    <x v="2"/>
    <x v="11"/>
    <x v="0"/>
    <x v="3"/>
    <x v="91"/>
    <x v="0"/>
    <x v="290"/>
    <x v="303"/>
    <x v="303"/>
    <x v="1"/>
  </r>
  <r>
    <x v="304"/>
    <x v="289"/>
    <x v="8"/>
    <x v="1"/>
    <x v="1"/>
    <x v="3"/>
    <x v="8"/>
    <x v="18"/>
    <x v="0"/>
    <x v="1"/>
    <x v="1"/>
    <x v="2"/>
    <x v="107"/>
    <x v="1"/>
    <x v="277"/>
    <x v="304"/>
    <x v="304"/>
    <x v="3"/>
  </r>
  <r>
    <x v="305"/>
    <x v="290"/>
    <x v="11"/>
    <x v="1"/>
    <x v="1"/>
    <x v="4"/>
    <x v="12"/>
    <x v="20"/>
    <x v="1"/>
    <x v="7"/>
    <x v="1"/>
    <x v="1"/>
    <x v="73"/>
    <x v="0"/>
    <x v="291"/>
    <x v="305"/>
    <x v="305"/>
    <x v="0"/>
  </r>
  <r>
    <x v="306"/>
    <x v="291"/>
    <x v="7"/>
    <x v="7"/>
    <x v="1"/>
    <x v="0"/>
    <x v="13"/>
    <x v="22"/>
    <x v="2"/>
    <x v="0"/>
    <x v="2"/>
    <x v="7"/>
    <x v="118"/>
    <x v="1"/>
    <x v="292"/>
    <x v="306"/>
    <x v="306"/>
    <x v="1"/>
  </r>
  <r>
    <x v="307"/>
    <x v="292"/>
    <x v="5"/>
    <x v="2"/>
    <x v="1"/>
    <x v="2"/>
    <x v="11"/>
    <x v="19"/>
    <x v="1"/>
    <x v="9"/>
    <x v="0"/>
    <x v="5"/>
    <x v="143"/>
    <x v="1"/>
    <x v="159"/>
    <x v="307"/>
    <x v="307"/>
    <x v="1"/>
  </r>
  <r>
    <x v="308"/>
    <x v="293"/>
    <x v="4"/>
    <x v="12"/>
    <x v="4"/>
    <x v="0"/>
    <x v="13"/>
    <x v="25"/>
    <x v="2"/>
    <x v="9"/>
    <x v="0"/>
    <x v="1"/>
    <x v="224"/>
    <x v="3"/>
    <x v="136"/>
    <x v="308"/>
    <x v="308"/>
    <x v="0"/>
  </r>
  <r>
    <x v="309"/>
    <x v="294"/>
    <x v="1"/>
    <x v="4"/>
    <x v="1"/>
    <x v="0"/>
    <x v="6"/>
    <x v="11"/>
    <x v="1"/>
    <x v="3"/>
    <x v="2"/>
    <x v="3"/>
    <x v="15"/>
    <x v="1"/>
    <x v="293"/>
    <x v="309"/>
    <x v="309"/>
    <x v="1"/>
  </r>
  <r>
    <x v="310"/>
    <x v="295"/>
    <x v="3"/>
    <x v="10"/>
    <x v="1"/>
    <x v="0"/>
    <x v="15"/>
    <x v="32"/>
    <x v="1"/>
    <x v="7"/>
    <x v="0"/>
    <x v="2"/>
    <x v="225"/>
    <x v="4"/>
    <x v="294"/>
    <x v="310"/>
    <x v="310"/>
    <x v="2"/>
  </r>
  <r>
    <x v="311"/>
    <x v="296"/>
    <x v="8"/>
    <x v="2"/>
    <x v="1"/>
    <x v="4"/>
    <x v="12"/>
    <x v="23"/>
    <x v="1"/>
    <x v="8"/>
    <x v="0"/>
    <x v="0"/>
    <x v="226"/>
    <x v="3"/>
    <x v="295"/>
    <x v="311"/>
    <x v="311"/>
    <x v="2"/>
  </r>
  <r>
    <x v="312"/>
    <x v="32"/>
    <x v="3"/>
    <x v="10"/>
    <x v="1"/>
    <x v="2"/>
    <x v="17"/>
    <x v="52"/>
    <x v="2"/>
    <x v="8"/>
    <x v="1"/>
    <x v="5"/>
    <x v="227"/>
    <x v="0"/>
    <x v="296"/>
    <x v="312"/>
    <x v="312"/>
    <x v="0"/>
  </r>
  <r>
    <x v="313"/>
    <x v="297"/>
    <x v="6"/>
    <x v="7"/>
    <x v="1"/>
    <x v="4"/>
    <x v="12"/>
    <x v="21"/>
    <x v="0"/>
    <x v="6"/>
    <x v="1"/>
    <x v="3"/>
    <x v="228"/>
    <x v="0"/>
    <x v="297"/>
    <x v="313"/>
    <x v="313"/>
    <x v="3"/>
  </r>
  <r>
    <x v="314"/>
    <x v="298"/>
    <x v="1"/>
    <x v="8"/>
    <x v="1"/>
    <x v="0"/>
    <x v="6"/>
    <x v="11"/>
    <x v="1"/>
    <x v="0"/>
    <x v="2"/>
    <x v="6"/>
    <x v="174"/>
    <x v="1"/>
    <x v="298"/>
    <x v="314"/>
    <x v="314"/>
    <x v="3"/>
  </r>
  <r>
    <x v="315"/>
    <x v="299"/>
    <x v="11"/>
    <x v="9"/>
    <x v="1"/>
    <x v="4"/>
    <x v="10"/>
    <x v="27"/>
    <x v="0"/>
    <x v="11"/>
    <x v="1"/>
    <x v="2"/>
    <x v="97"/>
    <x v="0"/>
    <x v="299"/>
    <x v="315"/>
    <x v="315"/>
    <x v="4"/>
  </r>
  <r>
    <x v="316"/>
    <x v="133"/>
    <x v="1"/>
    <x v="5"/>
    <x v="1"/>
    <x v="3"/>
    <x v="14"/>
    <x v="26"/>
    <x v="1"/>
    <x v="8"/>
    <x v="2"/>
    <x v="3"/>
    <x v="229"/>
    <x v="0"/>
    <x v="300"/>
    <x v="316"/>
    <x v="316"/>
    <x v="3"/>
  </r>
  <r>
    <x v="317"/>
    <x v="300"/>
    <x v="10"/>
    <x v="4"/>
    <x v="1"/>
    <x v="0"/>
    <x v="15"/>
    <x v="46"/>
    <x v="2"/>
    <x v="7"/>
    <x v="0"/>
    <x v="5"/>
    <x v="47"/>
    <x v="1"/>
    <x v="301"/>
    <x v="317"/>
    <x v="317"/>
    <x v="2"/>
  </r>
  <r>
    <x v="318"/>
    <x v="301"/>
    <x v="4"/>
    <x v="2"/>
    <x v="1"/>
    <x v="1"/>
    <x v="16"/>
    <x v="49"/>
    <x v="0"/>
    <x v="7"/>
    <x v="1"/>
    <x v="9"/>
    <x v="230"/>
    <x v="1"/>
    <x v="302"/>
    <x v="318"/>
    <x v="318"/>
    <x v="0"/>
  </r>
  <r>
    <x v="319"/>
    <x v="302"/>
    <x v="0"/>
    <x v="7"/>
    <x v="1"/>
    <x v="1"/>
    <x v="16"/>
    <x v="33"/>
    <x v="1"/>
    <x v="6"/>
    <x v="1"/>
    <x v="0"/>
    <x v="231"/>
    <x v="1"/>
    <x v="303"/>
    <x v="319"/>
    <x v="319"/>
    <x v="3"/>
  </r>
  <r>
    <x v="320"/>
    <x v="213"/>
    <x v="3"/>
    <x v="10"/>
    <x v="0"/>
    <x v="3"/>
    <x v="9"/>
    <x v="16"/>
    <x v="0"/>
    <x v="10"/>
    <x v="1"/>
    <x v="7"/>
    <x v="223"/>
    <x v="1"/>
    <x v="304"/>
    <x v="320"/>
    <x v="320"/>
    <x v="3"/>
  </r>
  <r>
    <x v="321"/>
    <x v="303"/>
    <x v="0"/>
    <x v="5"/>
    <x v="0"/>
    <x v="3"/>
    <x v="9"/>
    <x v="35"/>
    <x v="2"/>
    <x v="2"/>
    <x v="1"/>
    <x v="4"/>
    <x v="134"/>
    <x v="4"/>
    <x v="305"/>
    <x v="321"/>
    <x v="321"/>
    <x v="2"/>
  </r>
  <r>
    <x v="322"/>
    <x v="304"/>
    <x v="6"/>
    <x v="6"/>
    <x v="1"/>
    <x v="3"/>
    <x v="8"/>
    <x v="17"/>
    <x v="2"/>
    <x v="3"/>
    <x v="0"/>
    <x v="7"/>
    <x v="232"/>
    <x v="0"/>
    <x v="306"/>
    <x v="322"/>
    <x v="322"/>
    <x v="3"/>
  </r>
  <r>
    <x v="323"/>
    <x v="305"/>
    <x v="1"/>
    <x v="3"/>
    <x v="1"/>
    <x v="2"/>
    <x v="17"/>
    <x v="39"/>
    <x v="1"/>
    <x v="8"/>
    <x v="1"/>
    <x v="1"/>
    <x v="233"/>
    <x v="4"/>
    <x v="307"/>
    <x v="323"/>
    <x v="323"/>
    <x v="2"/>
  </r>
  <r>
    <x v="324"/>
    <x v="306"/>
    <x v="10"/>
    <x v="9"/>
    <x v="1"/>
    <x v="0"/>
    <x v="6"/>
    <x v="11"/>
    <x v="1"/>
    <x v="4"/>
    <x v="0"/>
    <x v="5"/>
    <x v="234"/>
    <x v="4"/>
    <x v="308"/>
    <x v="324"/>
    <x v="324"/>
    <x v="2"/>
  </r>
  <r>
    <x v="325"/>
    <x v="307"/>
    <x v="0"/>
    <x v="5"/>
    <x v="1"/>
    <x v="0"/>
    <x v="15"/>
    <x v="41"/>
    <x v="1"/>
    <x v="2"/>
    <x v="1"/>
    <x v="1"/>
    <x v="71"/>
    <x v="1"/>
    <x v="309"/>
    <x v="325"/>
    <x v="325"/>
    <x v="1"/>
  </r>
  <r>
    <x v="326"/>
    <x v="308"/>
    <x v="6"/>
    <x v="1"/>
    <x v="1"/>
    <x v="4"/>
    <x v="12"/>
    <x v="20"/>
    <x v="0"/>
    <x v="1"/>
    <x v="0"/>
    <x v="3"/>
    <x v="235"/>
    <x v="0"/>
    <x v="310"/>
    <x v="326"/>
    <x v="326"/>
    <x v="4"/>
  </r>
  <r>
    <x v="327"/>
    <x v="309"/>
    <x v="1"/>
    <x v="9"/>
    <x v="1"/>
    <x v="4"/>
    <x v="12"/>
    <x v="23"/>
    <x v="2"/>
    <x v="6"/>
    <x v="1"/>
    <x v="8"/>
    <x v="233"/>
    <x v="4"/>
    <x v="311"/>
    <x v="327"/>
    <x v="327"/>
    <x v="1"/>
  </r>
  <r>
    <x v="328"/>
    <x v="310"/>
    <x v="4"/>
    <x v="8"/>
    <x v="1"/>
    <x v="4"/>
    <x v="10"/>
    <x v="50"/>
    <x v="2"/>
    <x v="3"/>
    <x v="2"/>
    <x v="5"/>
    <x v="236"/>
    <x v="0"/>
    <x v="215"/>
    <x v="328"/>
    <x v="328"/>
    <x v="4"/>
  </r>
  <r>
    <x v="329"/>
    <x v="311"/>
    <x v="4"/>
    <x v="8"/>
    <x v="1"/>
    <x v="1"/>
    <x v="2"/>
    <x v="13"/>
    <x v="2"/>
    <x v="10"/>
    <x v="1"/>
    <x v="7"/>
    <x v="1"/>
    <x v="1"/>
    <x v="312"/>
    <x v="329"/>
    <x v="329"/>
    <x v="2"/>
  </r>
  <r>
    <x v="330"/>
    <x v="312"/>
    <x v="4"/>
    <x v="1"/>
    <x v="1"/>
    <x v="4"/>
    <x v="10"/>
    <x v="50"/>
    <x v="2"/>
    <x v="4"/>
    <x v="0"/>
    <x v="0"/>
    <x v="237"/>
    <x v="0"/>
    <x v="313"/>
    <x v="330"/>
    <x v="330"/>
    <x v="0"/>
  </r>
  <r>
    <x v="331"/>
    <x v="313"/>
    <x v="4"/>
    <x v="1"/>
    <x v="1"/>
    <x v="2"/>
    <x v="7"/>
    <x v="30"/>
    <x v="1"/>
    <x v="10"/>
    <x v="2"/>
    <x v="2"/>
    <x v="151"/>
    <x v="4"/>
    <x v="314"/>
    <x v="331"/>
    <x v="331"/>
    <x v="0"/>
  </r>
  <r>
    <x v="332"/>
    <x v="307"/>
    <x v="0"/>
    <x v="5"/>
    <x v="1"/>
    <x v="4"/>
    <x v="12"/>
    <x v="21"/>
    <x v="1"/>
    <x v="0"/>
    <x v="1"/>
    <x v="9"/>
    <x v="238"/>
    <x v="4"/>
    <x v="315"/>
    <x v="332"/>
    <x v="332"/>
    <x v="1"/>
  </r>
  <r>
    <x v="333"/>
    <x v="314"/>
    <x v="1"/>
    <x v="1"/>
    <x v="1"/>
    <x v="3"/>
    <x v="14"/>
    <x v="26"/>
    <x v="1"/>
    <x v="1"/>
    <x v="1"/>
    <x v="4"/>
    <x v="47"/>
    <x v="3"/>
    <x v="53"/>
    <x v="333"/>
    <x v="333"/>
    <x v="1"/>
  </r>
  <r>
    <x v="334"/>
    <x v="315"/>
    <x v="1"/>
    <x v="2"/>
    <x v="1"/>
    <x v="4"/>
    <x v="10"/>
    <x v="27"/>
    <x v="1"/>
    <x v="3"/>
    <x v="1"/>
    <x v="7"/>
    <x v="239"/>
    <x v="4"/>
    <x v="316"/>
    <x v="334"/>
    <x v="334"/>
    <x v="2"/>
  </r>
  <r>
    <x v="335"/>
    <x v="316"/>
    <x v="3"/>
    <x v="11"/>
    <x v="1"/>
    <x v="1"/>
    <x v="16"/>
    <x v="33"/>
    <x v="2"/>
    <x v="0"/>
    <x v="1"/>
    <x v="3"/>
    <x v="240"/>
    <x v="1"/>
    <x v="317"/>
    <x v="335"/>
    <x v="335"/>
    <x v="4"/>
  </r>
  <r>
    <x v="336"/>
    <x v="317"/>
    <x v="3"/>
    <x v="10"/>
    <x v="1"/>
    <x v="0"/>
    <x v="6"/>
    <x v="11"/>
    <x v="1"/>
    <x v="9"/>
    <x v="0"/>
    <x v="3"/>
    <x v="8"/>
    <x v="1"/>
    <x v="249"/>
    <x v="336"/>
    <x v="336"/>
    <x v="1"/>
  </r>
  <r>
    <x v="337"/>
    <x v="318"/>
    <x v="2"/>
    <x v="4"/>
    <x v="1"/>
    <x v="0"/>
    <x v="13"/>
    <x v="25"/>
    <x v="2"/>
    <x v="2"/>
    <x v="2"/>
    <x v="0"/>
    <x v="48"/>
    <x v="1"/>
    <x v="318"/>
    <x v="337"/>
    <x v="337"/>
    <x v="2"/>
  </r>
  <r>
    <x v="338"/>
    <x v="319"/>
    <x v="0"/>
    <x v="2"/>
    <x v="1"/>
    <x v="1"/>
    <x v="5"/>
    <x v="45"/>
    <x v="0"/>
    <x v="0"/>
    <x v="1"/>
    <x v="4"/>
    <x v="241"/>
    <x v="3"/>
    <x v="319"/>
    <x v="338"/>
    <x v="338"/>
    <x v="2"/>
  </r>
  <r>
    <x v="339"/>
    <x v="320"/>
    <x v="8"/>
    <x v="4"/>
    <x v="1"/>
    <x v="1"/>
    <x v="2"/>
    <x v="47"/>
    <x v="2"/>
    <x v="10"/>
    <x v="2"/>
    <x v="1"/>
    <x v="87"/>
    <x v="1"/>
    <x v="320"/>
    <x v="339"/>
    <x v="339"/>
    <x v="3"/>
  </r>
  <r>
    <x v="340"/>
    <x v="303"/>
    <x v="0"/>
    <x v="5"/>
    <x v="4"/>
    <x v="1"/>
    <x v="1"/>
    <x v="4"/>
    <x v="2"/>
    <x v="8"/>
    <x v="2"/>
    <x v="1"/>
    <x v="242"/>
    <x v="1"/>
    <x v="321"/>
    <x v="340"/>
    <x v="340"/>
    <x v="2"/>
  </r>
  <r>
    <x v="341"/>
    <x v="321"/>
    <x v="2"/>
    <x v="8"/>
    <x v="1"/>
    <x v="4"/>
    <x v="10"/>
    <x v="50"/>
    <x v="1"/>
    <x v="9"/>
    <x v="0"/>
    <x v="0"/>
    <x v="1"/>
    <x v="1"/>
    <x v="322"/>
    <x v="341"/>
    <x v="341"/>
    <x v="4"/>
  </r>
  <r>
    <x v="342"/>
    <x v="322"/>
    <x v="1"/>
    <x v="11"/>
    <x v="1"/>
    <x v="1"/>
    <x v="2"/>
    <x v="3"/>
    <x v="1"/>
    <x v="1"/>
    <x v="0"/>
    <x v="2"/>
    <x v="243"/>
    <x v="2"/>
    <x v="323"/>
    <x v="342"/>
    <x v="342"/>
    <x v="2"/>
  </r>
  <r>
    <x v="343"/>
    <x v="323"/>
    <x v="9"/>
    <x v="0"/>
    <x v="0"/>
    <x v="3"/>
    <x v="9"/>
    <x v="35"/>
    <x v="0"/>
    <x v="9"/>
    <x v="0"/>
    <x v="2"/>
    <x v="244"/>
    <x v="1"/>
    <x v="324"/>
    <x v="343"/>
    <x v="343"/>
    <x v="0"/>
  </r>
  <r>
    <x v="344"/>
    <x v="324"/>
    <x v="9"/>
    <x v="7"/>
    <x v="1"/>
    <x v="2"/>
    <x v="11"/>
    <x v="37"/>
    <x v="0"/>
    <x v="5"/>
    <x v="2"/>
    <x v="8"/>
    <x v="245"/>
    <x v="1"/>
    <x v="325"/>
    <x v="344"/>
    <x v="344"/>
    <x v="2"/>
  </r>
  <r>
    <x v="345"/>
    <x v="91"/>
    <x v="0"/>
    <x v="5"/>
    <x v="1"/>
    <x v="2"/>
    <x v="7"/>
    <x v="10"/>
    <x v="1"/>
    <x v="6"/>
    <x v="0"/>
    <x v="2"/>
    <x v="246"/>
    <x v="3"/>
    <x v="326"/>
    <x v="345"/>
    <x v="345"/>
    <x v="0"/>
  </r>
  <r>
    <x v="346"/>
    <x v="325"/>
    <x v="7"/>
    <x v="6"/>
    <x v="1"/>
    <x v="2"/>
    <x v="17"/>
    <x v="52"/>
    <x v="2"/>
    <x v="0"/>
    <x v="1"/>
    <x v="5"/>
    <x v="247"/>
    <x v="1"/>
    <x v="327"/>
    <x v="346"/>
    <x v="346"/>
    <x v="4"/>
  </r>
  <r>
    <x v="347"/>
    <x v="72"/>
    <x v="7"/>
    <x v="6"/>
    <x v="1"/>
    <x v="2"/>
    <x v="3"/>
    <x v="5"/>
    <x v="1"/>
    <x v="9"/>
    <x v="0"/>
    <x v="4"/>
    <x v="248"/>
    <x v="2"/>
    <x v="328"/>
    <x v="347"/>
    <x v="347"/>
    <x v="1"/>
  </r>
  <r>
    <x v="348"/>
    <x v="113"/>
    <x v="1"/>
    <x v="9"/>
    <x v="1"/>
    <x v="2"/>
    <x v="7"/>
    <x v="10"/>
    <x v="1"/>
    <x v="3"/>
    <x v="2"/>
    <x v="0"/>
    <x v="249"/>
    <x v="2"/>
    <x v="329"/>
    <x v="348"/>
    <x v="348"/>
    <x v="3"/>
  </r>
  <r>
    <x v="349"/>
    <x v="326"/>
    <x v="3"/>
    <x v="10"/>
    <x v="1"/>
    <x v="1"/>
    <x v="16"/>
    <x v="33"/>
    <x v="0"/>
    <x v="11"/>
    <x v="0"/>
    <x v="3"/>
    <x v="250"/>
    <x v="4"/>
    <x v="330"/>
    <x v="349"/>
    <x v="349"/>
    <x v="4"/>
  </r>
  <r>
    <x v="350"/>
    <x v="327"/>
    <x v="0"/>
    <x v="9"/>
    <x v="1"/>
    <x v="4"/>
    <x v="10"/>
    <x v="27"/>
    <x v="0"/>
    <x v="3"/>
    <x v="2"/>
    <x v="5"/>
    <x v="251"/>
    <x v="0"/>
    <x v="331"/>
    <x v="350"/>
    <x v="350"/>
    <x v="2"/>
  </r>
  <r>
    <x v="351"/>
    <x v="328"/>
    <x v="2"/>
    <x v="7"/>
    <x v="1"/>
    <x v="1"/>
    <x v="1"/>
    <x v="44"/>
    <x v="0"/>
    <x v="7"/>
    <x v="1"/>
    <x v="8"/>
    <x v="252"/>
    <x v="2"/>
    <x v="332"/>
    <x v="351"/>
    <x v="351"/>
    <x v="0"/>
  </r>
  <r>
    <x v="352"/>
    <x v="329"/>
    <x v="3"/>
    <x v="8"/>
    <x v="1"/>
    <x v="1"/>
    <x v="2"/>
    <x v="47"/>
    <x v="1"/>
    <x v="10"/>
    <x v="0"/>
    <x v="4"/>
    <x v="94"/>
    <x v="1"/>
    <x v="333"/>
    <x v="352"/>
    <x v="352"/>
    <x v="4"/>
  </r>
  <r>
    <x v="353"/>
    <x v="40"/>
    <x v="5"/>
    <x v="10"/>
    <x v="1"/>
    <x v="2"/>
    <x v="11"/>
    <x v="37"/>
    <x v="1"/>
    <x v="9"/>
    <x v="2"/>
    <x v="4"/>
    <x v="207"/>
    <x v="0"/>
    <x v="334"/>
    <x v="353"/>
    <x v="353"/>
    <x v="3"/>
  </r>
  <r>
    <x v="354"/>
    <x v="330"/>
    <x v="1"/>
    <x v="2"/>
    <x v="1"/>
    <x v="0"/>
    <x v="15"/>
    <x v="46"/>
    <x v="0"/>
    <x v="2"/>
    <x v="0"/>
    <x v="1"/>
    <x v="253"/>
    <x v="1"/>
    <x v="335"/>
    <x v="354"/>
    <x v="354"/>
    <x v="0"/>
  </r>
  <r>
    <x v="355"/>
    <x v="331"/>
    <x v="8"/>
    <x v="8"/>
    <x v="1"/>
    <x v="2"/>
    <x v="3"/>
    <x v="28"/>
    <x v="2"/>
    <x v="8"/>
    <x v="1"/>
    <x v="3"/>
    <x v="254"/>
    <x v="1"/>
    <x v="336"/>
    <x v="355"/>
    <x v="355"/>
    <x v="3"/>
  </r>
  <r>
    <x v="356"/>
    <x v="332"/>
    <x v="5"/>
    <x v="9"/>
    <x v="1"/>
    <x v="1"/>
    <x v="5"/>
    <x v="51"/>
    <x v="1"/>
    <x v="0"/>
    <x v="1"/>
    <x v="8"/>
    <x v="255"/>
    <x v="0"/>
    <x v="337"/>
    <x v="356"/>
    <x v="356"/>
    <x v="3"/>
  </r>
  <r>
    <x v="357"/>
    <x v="333"/>
    <x v="2"/>
    <x v="1"/>
    <x v="1"/>
    <x v="1"/>
    <x v="2"/>
    <x v="13"/>
    <x v="2"/>
    <x v="11"/>
    <x v="1"/>
    <x v="1"/>
    <x v="216"/>
    <x v="3"/>
    <x v="338"/>
    <x v="357"/>
    <x v="357"/>
    <x v="2"/>
  </r>
  <r>
    <x v="358"/>
    <x v="334"/>
    <x v="0"/>
    <x v="5"/>
    <x v="1"/>
    <x v="3"/>
    <x v="8"/>
    <x v="18"/>
    <x v="0"/>
    <x v="0"/>
    <x v="2"/>
    <x v="2"/>
    <x v="256"/>
    <x v="4"/>
    <x v="339"/>
    <x v="358"/>
    <x v="358"/>
    <x v="3"/>
  </r>
  <r>
    <x v="359"/>
    <x v="335"/>
    <x v="6"/>
    <x v="2"/>
    <x v="1"/>
    <x v="3"/>
    <x v="8"/>
    <x v="18"/>
    <x v="0"/>
    <x v="2"/>
    <x v="1"/>
    <x v="9"/>
    <x v="153"/>
    <x v="4"/>
    <x v="340"/>
    <x v="359"/>
    <x v="359"/>
    <x v="2"/>
  </r>
  <r>
    <x v="360"/>
    <x v="336"/>
    <x v="2"/>
    <x v="1"/>
    <x v="1"/>
    <x v="0"/>
    <x v="0"/>
    <x v="43"/>
    <x v="2"/>
    <x v="6"/>
    <x v="1"/>
    <x v="7"/>
    <x v="235"/>
    <x v="0"/>
    <x v="341"/>
    <x v="360"/>
    <x v="360"/>
    <x v="1"/>
  </r>
  <r>
    <x v="361"/>
    <x v="337"/>
    <x v="0"/>
    <x v="11"/>
    <x v="1"/>
    <x v="0"/>
    <x v="15"/>
    <x v="32"/>
    <x v="1"/>
    <x v="11"/>
    <x v="0"/>
    <x v="1"/>
    <x v="257"/>
    <x v="4"/>
    <x v="342"/>
    <x v="361"/>
    <x v="361"/>
    <x v="2"/>
  </r>
  <r>
    <x v="362"/>
    <x v="338"/>
    <x v="1"/>
    <x v="9"/>
    <x v="1"/>
    <x v="3"/>
    <x v="14"/>
    <x v="40"/>
    <x v="1"/>
    <x v="8"/>
    <x v="2"/>
    <x v="5"/>
    <x v="258"/>
    <x v="2"/>
    <x v="343"/>
    <x v="362"/>
    <x v="362"/>
    <x v="1"/>
  </r>
  <r>
    <x v="363"/>
    <x v="339"/>
    <x v="11"/>
    <x v="9"/>
    <x v="1"/>
    <x v="1"/>
    <x v="16"/>
    <x v="48"/>
    <x v="2"/>
    <x v="3"/>
    <x v="0"/>
    <x v="1"/>
    <x v="116"/>
    <x v="1"/>
    <x v="344"/>
    <x v="363"/>
    <x v="363"/>
    <x v="2"/>
  </r>
  <r>
    <x v="364"/>
    <x v="340"/>
    <x v="3"/>
    <x v="9"/>
    <x v="1"/>
    <x v="1"/>
    <x v="1"/>
    <x v="1"/>
    <x v="1"/>
    <x v="2"/>
    <x v="0"/>
    <x v="5"/>
    <x v="259"/>
    <x v="4"/>
    <x v="345"/>
    <x v="364"/>
    <x v="364"/>
    <x v="4"/>
  </r>
  <r>
    <x v="365"/>
    <x v="341"/>
    <x v="0"/>
    <x v="7"/>
    <x v="1"/>
    <x v="4"/>
    <x v="10"/>
    <x v="15"/>
    <x v="0"/>
    <x v="4"/>
    <x v="2"/>
    <x v="9"/>
    <x v="131"/>
    <x v="0"/>
    <x v="153"/>
    <x v="365"/>
    <x v="365"/>
    <x v="2"/>
  </r>
  <r>
    <x v="366"/>
    <x v="342"/>
    <x v="2"/>
    <x v="9"/>
    <x v="1"/>
    <x v="0"/>
    <x v="15"/>
    <x v="46"/>
    <x v="2"/>
    <x v="11"/>
    <x v="0"/>
    <x v="1"/>
    <x v="260"/>
    <x v="0"/>
    <x v="346"/>
    <x v="366"/>
    <x v="366"/>
    <x v="1"/>
  </r>
  <r>
    <x v="367"/>
    <x v="343"/>
    <x v="11"/>
    <x v="1"/>
    <x v="1"/>
    <x v="2"/>
    <x v="11"/>
    <x v="19"/>
    <x v="0"/>
    <x v="2"/>
    <x v="1"/>
    <x v="1"/>
    <x v="107"/>
    <x v="1"/>
    <x v="347"/>
    <x v="367"/>
    <x v="367"/>
    <x v="4"/>
  </r>
  <r>
    <x v="368"/>
    <x v="344"/>
    <x v="11"/>
    <x v="7"/>
    <x v="1"/>
    <x v="4"/>
    <x v="10"/>
    <x v="50"/>
    <x v="0"/>
    <x v="9"/>
    <x v="1"/>
    <x v="3"/>
    <x v="261"/>
    <x v="1"/>
    <x v="348"/>
    <x v="368"/>
    <x v="368"/>
    <x v="1"/>
  </r>
  <r>
    <x v="369"/>
    <x v="155"/>
    <x v="3"/>
    <x v="10"/>
    <x v="4"/>
    <x v="2"/>
    <x v="11"/>
    <x v="19"/>
    <x v="1"/>
    <x v="0"/>
    <x v="2"/>
    <x v="2"/>
    <x v="262"/>
    <x v="0"/>
    <x v="349"/>
    <x v="369"/>
    <x v="369"/>
    <x v="1"/>
  </r>
  <r>
    <x v="370"/>
    <x v="345"/>
    <x v="8"/>
    <x v="12"/>
    <x v="4"/>
    <x v="0"/>
    <x v="13"/>
    <x v="29"/>
    <x v="0"/>
    <x v="10"/>
    <x v="1"/>
    <x v="3"/>
    <x v="263"/>
    <x v="4"/>
    <x v="350"/>
    <x v="370"/>
    <x v="370"/>
    <x v="0"/>
  </r>
  <r>
    <x v="371"/>
    <x v="96"/>
    <x v="3"/>
    <x v="10"/>
    <x v="4"/>
    <x v="1"/>
    <x v="16"/>
    <x v="33"/>
    <x v="0"/>
    <x v="10"/>
    <x v="2"/>
    <x v="8"/>
    <x v="133"/>
    <x v="1"/>
    <x v="351"/>
    <x v="371"/>
    <x v="371"/>
    <x v="3"/>
  </r>
  <r>
    <x v="372"/>
    <x v="346"/>
    <x v="0"/>
    <x v="3"/>
    <x v="1"/>
    <x v="4"/>
    <x v="12"/>
    <x v="20"/>
    <x v="1"/>
    <x v="10"/>
    <x v="1"/>
    <x v="9"/>
    <x v="264"/>
    <x v="0"/>
    <x v="352"/>
    <x v="372"/>
    <x v="372"/>
    <x v="3"/>
  </r>
  <r>
    <x v="373"/>
    <x v="347"/>
    <x v="2"/>
    <x v="7"/>
    <x v="1"/>
    <x v="1"/>
    <x v="2"/>
    <x v="13"/>
    <x v="2"/>
    <x v="7"/>
    <x v="1"/>
    <x v="0"/>
    <x v="88"/>
    <x v="0"/>
    <x v="353"/>
    <x v="373"/>
    <x v="373"/>
    <x v="1"/>
  </r>
  <r>
    <x v="374"/>
    <x v="348"/>
    <x v="6"/>
    <x v="6"/>
    <x v="1"/>
    <x v="3"/>
    <x v="8"/>
    <x v="17"/>
    <x v="1"/>
    <x v="10"/>
    <x v="1"/>
    <x v="4"/>
    <x v="265"/>
    <x v="0"/>
    <x v="354"/>
    <x v="374"/>
    <x v="374"/>
    <x v="2"/>
  </r>
  <r>
    <x v="375"/>
    <x v="349"/>
    <x v="5"/>
    <x v="2"/>
    <x v="1"/>
    <x v="4"/>
    <x v="12"/>
    <x v="20"/>
    <x v="2"/>
    <x v="4"/>
    <x v="0"/>
    <x v="4"/>
    <x v="266"/>
    <x v="0"/>
    <x v="355"/>
    <x v="375"/>
    <x v="375"/>
    <x v="0"/>
  </r>
  <r>
    <x v="376"/>
    <x v="350"/>
    <x v="1"/>
    <x v="5"/>
    <x v="2"/>
    <x v="0"/>
    <x v="0"/>
    <x v="43"/>
    <x v="1"/>
    <x v="3"/>
    <x v="0"/>
    <x v="9"/>
    <x v="32"/>
    <x v="3"/>
    <x v="356"/>
    <x v="376"/>
    <x v="376"/>
    <x v="2"/>
  </r>
  <r>
    <x v="377"/>
    <x v="295"/>
    <x v="3"/>
    <x v="10"/>
    <x v="4"/>
    <x v="2"/>
    <x v="11"/>
    <x v="37"/>
    <x v="0"/>
    <x v="7"/>
    <x v="0"/>
    <x v="7"/>
    <x v="211"/>
    <x v="1"/>
    <x v="357"/>
    <x v="377"/>
    <x v="377"/>
    <x v="2"/>
  </r>
  <r>
    <x v="378"/>
    <x v="351"/>
    <x v="5"/>
    <x v="10"/>
    <x v="2"/>
    <x v="2"/>
    <x v="3"/>
    <x v="5"/>
    <x v="2"/>
    <x v="8"/>
    <x v="0"/>
    <x v="3"/>
    <x v="267"/>
    <x v="0"/>
    <x v="358"/>
    <x v="378"/>
    <x v="378"/>
    <x v="4"/>
  </r>
  <r>
    <x v="379"/>
    <x v="352"/>
    <x v="2"/>
    <x v="7"/>
    <x v="2"/>
    <x v="1"/>
    <x v="1"/>
    <x v="1"/>
    <x v="1"/>
    <x v="2"/>
    <x v="0"/>
    <x v="9"/>
    <x v="76"/>
    <x v="0"/>
    <x v="218"/>
    <x v="379"/>
    <x v="379"/>
    <x v="0"/>
  </r>
  <r>
    <x v="380"/>
    <x v="353"/>
    <x v="1"/>
    <x v="11"/>
    <x v="2"/>
    <x v="2"/>
    <x v="11"/>
    <x v="19"/>
    <x v="2"/>
    <x v="11"/>
    <x v="2"/>
    <x v="3"/>
    <x v="268"/>
    <x v="0"/>
    <x v="359"/>
    <x v="380"/>
    <x v="380"/>
    <x v="0"/>
  </r>
  <r>
    <x v="381"/>
    <x v="354"/>
    <x v="9"/>
    <x v="2"/>
    <x v="2"/>
    <x v="1"/>
    <x v="5"/>
    <x v="7"/>
    <x v="2"/>
    <x v="3"/>
    <x v="1"/>
    <x v="8"/>
    <x v="269"/>
    <x v="1"/>
    <x v="360"/>
    <x v="381"/>
    <x v="381"/>
    <x v="1"/>
  </r>
  <r>
    <x v="382"/>
    <x v="355"/>
    <x v="6"/>
    <x v="7"/>
    <x v="2"/>
    <x v="1"/>
    <x v="1"/>
    <x v="1"/>
    <x v="1"/>
    <x v="5"/>
    <x v="2"/>
    <x v="0"/>
    <x v="270"/>
    <x v="0"/>
    <x v="361"/>
    <x v="382"/>
    <x v="382"/>
    <x v="2"/>
  </r>
  <r>
    <x v="383"/>
    <x v="356"/>
    <x v="7"/>
    <x v="3"/>
    <x v="2"/>
    <x v="2"/>
    <x v="11"/>
    <x v="37"/>
    <x v="1"/>
    <x v="10"/>
    <x v="1"/>
    <x v="6"/>
    <x v="271"/>
    <x v="2"/>
    <x v="362"/>
    <x v="383"/>
    <x v="383"/>
    <x v="4"/>
  </r>
  <r>
    <x v="384"/>
    <x v="357"/>
    <x v="2"/>
    <x v="1"/>
    <x v="1"/>
    <x v="0"/>
    <x v="13"/>
    <x v="25"/>
    <x v="0"/>
    <x v="11"/>
    <x v="1"/>
    <x v="3"/>
    <x v="67"/>
    <x v="1"/>
    <x v="363"/>
    <x v="384"/>
    <x v="384"/>
    <x v="2"/>
  </r>
  <r>
    <x v="385"/>
    <x v="358"/>
    <x v="10"/>
    <x v="7"/>
    <x v="4"/>
    <x v="1"/>
    <x v="5"/>
    <x v="51"/>
    <x v="2"/>
    <x v="9"/>
    <x v="0"/>
    <x v="0"/>
    <x v="272"/>
    <x v="1"/>
    <x v="364"/>
    <x v="385"/>
    <x v="385"/>
    <x v="3"/>
  </r>
  <r>
    <x v="386"/>
    <x v="115"/>
    <x v="3"/>
    <x v="10"/>
    <x v="4"/>
    <x v="3"/>
    <x v="14"/>
    <x v="36"/>
    <x v="2"/>
    <x v="4"/>
    <x v="0"/>
    <x v="8"/>
    <x v="164"/>
    <x v="0"/>
    <x v="365"/>
    <x v="386"/>
    <x v="386"/>
    <x v="2"/>
  </r>
  <r>
    <x v="387"/>
    <x v="248"/>
    <x v="1"/>
    <x v="0"/>
    <x v="0"/>
    <x v="4"/>
    <x v="10"/>
    <x v="15"/>
    <x v="2"/>
    <x v="11"/>
    <x v="2"/>
    <x v="1"/>
    <x v="138"/>
    <x v="2"/>
    <x v="366"/>
    <x v="387"/>
    <x v="387"/>
    <x v="2"/>
  </r>
  <r>
    <x v="388"/>
    <x v="359"/>
    <x v="4"/>
    <x v="2"/>
    <x v="4"/>
    <x v="0"/>
    <x v="15"/>
    <x v="46"/>
    <x v="1"/>
    <x v="4"/>
    <x v="1"/>
    <x v="0"/>
    <x v="253"/>
    <x v="3"/>
    <x v="110"/>
    <x v="388"/>
    <x v="388"/>
    <x v="4"/>
  </r>
  <r>
    <x v="389"/>
    <x v="360"/>
    <x v="8"/>
    <x v="8"/>
    <x v="1"/>
    <x v="0"/>
    <x v="6"/>
    <x v="31"/>
    <x v="0"/>
    <x v="1"/>
    <x v="1"/>
    <x v="5"/>
    <x v="273"/>
    <x v="4"/>
    <x v="367"/>
    <x v="389"/>
    <x v="389"/>
    <x v="0"/>
  </r>
  <r>
    <x v="390"/>
    <x v="361"/>
    <x v="0"/>
    <x v="0"/>
    <x v="0"/>
    <x v="4"/>
    <x v="12"/>
    <x v="21"/>
    <x v="0"/>
    <x v="8"/>
    <x v="1"/>
    <x v="0"/>
    <x v="37"/>
    <x v="0"/>
    <x v="368"/>
    <x v="390"/>
    <x v="390"/>
    <x v="0"/>
  </r>
  <r>
    <x v="391"/>
    <x v="362"/>
    <x v="3"/>
    <x v="9"/>
    <x v="4"/>
    <x v="2"/>
    <x v="11"/>
    <x v="34"/>
    <x v="1"/>
    <x v="0"/>
    <x v="1"/>
    <x v="2"/>
    <x v="31"/>
    <x v="1"/>
    <x v="369"/>
    <x v="391"/>
    <x v="391"/>
    <x v="4"/>
  </r>
  <r>
    <x v="392"/>
    <x v="363"/>
    <x v="3"/>
    <x v="9"/>
    <x v="4"/>
    <x v="2"/>
    <x v="7"/>
    <x v="10"/>
    <x v="1"/>
    <x v="11"/>
    <x v="1"/>
    <x v="9"/>
    <x v="274"/>
    <x v="0"/>
    <x v="370"/>
    <x v="392"/>
    <x v="392"/>
    <x v="2"/>
  </r>
  <r>
    <x v="393"/>
    <x v="364"/>
    <x v="2"/>
    <x v="3"/>
    <x v="4"/>
    <x v="2"/>
    <x v="7"/>
    <x v="24"/>
    <x v="1"/>
    <x v="2"/>
    <x v="1"/>
    <x v="2"/>
    <x v="275"/>
    <x v="0"/>
    <x v="371"/>
    <x v="393"/>
    <x v="393"/>
    <x v="4"/>
  </r>
  <r>
    <x v="394"/>
    <x v="365"/>
    <x v="3"/>
    <x v="10"/>
    <x v="4"/>
    <x v="2"/>
    <x v="11"/>
    <x v="34"/>
    <x v="0"/>
    <x v="4"/>
    <x v="1"/>
    <x v="0"/>
    <x v="138"/>
    <x v="0"/>
    <x v="372"/>
    <x v="394"/>
    <x v="394"/>
    <x v="1"/>
  </r>
  <r>
    <x v="395"/>
    <x v="366"/>
    <x v="0"/>
    <x v="5"/>
    <x v="4"/>
    <x v="0"/>
    <x v="15"/>
    <x v="41"/>
    <x v="0"/>
    <x v="11"/>
    <x v="0"/>
    <x v="7"/>
    <x v="276"/>
    <x v="2"/>
    <x v="373"/>
    <x v="395"/>
    <x v="395"/>
    <x v="4"/>
  </r>
  <r>
    <x v="396"/>
    <x v="367"/>
    <x v="7"/>
    <x v="6"/>
    <x v="4"/>
    <x v="2"/>
    <x v="17"/>
    <x v="39"/>
    <x v="1"/>
    <x v="6"/>
    <x v="0"/>
    <x v="8"/>
    <x v="277"/>
    <x v="1"/>
    <x v="374"/>
    <x v="396"/>
    <x v="396"/>
    <x v="1"/>
  </r>
  <r>
    <x v="397"/>
    <x v="368"/>
    <x v="7"/>
    <x v="9"/>
    <x v="4"/>
    <x v="3"/>
    <x v="4"/>
    <x v="6"/>
    <x v="2"/>
    <x v="9"/>
    <x v="0"/>
    <x v="1"/>
    <x v="18"/>
    <x v="2"/>
    <x v="375"/>
    <x v="397"/>
    <x v="397"/>
    <x v="1"/>
  </r>
  <r>
    <x v="398"/>
    <x v="369"/>
    <x v="0"/>
    <x v="11"/>
    <x v="4"/>
    <x v="0"/>
    <x v="13"/>
    <x v="25"/>
    <x v="2"/>
    <x v="3"/>
    <x v="2"/>
    <x v="7"/>
    <x v="152"/>
    <x v="1"/>
    <x v="376"/>
    <x v="398"/>
    <x v="398"/>
    <x v="4"/>
  </r>
  <r>
    <x v="399"/>
    <x v="370"/>
    <x v="4"/>
    <x v="7"/>
    <x v="4"/>
    <x v="4"/>
    <x v="12"/>
    <x v="21"/>
    <x v="1"/>
    <x v="6"/>
    <x v="2"/>
    <x v="5"/>
    <x v="278"/>
    <x v="1"/>
    <x v="377"/>
    <x v="399"/>
    <x v="399"/>
    <x v="0"/>
  </r>
  <r>
    <x v="400"/>
    <x v="371"/>
    <x v="1"/>
    <x v="5"/>
    <x v="4"/>
    <x v="1"/>
    <x v="5"/>
    <x v="45"/>
    <x v="0"/>
    <x v="3"/>
    <x v="2"/>
    <x v="6"/>
    <x v="279"/>
    <x v="0"/>
    <x v="378"/>
    <x v="400"/>
    <x v="400"/>
    <x v="3"/>
  </r>
  <r>
    <x v="401"/>
    <x v="178"/>
    <x v="1"/>
    <x v="11"/>
    <x v="4"/>
    <x v="1"/>
    <x v="1"/>
    <x v="44"/>
    <x v="1"/>
    <x v="11"/>
    <x v="0"/>
    <x v="9"/>
    <x v="280"/>
    <x v="1"/>
    <x v="379"/>
    <x v="401"/>
    <x v="401"/>
    <x v="3"/>
  </r>
  <r>
    <x v="402"/>
    <x v="372"/>
    <x v="3"/>
    <x v="2"/>
    <x v="4"/>
    <x v="2"/>
    <x v="3"/>
    <x v="28"/>
    <x v="2"/>
    <x v="9"/>
    <x v="2"/>
    <x v="8"/>
    <x v="224"/>
    <x v="0"/>
    <x v="380"/>
    <x v="402"/>
    <x v="402"/>
    <x v="1"/>
  </r>
  <r>
    <x v="403"/>
    <x v="373"/>
    <x v="7"/>
    <x v="6"/>
    <x v="0"/>
    <x v="2"/>
    <x v="3"/>
    <x v="5"/>
    <x v="2"/>
    <x v="10"/>
    <x v="0"/>
    <x v="2"/>
    <x v="137"/>
    <x v="4"/>
    <x v="381"/>
    <x v="403"/>
    <x v="403"/>
    <x v="0"/>
  </r>
  <r>
    <x v="404"/>
    <x v="275"/>
    <x v="7"/>
    <x v="6"/>
    <x v="4"/>
    <x v="4"/>
    <x v="12"/>
    <x v="23"/>
    <x v="0"/>
    <x v="0"/>
    <x v="2"/>
    <x v="5"/>
    <x v="281"/>
    <x v="4"/>
    <x v="382"/>
    <x v="404"/>
    <x v="404"/>
    <x v="0"/>
  </r>
  <r>
    <x v="405"/>
    <x v="374"/>
    <x v="4"/>
    <x v="7"/>
    <x v="4"/>
    <x v="2"/>
    <x v="3"/>
    <x v="28"/>
    <x v="1"/>
    <x v="9"/>
    <x v="0"/>
    <x v="4"/>
    <x v="282"/>
    <x v="1"/>
    <x v="383"/>
    <x v="405"/>
    <x v="405"/>
    <x v="2"/>
  </r>
  <r>
    <x v="406"/>
    <x v="375"/>
    <x v="1"/>
    <x v="11"/>
    <x v="4"/>
    <x v="0"/>
    <x v="13"/>
    <x v="25"/>
    <x v="1"/>
    <x v="6"/>
    <x v="1"/>
    <x v="4"/>
    <x v="283"/>
    <x v="2"/>
    <x v="384"/>
    <x v="406"/>
    <x v="406"/>
    <x v="0"/>
  </r>
  <r>
    <x v="407"/>
    <x v="376"/>
    <x v="2"/>
    <x v="0"/>
    <x v="0"/>
    <x v="1"/>
    <x v="16"/>
    <x v="49"/>
    <x v="1"/>
    <x v="0"/>
    <x v="0"/>
    <x v="6"/>
    <x v="153"/>
    <x v="4"/>
    <x v="385"/>
    <x v="407"/>
    <x v="407"/>
    <x v="2"/>
  </r>
  <r>
    <x v="408"/>
    <x v="377"/>
    <x v="5"/>
    <x v="10"/>
    <x v="4"/>
    <x v="0"/>
    <x v="0"/>
    <x v="43"/>
    <x v="0"/>
    <x v="11"/>
    <x v="1"/>
    <x v="7"/>
    <x v="284"/>
    <x v="4"/>
    <x v="386"/>
    <x v="408"/>
    <x v="408"/>
    <x v="4"/>
  </r>
  <r>
    <x v="409"/>
    <x v="378"/>
    <x v="2"/>
    <x v="4"/>
    <x v="1"/>
    <x v="0"/>
    <x v="13"/>
    <x v="25"/>
    <x v="0"/>
    <x v="0"/>
    <x v="0"/>
    <x v="7"/>
    <x v="115"/>
    <x v="0"/>
    <x v="387"/>
    <x v="409"/>
    <x v="409"/>
    <x v="2"/>
  </r>
  <r>
    <x v="410"/>
    <x v="379"/>
    <x v="0"/>
    <x v="11"/>
    <x v="4"/>
    <x v="0"/>
    <x v="13"/>
    <x v="29"/>
    <x v="2"/>
    <x v="1"/>
    <x v="0"/>
    <x v="6"/>
    <x v="285"/>
    <x v="4"/>
    <x v="388"/>
    <x v="410"/>
    <x v="410"/>
    <x v="4"/>
  </r>
  <r>
    <x v="411"/>
    <x v="380"/>
    <x v="4"/>
    <x v="3"/>
    <x v="4"/>
    <x v="0"/>
    <x v="15"/>
    <x v="46"/>
    <x v="1"/>
    <x v="0"/>
    <x v="2"/>
    <x v="6"/>
    <x v="286"/>
    <x v="0"/>
    <x v="389"/>
    <x v="411"/>
    <x v="411"/>
    <x v="2"/>
  </r>
  <r>
    <x v="412"/>
    <x v="381"/>
    <x v="2"/>
    <x v="9"/>
    <x v="4"/>
    <x v="0"/>
    <x v="15"/>
    <x v="41"/>
    <x v="2"/>
    <x v="3"/>
    <x v="1"/>
    <x v="7"/>
    <x v="52"/>
    <x v="0"/>
    <x v="390"/>
    <x v="412"/>
    <x v="412"/>
    <x v="2"/>
  </r>
  <r>
    <x v="413"/>
    <x v="382"/>
    <x v="9"/>
    <x v="8"/>
    <x v="1"/>
    <x v="2"/>
    <x v="7"/>
    <x v="24"/>
    <x v="2"/>
    <x v="10"/>
    <x v="2"/>
    <x v="5"/>
    <x v="194"/>
    <x v="3"/>
    <x v="391"/>
    <x v="413"/>
    <x v="413"/>
    <x v="4"/>
  </r>
  <r>
    <x v="414"/>
    <x v="383"/>
    <x v="3"/>
    <x v="10"/>
    <x v="4"/>
    <x v="4"/>
    <x v="12"/>
    <x v="23"/>
    <x v="1"/>
    <x v="7"/>
    <x v="0"/>
    <x v="6"/>
    <x v="13"/>
    <x v="4"/>
    <x v="392"/>
    <x v="414"/>
    <x v="414"/>
    <x v="1"/>
  </r>
  <r>
    <x v="415"/>
    <x v="248"/>
    <x v="1"/>
    <x v="2"/>
    <x v="4"/>
    <x v="3"/>
    <x v="9"/>
    <x v="16"/>
    <x v="0"/>
    <x v="10"/>
    <x v="1"/>
    <x v="8"/>
    <x v="31"/>
    <x v="1"/>
    <x v="393"/>
    <x v="415"/>
    <x v="415"/>
    <x v="2"/>
  </r>
  <r>
    <x v="416"/>
    <x v="384"/>
    <x v="1"/>
    <x v="8"/>
    <x v="1"/>
    <x v="0"/>
    <x v="15"/>
    <x v="32"/>
    <x v="1"/>
    <x v="9"/>
    <x v="1"/>
    <x v="7"/>
    <x v="89"/>
    <x v="4"/>
    <x v="394"/>
    <x v="416"/>
    <x v="416"/>
    <x v="2"/>
  </r>
  <r>
    <x v="417"/>
    <x v="385"/>
    <x v="1"/>
    <x v="2"/>
    <x v="4"/>
    <x v="4"/>
    <x v="12"/>
    <x v="21"/>
    <x v="1"/>
    <x v="10"/>
    <x v="1"/>
    <x v="2"/>
    <x v="137"/>
    <x v="4"/>
    <x v="381"/>
    <x v="417"/>
    <x v="417"/>
    <x v="1"/>
  </r>
  <r>
    <x v="418"/>
    <x v="386"/>
    <x v="11"/>
    <x v="7"/>
    <x v="4"/>
    <x v="3"/>
    <x v="9"/>
    <x v="16"/>
    <x v="0"/>
    <x v="3"/>
    <x v="2"/>
    <x v="9"/>
    <x v="43"/>
    <x v="4"/>
    <x v="395"/>
    <x v="418"/>
    <x v="418"/>
    <x v="4"/>
  </r>
  <r>
    <x v="419"/>
    <x v="387"/>
    <x v="7"/>
    <x v="6"/>
    <x v="4"/>
    <x v="1"/>
    <x v="1"/>
    <x v="1"/>
    <x v="0"/>
    <x v="9"/>
    <x v="0"/>
    <x v="8"/>
    <x v="287"/>
    <x v="2"/>
    <x v="396"/>
    <x v="419"/>
    <x v="419"/>
    <x v="4"/>
  </r>
  <r>
    <x v="420"/>
    <x v="388"/>
    <x v="8"/>
    <x v="11"/>
    <x v="4"/>
    <x v="0"/>
    <x v="0"/>
    <x v="43"/>
    <x v="1"/>
    <x v="1"/>
    <x v="0"/>
    <x v="6"/>
    <x v="288"/>
    <x v="0"/>
    <x v="397"/>
    <x v="420"/>
    <x v="420"/>
    <x v="4"/>
  </r>
  <r>
    <x v="421"/>
    <x v="389"/>
    <x v="1"/>
    <x v="5"/>
    <x v="1"/>
    <x v="1"/>
    <x v="1"/>
    <x v="44"/>
    <x v="2"/>
    <x v="8"/>
    <x v="2"/>
    <x v="6"/>
    <x v="1"/>
    <x v="0"/>
    <x v="120"/>
    <x v="421"/>
    <x v="421"/>
    <x v="1"/>
  </r>
  <r>
    <x v="422"/>
    <x v="390"/>
    <x v="9"/>
    <x v="7"/>
    <x v="4"/>
    <x v="4"/>
    <x v="10"/>
    <x v="15"/>
    <x v="2"/>
    <x v="5"/>
    <x v="1"/>
    <x v="3"/>
    <x v="289"/>
    <x v="4"/>
    <x v="398"/>
    <x v="422"/>
    <x v="422"/>
    <x v="1"/>
  </r>
  <r>
    <x v="423"/>
    <x v="366"/>
    <x v="0"/>
    <x v="5"/>
    <x v="4"/>
    <x v="3"/>
    <x v="14"/>
    <x v="26"/>
    <x v="0"/>
    <x v="10"/>
    <x v="1"/>
    <x v="3"/>
    <x v="290"/>
    <x v="3"/>
    <x v="399"/>
    <x v="423"/>
    <x v="423"/>
    <x v="4"/>
  </r>
  <r>
    <x v="424"/>
    <x v="391"/>
    <x v="8"/>
    <x v="7"/>
    <x v="4"/>
    <x v="0"/>
    <x v="15"/>
    <x v="32"/>
    <x v="1"/>
    <x v="0"/>
    <x v="0"/>
    <x v="9"/>
    <x v="291"/>
    <x v="4"/>
    <x v="400"/>
    <x v="424"/>
    <x v="424"/>
    <x v="1"/>
  </r>
  <r>
    <x v="425"/>
    <x v="392"/>
    <x v="10"/>
    <x v="1"/>
    <x v="1"/>
    <x v="1"/>
    <x v="16"/>
    <x v="33"/>
    <x v="2"/>
    <x v="9"/>
    <x v="2"/>
    <x v="3"/>
    <x v="171"/>
    <x v="0"/>
    <x v="401"/>
    <x v="425"/>
    <x v="425"/>
    <x v="1"/>
  </r>
  <r>
    <x v="426"/>
    <x v="393"/>
    <x v="11"/>
    <x v="12"/>
    <x v="4"/>
    <x v="1"/>
    <x v="16"/>
    <x v="33"/>
    <x v="1"/>
    <x v="3"/>
    <x v="0"/>
    <x v="6"/>
    <x v="7"/>
    <x v="0"/>
    <x v="335"/>
    <x v="426"/>
    <x v="426"/>
    <x v="3"/>
  </r>
  <r>
    <x v="427"/>
    <x v="394"/>
    <x v="5"/>
    <x v="11"/>
    <x v="4"/>
    <x v="4"/>
    <x v="10"/>
    <x v="27"/>
    <x v="2"/>
    <x v="0"/>
    <x v="1"/>
    <x v="3"/>
    <x v="292"/>
    <x v="2"/>
    <x v="402"/>
    <x v="427"/>
    <x v="427"/>
    <x v="2"/>
  </r>
  <r>
    <x v="428"/>
    <x v="395"/>
    <x v="11"/>
    <x v="1"/>
    <x v="1"/>
    <x v="4"/>
    <x v="10"/>
    <x v="15"/>
    <x v="1"/>
    <x v="9"/>
    <x v="0"/>
    <x v="4"/>
    <x v="293"/>
    <x v="2"/>
    <x v="403"/>
    <x v="428"/>
    <x v="428"/>
    <x v="1"/>
  </r>
  <r>
    <x v="429"/>
    <x v="396"/>
    <x v="11"/>
    <x v="8"/>
    <x v="1"/>
    <x v="0"/>
    <x v="13"/>
    <x v="25"/>
    <x v="2"/>
    <x v="6"/>
    <x v="1"/>
    <x v="5"/>
    <x v="125"/>
    <x v="1"/>
    <x v="286"/>
    <x v="429"/>
    <x v="429"/>
    <x v="1"/>
  </r>
  <r>
    <x v="430"/>
    <x v="397"/>
    <x v="3"/>
    <x v="8"/>
    <x v="1"/>
    <x v="4"/>
    <x v="12"/>
    <x v="23"/>
    <x v="0"/>
    <x v="11"/>
    <x v="1"/>
    <x v="3"/>
    <x v="202"/>
    <x v="2"/>
    <x v="404"/>
    <x v="430"/>
    <x v="430"/>
    <x v="3"/>
  </r>
  <r>
    <x v="431"/>
    <x v="2"/>
    <x v="2"/>
    <x v="7"/>
    <x v="4"/>
    <x v="3"/>
    <x v="8"/>
    <x v="12"/>
    <x v="2"/>
    <x v="1"/>
    <x v="2"/>
    <x v="8"/>
    <x v="53"/>
    <x v="1"/>
    <x v="405"/>
    <x v="431"/>
    <x v="431"/>
    <x v="4"/>
  </r>
  <r>
    <x v="432"/>
    <x v="398"/>
    <x v="6"/>
    <x v="4"/>
    <x v="1"/>
    <x v="3"/>
    <x v="8"/>
    <x v="18"/>
    <x v="0"/>
    <x v="8"/>
    <x v="2"/>
    <x v="5"/>
    <x v="41"/>
    <x v="4"/>
    <x v="21"/>
    <x v="432"/>
    <x v="432"/>
    <x v="3"/>
  </r>
  <r>
    <x v="433"/>
    <x v="399"/>
    <x v="2"/>
    <x v="3"/>
    <x v="4"/>
    <x v="4"/>
    <x v="10"/>
    <x v="27"/>
    <x v="2"/>
    <x v="0"/>
    <x v="1"/>
    <x v="6"/>
    <x v="264"/>
    <x v="1"/>
    <x v="406"/>
    <x v="433"/>
    <x v="433"/>
    <x v="1"/>
  </r>
  <r>
    <x v="434"/>
    <x v="400"/>
    <x v="11"/>
    <x v="12"/>
    <x v="4"/>
    <x v="4"/>
    <x v="12"/>
    <x v="20"/>
    <x v="2"/>
    <x v="10"/>
    <x v="1"/>
    <x v="6"/>
    <x v="294"/>
    <x v="2"/>
    <x v="407"/>
    <x v="434"/>
    <x v="434"/>
    <x v="4"/>
  </r>
  <r>
    <x v="435"/>
    <x v="401"/>
    <x v="11"/>
    <x v="2"/>
    <x v="4"/>
    <x v="0"/>
    <x v="6"/>
    <x v="31"/>
    <x v="1"/>
    <x v="3"/>
    <x v="0"/>
    <x v="4"/>
    <x v="295"/>
    <x v="2"/>
    <x v="408"/>
    <x v="435"/>
    <x v="435"/>
    <x v="3"/>
  </r>
  <r>
    <x v="436"/>
    <x v="11"/>
    <x v="1"/>
    <x v="0"/>
    <x v="0"/>
    <x v="4"/>
    <x v="12"/>
    <x v="23"/>
    <x v="2"/>
    <x v="0"/>
    <x v="2"/>
    <x v="0"/>
    <x v="13"/>
    <x v="0"/>
    <x v="409"/>
    <x v="436"/>
    <x v="436"/>
    <x v="4"/>
  </r>
  <r>
    <x v="437"/>
    <x v="402"/>
    <x v="11"/>
    <x v="7"/>
    <x v="4"/>
    <x v="2"/>
    <x v="11"/>
    <x v="19"/>
    <x v="0"/>
    <x v="10"/>
    <x v="0"/>
    <x v="4"/>
    <x v="296"/>
    <x v="3"/>
    <x v="410"/>
    <x v="437"/>
    <x v="437"/>
    <x v="2"/>
  </r>
  <r>
    <x v="438"/>
    <x v="123"/>
    <x v="3"/>
    <x v="10"/>
    <x v="1"/>
    <x v="0"/>
    <x v="6"/>
    <x v="11"/>
    <x v="1"/>
    <x v="1"/>
    <x v="1"/>
    <x v="9"/>
    <x v="297"/>
    <x v="0"/>
    <x v="411"/>
    <x v="438"/>
    <x v="438"/>
    <x v="4"/>
  </r>
  <r>
    <x v="439"/>
    <x v="403"/>
    <x v="3"/>
    <x v="1"/>
    <x v="1"/>
    <x v="0"/>
    <x v="15"/>
    <x v="46"/>
    <x v="0"/>
    <x v="2"/>
    <x v="0"/>
    <x v="9"/>
    <x v="41"/>
    <x v="1"/>
    <x v="412"/>
    <x v="439"/>
    <x v="439"/>
    <x v="0"/>
  </r>
  <r>
    <x v="440"/>
    <x v="36"/>
    <x v="3"/>
    <x v="8"/>
    <x v="1"/>
    <x v="4"/>
    <x v="10"/>
    <x v="27"/>
    <x v="0"/>
    <x v="11"/>
    <x v="1"/>
    <x v="8"/>
    <x v="87"/>
    <x v="3"/>
    <x v="413"/>
    <x v="440"/>
    <x v="440"/>
    <x v="1"/>
  </r>
  <r>
    <x v="441"/>
    <x v="404"/>
    <x v="0"/>
    <x v="8"/>
    <x v="1"/>
    <x v="3"/>
    <x v="4"/>
    <x v="16"/>
    <x v="1"/>
    <x v="6"/>
    <x v="0"/>
    <x v="4"/>
    <x v="160"/>
    <x v="1"/>
    <x v="99"/>
    <x v="441"/>
    <x v="441"/>
    <x v="3"/>
  </r>
  <r>
    <x v="442"/>
    <x v="405"/>
    <x v="2"/>
    <x v="11"/>
    <x v="4"/>
    <x v="3"/>
    <x v="8"/>
    <x v="12"/>
    <x v="0"/>
    <x v="7"/>
    <x v="2"/>
    <x v="5"/>
    <x v="298"/>
    <x v="2"/>
    <x v="414"/>
    <x v="442"/>
    <x v="442"/>
    <x v="2"/>
  </r>
  <r>
    <x v="443"/>
    <x v="406"/>
    <x v="8"/>
    <x v="9"/>
    <x v="4"/>
    <x v="4"/>
    <x v="10"/>
    <x v="15"/>
    <x v="2"/>
    <x v="5"/>
    <x v="1"/>
    <x v="7"/>
    <x v="299"/>
    <x v="0"/>
    <x v="415"/>
    <x v="443"/>
    <x v="443"/>
    <x v="1"/>
  </r>
  <r>
    <x v="444"/>
    <x v="407"/>
    <x v="4"/>
    <x v="7"/>
    <x v="4"/>
    <x v="1"/>
    <x v="2"/>
    <x v="3"/>
    <x v="1"/>
    <x v="0"/>
    <x v="0"/>
    <x v="4"/>
    <x v="300"/>
    <x v="0"/>
    <x v="416"/>
    <x v="444"/>
    <x v="444"/>
    <x v="1"/>
  </r>
  <r>
    <x v="445"/>
    <x v="408"/>
    <x v="1"/>
    <x v="8"/>
    <x v="1"/>
    <x v="2"/>
    <x v="7"/>
    <x v="30"/>
    <x v="0"/>
    <x v="2"/>
    <x v="2"/>
    <x v="6"/>
    <x v="236"/>
    <x v="4"/>
    <x v="417"/>
    <x v="445"/>
    <x v="445"/>
    <x v="4"/>
  </r>
  <r>
    <x v="446"/>
    <x v="409"/>
    <x v="4"/>
    <x v="11"/>
    <x v="4"/>
    <x v="0"/>
    <x v="13"/>
    <x v="29"/>
    <x v="0"/>
    <x v="8"/>
    <x v="2"/>
    <x v="8"/>
    <x v="301"/>
    <x v="2"/>
    <x v="418"/>
    <x v="446"/>
    <x v="446"/>
    <x v="0"/>
  </r>
  <r>
    <x v="447"/>
    <x v="410"/>
    <x v="4"/>
    <x v="7"/>
    <x v="4"/>
    <x v="3"/>
    <x v="8"/>
    <x v="18"/>
    <x v="2"/>
    <x v="8"/>
    <x v="1"/>
    <x v="6"/>
    <x v="302"/>
    <x v="0"/>
    <x v="419"/>
    <x v="447"/>
    <x v="447"/>
    <x v="4"/>
  </r>
  <r>
    <x v="448"/>
    <x v="411"/>
    <x v="5"/>
    <x v="7"/>
    <x v="4"/>
    <x v="3"/>
    <x v="8"/>
    <x v="18"/>
    <x v="1"/>
    <x v="6"/>
    <x v="0"/>
    <x v="9"/>
    <x v="303"/>
    <x v="3"/>
    <x v="420"/>
    <x v="448"/>
    <x v="448"/>
    <x v="0"/>
  </r>
  <r>
    <x v="449"/>
    <x v="412"/>
    <x v="4"/>
    <x v="2"/>
    <x v="4"/>
    <x v="4"/>
    <x v="10"/>
    <x v="15"/>
    <x v="0"/>
    <x v="11"/>
    <x v="1"/>
    <x v="6"/>
    <x v="304"/>
    <x v="4"/>
    <x v="421"/>
    <x v="449"/>
    <x v="449"/>
    <x v="0"/>
  </r>
  <r>
    <x v="450"/>
    <x v="413"/>
    <x v="7"/>
    <x v="6"/>
    <x v="1"/>
    <x v="1"/>
    <x v="5"/>
    <x v="7"/>
    <x v="0"/>
    <x v="0"/>
    <x v="2"/>
    <x v="7"/>
    <x v="87"/>
    <x v="4"/>
    <x v="422"/>
    <x v="450"/>
    <x v="450"/>
    <x v="2"/>
  </r>
  <r>
    <x v="451"/>
    <x v="414"/>
    <x v="2"/>
    <x v="1"/>
    <x v="1"/>
    <x v="3"/>
    <x v="8"/>
    <x v="18"/>
    <x v="1"/>
    <x v="10"/>
    <x v="0"/>
    <x v="6"/>
    <x v="273"/>
    <x v="2"/>
    <x v="423"/>
    <x v="451"/>
    <x v="451"/>
    <x v="2"/>
  </r>
  <r>
    <x v="452"/>
    <x v="415"/>
    <x v="7"/>
    <x v="11"/>
    <x v="4"/>
    <x v="0"/>
    <x v="0"/>
    <x v="43"/>
    <x v="1"/>
    <x v="1"/>
    <x v="2"/>
    <x v="2"/>
    <x v="53"/>
    <x v="1"/>
    <x v="424"/>
    <x v="452"/>
    <x v="452"/>
    <x v="1"/>
  </r>
  <r>
    <x v="453"/>
    <x v="149"/>
    <x v="5"/>
    <x v="7"/>
    <x v="4"/>
    <x v="1"/>
    <x v="5"/>
    <x v="7"/>
    <x v="1"/>
    <x v="0"/>
    <x v="2"/>
    <x v="6"/>
    <x v="305"/>
    <x v="1"/>
    <x v="425"/>
    <x v="453"/>
    <x v="453"/>
    <x v="1"/>
  </r>
  <r>
    <x v="454"/>
    <x v="416"/>
    <x v="3"/>
    <x v="0"/>
    <x v="0"/>
    <x v="4"/>
    <x v="12"/>
    <x v="20"/>
    <x v="1"/>
    <x v="9"/>
    <x v="0"/>
    <x v="3"/>
    <x v="306"/>
    <x v="1"/>
    <x v="426"/>
    <x v="454"/>
    <x v="454"/>
    <x v="4"/>
  </r>
  <r>
    <x v="455"/>
    <x v="417"/>
    <x v="7"/>
    <x v="9"/>
    <x v="4"/>
    <x v="0"/>
    <x v="6"/>
    <x v="8"/>
    <x v="1"/>
    <x v="1"/>
    <x v="0"/>
    <x v="1"/>
    <x v="163"/>
    <x v="0"/>
    <x v="427"/>
    <x v="455"/>
    <x v="455"/>
    <x v="0"/>
  </r>
  <r>
    <x v="456"/>
    <x v="418"/>
    <x v="0"/>
    <x v="0"/>
    <x v="0"/>
    <x v="3"/>
    <x v="9"/>
    <x v="14"/>
    <x v="0"/>
    <x v="7"/>
    <x v="2"/>
    <x v="8"/>
    <x v="4"/>
    <x v="0"/>
    <x v="428"/>
    <x v="456"/>
    <x v="456"/>
    <x v="4"/>
  </r>
  <r>
    <x v="457"/>
    <x v="419"/>
    <x v="4"/>
    <x v="8"/>
    <x v="1"/>
    <x v="3"/>
    <x v="9"/>
    <x v="16"/>
    <x v="1"/>
    <x v="7"/>
    <x v="0"/>
    <x v="7"/>
    <x v="149"/>
    <x v="0"/>
    <x v="21"/>
    <x v="457"/>
    <x v="457"/>
    <x v="1"/>
  </r>
  <r>
    <x v="458"/>
    <x v="420"/>
    <x v="5"/>
    <x v="10"/>
    <x v="4"/>
    <x v="1"/>
    <x v="5"/>
    <x v="45"/>
    <x v="1"/>
    <x v="0"/>
    <x v="2"/>
    <x v="4"/>
    <x v="49"/>
    <x v="2"/>
    <x v="429"/>
    <x v="458"/>
    <x v="458"/>
    <x v="0"/>
  </r>
  <r>
    <x v="459"/>
    <x v="421"/>
    <x v="1"/>
    <x v="7"/>
    <x v="4"/>
    <x v="4"/>
    <x v="12"/>
    <x v="21"/>
    <x v="2"/>
    <x v="2"/>
    <x v="1"/>
    <x v="2"/>
    <x v="307"/>
    <x v="3"/>
    <x v="430"/>
    <x v="459"/>
    <x v="459"/>
    <x v="1"/>
  </r>
  <r>
    <x v="460"/>
    <x v="422"/>
    <x v="0"/>
    <x v="2"/>
    <x v="4"/>
    <x v="4"/>
    <x v="10"/>
    <x v="15"/>
    <x v="0"/>
    <x v="6"/>
    <x v="2"/>
    <x v="6"/>
    <x v="86"/>
    <x v="3"/>
    <x v="263"/>
    <x v="460"/>
    <x v="460"/>
    <x v="3"/>
  </r>
  <r>
    <x v="461"/>
    <x v="111"/>
    <x v="5"/>
    <x v="10"/>
    <x v="1"/>
    <x v="2"/>
    <x v="3"/>
    <x v="28"/>
    <x v="0"/>
    <x v="1"/>
    <x v="1"/>
    <x v="0"/>
    <x v="308"/>
    <x v="2"/>
    <x v="431"/>
    <x v="461"/>
    <x v="461"/>
    <x v="1"/>
  </r>
  <r>
    <x v="462"/>
    <x v="423"/>
    <x v="7"/>
    <x v="6"/>
    <x v="4"/>
    <x v="1"/>
    <x v="2"/>
    <x v="13"/>
    <x v="1"/>
    <x v="2"/>
    <x v="1"/>
    <x v="1"/>
    <x v="63"/>
    <x v="4"/>
    <x v="432"/>
    <x v="462"/>
    <x v="462"/>
    <x v="3"/>
  </r>
  <r>
    <x v="463"/>
    <x v="424"/>
    <x v="2"/>
    <x v="0"/>
    <x v="0"/>
    <x v="1"/>
    <x v="16"/>
    <x v="33"/>
    <x v="0"/>
    <x v="10"/>
    <x v="0"/>
    <x v="2"/>
    <x v="31"/>
    <x v="0"/>
    <x v="433"/>
    <x v="463"/>
    <x v="463"/>
    <x v="3"/>
  </r>
  <r>
    <x v="464"/>
    <x v="133"/>
    <x v="1"/>
    <x v="5"/>
    <x v="1"/>
    <x v="3"/>
    <x v="4"/>
    <x v="38"/>
    <x v="2"/>
    <x v="2"/>
    <x v="0"/>
    <x v="9"/>
    <x v="94"/>
    <x v="1"/>
    <x v="434"/>
    <x v="464"/>
    <x v="464"/>
    <x v="4"/>
  </r>
  <r>
    <x v="465"/>
    <x v="2"/>
    <x v="2"/>
    <x v="3"/>
    <x v="4"/>
    <x v="1"/>
    <x v="5"/>
    <x v="7"/>
    <x v="2"/>
    <x v="7"/>
    <x v="1"/>
    <x v="3"/>
    <x v="309"/>
    <x v="1"/>
    <x v="435"/>
    <x v="465"/>
    <x v="465"/>
    <x v="2"/>
  </r>
  <r>
    <x v="466"/>
    <x v="425"/>
    <x v="0"/>
    <x v="0"/>
    <x v="0"/>
    <x v="3"/>
    <x v="9"/>
    <x v="14"/>
    <x v="1"/>
    <x v="0"/>
    <x v="2"/>
    <x v="8"/>
    <x v="284"/>
    <x v="0"/>
    <x v="436"/>
    <x v="466"/>
    <x v="466"/>
    <x v="1"/>
  </r>
  <r>
    <x v="467"/>
    <x v="426"/>
    <x v="1"/>
    <x v="1"/>
    <x v="1"/>
    <x v="1"/>
    <x v="16"/>
    <x v="48"/>
    <x v="2"/>
    <x v="2"/>
    <x v="0"/>
    <x v="1"/>
    <x v="310"/>
    <x v="0"/>
    <x v="129"/>
    <x v="467"/>
    <x v="467"/>
    <x v="4"/>
  </r>
  <r>
    <x v="468"/>
    <x v="427"/>
    <x v="7"/>
    <x v="7"/>
    <x v="4"/>
    <x v="0"/>
    <x v="15"/>
    <x v="46"/>
    <x v="1"/>
    <x v="0"/>
    <x v="0"/>
    <x v="4"/>
    <x v="311"/>
    <x v="3"/>
    <x v="437"/>
    <x v="468"/>
    <x v="468"/>
    <x v="3"/>
  </r>
  <r>
    <x v="469"/>
    <x v="428"/>
    <x v="6"/>
    <x v="2"/>
    <x v="4"/>
    <x v="4"/>
    <x v="12"/>
    <x v="20"/>
    <x v="0"/>
    <x v="11"/>
    <x v="0"/>
    <x v="2"/>
    <x v="312"/>
    <x v="1"/>
    <x v="438"/>
    <x v="469"/>
    <x v="469"/>
    <x v="1"/>
  </r>
  <r>
    <x v="470"/>
    <x v="429"/>
    <x v="5"/>
    <x v="9"/>
    <x v="4"/>
    <x v="3"/>
    <x v="9"/>
    <x v="14"/>
    <x v="2"/>
    <x v="5"/>
    <x v="2"/>
    <x v="5"/>
    <x v="14"/>
    <x v="1"/>
    <x v="439"/>
    <x v="470"/>
    <x v="470"/>
    <x v="0"/>
  </r>
  <r>
    <x v="471"/>
    <x v="430"/>
    <x v="6"/>
    <x v="0"/>
    <x v="0"/>
    <x v="4"/>
    <x v="10"/>
    <x v="15"/>
    <x v="0"/>
    <x v="10"/>
    <x v="2"/>
    <x v="1"/>
    <x v="313"/>
    <x v="2"/>
    <x v="205"/>
    <x v="471"/>
    <x v="471"/>
    <x v="4"/>
  </r>
  <r>
    <x v="472"/>
    <x v="326"/>
    <x v="3"/>
    <x v="10"/>
    <x v="0"/>
    <x v="0"/>
    <x v="13"/>
    <x v="29"/>
    <x v="2"/>
    <x v="8"/>
    <x v="2"/>
    <x v="8"/>
    <x v="314"/>
    <x v="1"/>
    <x v="440"/>
    <x v="472"/>
    <x v="472"/>
    <x v="2"/>
  </r>
  <r>
    <x v="473"/>
    <x v="431"/>
    <x v="1"/>
    <x v="7"/>
    <x v="4"/>
    <x v="4"/>
    <x v="10"/>
    <x v="27"/>
    <x v="1"/>
    <x v="6"/>
    <x v="2"/>
    <x v="4"/>
    <x v="124"/>
    <x v="4"/>
    <x v="441"/>
    <x v="473"/>
    <x v="473"/>
    <x v="2"/>
  </r>
  <r>
    <x v="474"/>
    <x v="432"/>
    <x v="5"/>
    <x v="10"/>
    <x v="4"/>
    <x v="1"/>
    <x v="16"/>
    <x v="33"/>
    <x v="1"/>
    <x v="2"/>
    <x v="1"/>
    <x v="3"/>
    <x v="315"/>
    <x v="1"/>
    <x v="442"/>
    <x v="474"/>
    <x v="474"/>
    <x v="0"/>
  </r>
  <r>
    <x v="475"/>
    <x v="433"/>
    <x v="7"/>
    <x v="6"/>
    <x v="1"/>
    <x v="3"/>
    <x v="8"/>
    <x v="18"/>
    <x v="1"/>
    <x v="0"/>
    <x v="0"/>
    <x v="4"/>
    <x v="293"/>
    <x v="2"/>
    <x v="403"/>
    <x v="475"/>
    <x v="475"/>
    <x v="0"/>
  </r>
  <r>
    <x v="476"/>
    <x v="171"/>
    <x v="5"/>
    <x v="2"/>
    <x v="4"/>
    <x v="3"/>
    <x v="9"/>
    <x v="35"/>
    <x v="0"/>
    <x v="7"/>
    <x v="1"/>
    <x v="7"/>
    <x v="139"/>
    <x v="1"/>
    <x v="443"/>
    <x v="476"/>
    <x v="476"/>
    <x v="4"/>
  </r>
  <r>
    <x v="477"/>
    <x v="434"/>
    <x v="9"/>
    <x v="12"/>
    <x v="4"/>
    <x v="1"/>
    <x v="5"/>
    <x v="7"/>
    <x v="0"/>
    <x v="4"/>
    <x v="0"/>
    <x v="9"/>
    <x v="70"/>
    <x v="1"/>
    <x v="237"/>
    <x v="477"/>
    <x v="477"/>
    <x v="1"/>
  </r>
  <r>
    <x v="478"/>
    <x v="435"/>
    <x v="7"/>
    <x v="4"/>
    <x v="1"/>
    <x v="3"/>
    <x v="8"/>
    <x v="18"/>
    <x v="1"/>
    <x v="8"/>
    <x v="2"/>
    <x v="1"/>
    <x v="27"/>
    <x v="4"/>
    <x v="444"/>
    <x v="478"/>
    <x v="478"/>
    <x v="0"/>
  </r>
  <r>
    <x v="479"/>
    <x v="436"/>
    <x v="5"/>
    <x v="7"/>
    <x v="4"/>
    <x v="2"/>
    <x v="7"/>
    <x v="24"/>
    <x v="1"/>
    <x v="6"/>
    <x v="2"/>
    <x v="3"/>
    <x v="316"/>
    <x v="0"/>
    <x v="445"/>
    <x v="479"/>
    <x v="479"/>
    <x v="3"/>
  </r>
  <r>
    <x v="480"/>
    <x v="437"/>
    <x v="8"/>
    <x v="7"/>
    <x v="4"/>
    <x v="3"/>
    <x v="4"/>
    <x v="38"/>
    <x v="0"/>
    <x v="8"/>
    <x v="1"/>
    <x v="6"/>
    <x v="317"/>
    <x v="4"/>
    <x v="446"/>
    <x v="480"/>
    <x v="480"/>
    <x v="3"/>
  </r>
  <r>
    <x v="481"/>
    <x v="438"/>
    <x v="7"/>
    <x v="6"/>
    <x v="1"/>
    <x v="1"/>
    <x v="5"/>
    <x v="51"/>
    <x v="0"/>
    <x v="11"/>
    <x v="2"/>
    <x v="0"/>
    <x v="89"/>
    <x v="0"/>
    <x v="318"/>
    <x v="481"/>
    <x v="481"/>
    <x v="4"/>
  </r>
  <r>
    <x v="482"/>
    <x v="439"/>
    <x v="0"/>
    <x v="4"/>
    <x v="1"/>
    <x v="3"/>
    <x v="4"/>
    <x v="16"/>
    <x v="1"/>
    <x v="1"/>
    <x v="1"/>
    <x v="1"/>
    <x v="8"/>
    <x v="0"/>
    <x v="447"/>
    <x v="482"/>
    <x v="482"/>
    <x v="0"/>
  </r>
  <r>
    <x v="483"/>
    <x v="440"/>
    <x v="3"/>
    <x v="8"/>
    <x v="1"/>
    <x v="2"/>
    <x v="3"/>
    <x v="9"/>
    <x v="2"/>
    <x v="3"/>
    <x v="1"/>
    <x v="7"/>
    <x v="24"/>
    <x v="4"/>
    <x v="448"/>
    <x v="483"/>
    <x v="483"/>
    <x v="1"/>
  </r>
  <r>
    <x v="484"/>
    <x v="441"/>
    <x v="9"/>
    <x v="7"/>
    <x v="4"/>
    <x v="3"/>
    <x v="14"/>
    <x v="40"/>
    <x v="1"/>
    <x v="1"/>
    <x v="1"/>
    <x v="1"/>
    <x v="261"/>
    <x v="4"/>
    <x v="449"/>
    <x v="484"/>
    <x v="484"/>
    <x v="1"/>
  </r>
  <r>
    <x v="485"/>
    <x v="442"/>
    <x v="1"/>
    <x v="3"/>
    <x v="4"/>
    <x v="2"/>
    <x v="3"/>
    <x v="5"/>
    <x v="2"/>
    <x v="7"/>
    <x v="1"/>
    <x v="8"/>
    <x v="246"/>
    <x v="1"/>
    <x v="450"/>
    <x v="485"/>
    <x v="485"/>
    <x v="3"/>
  </r>
  <r>
    <x v="486"/>
    <x v="443"/>
    <x v="5"/>
    <x v="11"/>
    <x v="4"/>
    <x v="1"/>
    <x v="1"/>
    <x v="1"/>
    <x v="0"/>
    <x v="1"/>
    <x v="2"/>
    <x v="8"/>
    <x v="318"/>
    <x v="1"/>
    <x v="451"/>
    <x v="486"/>
    <x v="486"/>
    <x v="1"/>
  </r>
  <r>
    <x v="487"/>
    <x v="444"/>
    <x v="4"/>
    <x v="9"/>
    <x v="4"/>
    <x v="1"/>
    <x v="16"/>
    <x v="49"/>
    <x v="1"/>
    <x v="11"/>
    <x v="2"/>
    <x v="2"/>
    <x v="319"/>
    <x v="3"/>
    <x v="452"/>
    <x v="487"/>
    <x v="487"/>
    <x v="4"/>
  </r>
  <r>
    <x v="488"/>
    <x v="445"/>
    <x v="3"/>
    <x v="9"/>
    <x v="4"/>
    <x v="1"/>
    <x v="1"/>
    <x v="1"/>
    <x v="2"/>
    <x v="4"/>
    <x v="1"/>
    <x v="5"/>
    <x v="320"/>
    <x v="1"/>
    <x v="453"/>
    <x v="488"/>
    <x v="488"/>
    <x v="0"/>
  </r>
  <r>
    <x v="489"/>
    <x v="446"/>
    <x v="3"/>
    <x v="2"/>
    <x v="4"/>
    <x v="2"/>
    <x v="7"/>
    <x v="24"/>
    <x v="2"/>
    <x v="5"/>
    <x v="2"/>
    <x v="7"/>
    <x v="321"/>
    <x v="1"/>
    <x v="454"/>
    <x v="489"/>
    <x v="489"/>
    <x v="4"/>
  </r>
  <r>
    <x v="490"/>
    <x v="447"/>
    <x v="10"/>
    <x v="11"/>
    <x v="4"/>
    <x v="2"/>
    <x v="7"/>
    <x v="10"/>
    <x v="1"/>
    <x v="5"/>
    <x v="2"/>
    <x v="2"/>
    <x v="322"/>
    <x v="1"/>
    <x v="455"/>
    <x v="490"/>
    <x v="490"/>
    <x v="4"/>
  </r>
  <r>
    <x v="491"/>
    <x v="448"/>
    <x v="2"/>
    <x v="0"/>
    <x v="0"/>
    <x v="4"/>
    <x v="12"/>
    <x v="20"/>
    <x v="1"/>
    <x v="6"/>
    <x v="1"/>
    <x v="0"/>
    <x v="73"/>
    <x v="4"/>
    <x v="456"/>
    <x v="491"/>
    <x v="491"/>
    <x v="3"/>
  </r>
  <r>
    <x v="492"/>
    <x v="449"/>
    <x v="5"/>
    <x v="7"/>
    <x v="4"/>
    <x v="3"/>
    <x v="14"/>
    <x v="26"/>
    <x v="0"/>
    <x v="5"/>
    <x v="0"/>
    <x v="5"/>
    <x v="3"/>
    <x v="1"/>
    <x v="457"/>
    <x v="492"/>
    <x v="492"/>
    <x v="1"/>
  </r>
  <r>
    <x v="493"/>
    <x v="450"/>
    <x v="6"/>
    <x v="6"/>
    <x v="4"/>
    <x v="1"/>
    <x v="16"/>
    <x v="48"/>
    <x v="0"/>
    <x v="3"/>
    <x v="0"/>
    <x v="3"/>
    <x v="78"/>
    <x v="2"/>
    <x v="458"/>
    <x v="493"/>
    <x v="493"/>
    <x v="4"/>
  </r>
  <r>
    <x v="494"/>
    <x v="451"/>
    <x v="1"/>
    <x v="2"/>
    <x v="4"/>
    <x v="3"/>
    <x v="8"/>
    <x v="17"/>
    <x v="2"/>
    <x v="9"/>
    <x v="1"/>
    <x v="0"/>
    <x v="260"/>
    <x v="0"/>
    <x v="459"/>
    <x v="494"/>
    <x v="494"/>
    <x v="2"/>
  </r>
  <r>
    <x v="495"/>
    <x v="452"/>
    <x v="5"/>
    <x v="4"/>
    <x v="1"/>
    <x v="2"/>
    <x v="3"/>
    <x v="5"/>
    <x v="0"/>
    <x v="8"/>
    <x v="1"/>
    <x v="5"/>
    <x v="24"/>
    <x v="0"/>
    <x v="53"/>
    <x v="495"/>
    <x v="495"/>
    <x v="1"/>
  </r>
  <r>
    <x v="496"/>
    <x v="453"/>
    <x v="8"/>
    <x v="4"/>
    <x v="1"/>
    <x v="1"/>
    <x v="16"/>
    <x v="48"/>
    <x v="1"/>
    <x v="0"/>
    <x v="1"/>
    <x v="0"/>
    <x v="8"/>
    <x v="0"/>
    <x v="45"/>
    <x v="496"/>
    <x v="496"/>
    <x v="3"/>
  </r>
  <r>
    <x v="497"/>
    <x v="454"/>
    <x v="0"/>
    <x v="11"/>
    <x v="4"/>
    <x v="2"/>
    <x v="7"/>
    <x v="10"/>
    <x v="2"/>
    <x v="9"/>
    <x v="0"/>
    <x v="8"/>
    <x v="323"/>
    <x v="0"/>
    <x v="460"/>
    <x v="497"/>
    <x v="497"/>
    <x v="1"/>
  </r>
  <r>
    <x v="498"/>
    <x v="455"/>
    <x v="6"/>
    <x v="6"/>
    <x v="4"/>
    <x v="4"/>
    <x v="10"/>
    <x v="50"/>
    <x v="0"/>
    <x v="8"/>
    <x v="2"/>
    <x v="8"/>
    <x v="288"/>
    <x v="4"/>
    <x v="461"/>
    <x v="498"/>
    <x v="498"/>
    <x v="2"/>
  </r>
  <r>
    <x v="499"/>
    <x v="115"/>
    <x v="3"/>
    <x v="10"/>
    <x v="1"/>
    <x v="2"/>
    <x v="7"/>
    <x v="10"/>
    <x v="2"/>
    <x v="0"/>
    <x v="1"/>
    <x v="3"/>
    <x v="7"/>
    <x v="2"/>
    <x v="462"/>
    <x v="499"/>
    <x v="499"/>
    <x v="3"/>
  </r>
  <r>
    <x v="500"/>
    <x v="456"/>
    <x v="11"/>
    <x v="9"/>
    <x v="4"/>
    <x v="3"/>
    <x v="4"/>
    <x v="16"/>
    <x v="2"/>
    <x v="9"/>
    <x v="1"/>
    <x v="2"/>
    <x v="324"/>
    <x v="1"/>
    <x v="463"/>
    <x v="500"/>
    <x v="500"/>
    <x v="4"/>
  </r>
  <r>
    <x v="501"/>
    <x v="457"/>
    <x v="6"/>
    <x v="11"/>
    <x v="4"/>
    <x v="2"/>
    <x v="3"/>
    <x v="9"/>
    <x v="0"/>
    <x v="8"/>
    <x v="2"/>
    <x v="9"/>
    <x v="325"/>
    <x v="2"/>
    <x v="464"/>
    <x v="501"/>
    <x v="501"/>
    <x v="2"/>
  </r>
  <r>
    <x v="502"/>
    <x v="458"/>
    <x v="11"/>
    <x v="2"/>
    <x v="4"/>
    <x v="0"/>
    <x v="15"/>
    <x v="46"/>
    <x v="0"/>
    <x v="9"/>
    <x v="2"/>
    <x v="4"/>
    <x v="326"/>
    <x v="0"/>
    <x v="465"/>
    <x v="502"/>
    <x v="502"/>
    <x v="3"/>
  </r>
  <r>
    <x v="503"/>
    <x v="459"/>
    <x v="7"/>
    <x v="4"/>
    <x v="1"/>
    <x v="4"/>
    <x v="10"/>
    <x v="27"/>
    <x v="2"/>
    <x v="1"/>
    <x v="2"/>
    <x v="7"/>
    <x v="109"/>
    <x v="1"/>
    <x v="466"/>
    <x v="503"/>
    <x v="503"/>
    <x v="0"/>
  </r>
  <r>
    <x v="504"/>
    <x v="460"/>
    <x v="1"/>
    <x v="11"/>
    <x v="4"/>
    <x v="1"/>
    <x v="2"/>
    <x v="47"/>
    <x v="0"/>
    <x v="6"/>
    <x v="0"/>
    <x v="5"/>
    <x v="327"/>
    <x v="2"/>
    <x v="467"/>
    <x v="504"/>
    <x v="504"/>
    <x v="1"/>
  </r>
  <r>
    <x v="505"/>
    <x v="461"/>
    <x v="7"/>
    <x v="4"/>
    <x v="1"/>
    <x v="4"/>
    <x v="12"/>
    <x v="21"/>
    <x v="1"/>
    <x v="8"/>
    <x v="1"/>
    <x v="3"/>
    <x v="15"/>
    <x v="1"/>
    <x v="293"/>
    <x v="505"/>
    <x v="505"/>
    <x v="3"/>
  </r>
  <r>
    <x v="506"/>
    <x v="462"/>
    <x v="1"/>
    <x v="1"/>
    <x v="1"/>
    <x v="4"/>
    <x v="10"/>
    <x v="15"/>
    <x v="0"/>
    <x v="0"/>
    <x v="0"/>
    <x v="0"/>
    <x v="204"/>
    <x v="0"/>
    <x v="468"/>
    <x v="506"/>
    <x v="506"/>
    <x v="0"/>
  </r>
  <r>
    <x v="507"/>
    <x v="463"/>
    <x v="1"/>
    <x v="2"/>
    <x v="4"/>
    <x v="4"/>
    <x v="12"/>
    <x v="23"/>
    <x v="0"/>
    <x v="10"/>
    <x v="2"/>
    <x v="3"/>
    <x v="328"/>
    <x v="2"/>
    <x v="469"/>
    <x v="507"/>
    <x v="507"/>
    <x v="4"/>
  </r>
  <r>
    <x v="508"/>
    <x v="464"/>
    <x v="6"/>
    <x v="7"/>
    <x v="4"/>
    <x v="1"/>
    <x v="2"/>
    <x v="13"/>
    <x v="2"/>
    <x v="10"/>
    <x v="1"/>
    <x v="8"/>
    <x v="329"/>
    <x v="1"/>
    <x v="470"/>
    <x v="508"/>
    <x v="508"/>
    <x v="3"/>
  </r>
  <r>
    <x v="509"/>
    <x v="465"/>
    <x v="3"/>
    <x v="10"/>
    <x v="1"/>
    <x v="4"/>
    <x v="12"/>
    <x v="20"/>
    <x v="0"/>
    <x v="0"/>
    <x v="2"/>
    <x v="3"/>
    <x v="122"/>
    <x v="0"/>
    <x v="471"/>
    <x v="509"/>
    <x v="509"/>
    <x v="2"/>
  </r>
  <r>
    <x v="510"/>
    <x v="466"/>
    <x v="1"/>
    <x v="9"/>
    <x v="4"/>
    <x v="2"/>
    <x v="11"/>
    <x v="34"/>
    <x v="0"/>
    <x v="0"/>
    <x v="1"/>
    <x v="5"/>
    <x v="79"/>
    <x v="4"/>
    <x v="472"/>
    <x v="510"/>
    <x v="510"/>
    <x v="0"/>
  </r>
  <r>
    <x v="511"/>
    <x v="467"/>
    <x v="6"/>
    <x v="7"/>
    <x v="2"/>
    <x v="0"/>
    <x v="15"/>
    <x v="46"/>
    <x v="0"/>
    <x v="11"/>
    <x v="0"/>
    <x v="6"/>
    <x v="330"/>
    <x v="2"/>
    <x v="473"/>
    <x v="511"/>
    <x v="511"/>
    <x v="4"/>
  </r>
  <r>
    <x v="512"/>
    <x v="468"/>
    <x v="11"/>
    <x v="12"/>
    <x v="4"/>
    <x v="2"/>
    <x v="3"/>
    <x v="5"/>
    <x v="1"/>
    <x v="1"/>
    <x v="0"/>
    <x v="3"/>
    <x v="244"/>
    <x v="1"/>
    <x v="474"/>
    <x v="512"/>
    <x v="512"/>
    <x v="1"/>
  </r>
  <r>
    <x v="513"/>
    <x v="469"/>
    <x v="8"/>
    <x v="7"/>
    <x v="2"/>
    <x v="3"/>
    <x v="14"/>
    <x v="36"/>
    <x v="1"/>
    <x v="0"/>
    <x v="2"/>
    <x v="8"/>
    <x v="331"/>
    <x v="1"/>
    <x v="475"/>
    <x v="513"/>
    <x v="513"/>
    <x v="3"/>
  </r>
  <r>
    <x v="514"/>
    <x v="470"/>
    <x v="9"/>
    <x v="4"/>
    <x v="1"/>
    <x v="0"/>
    <x v="6"/>
    <x v="11"/>
    <x v="1"/>
    <x v="1"/>
    <x v="2"/>
    <x v="8"/>
    <x v="7"/>
    <x v="1"/>
    <x v="476"/>
    <x v="514"/>
    <x v="514"/>
    <x v="4"/>
  </r>
  <r>
    <x v="515"/>
    <x v="471"/>
    <x v="2"/>
    <x v="1"/>
    <x v="1"/>
    <x v="1"/>
    <x v="16"/>
    <x v="48"/>
    <x v="1"/>
    <x v="3"/>
    <x v="0"/>
    <x v="8"/>
    <x v="332"/>
    <x v="0"/>
    <x v="477"/>
    <x v="515"/>
    <x v="515"/>
    <x v="1"/>
  </r>
  <r>
    <x v="516"/>
    <x v="245"/>
    <x v="8"/>
    <x v="7"/>
    <x v="2"/>
    <x v="2"/>
    <x v="11"/>
    <x v="19"/>
    <x v="1"/>
    <x v="11"/>
    <x v="2"/>
    <x v="0"/>
    <x v="43"/>
    <x v="1"/>
    <x v="478"/>
    <x v="516"/>
    <x v="516"/>
    <x v="4"/>
  </r>
  <r>
    <x v="517"/>
    <x v="472"/>
    <x v="1"/>
    <x v="1"/>
    <x v="1"/>
    <x v="0"/>
    <x v="13"/>
    <x v="25"/>
    <x v="0"/>
    <x v="0"/>
    <x v="2"/>
    <x v="6"/>
    <x v="7"/>
    <x v="4"/>
    <x v="479"/>
    <x v="517"/>
    <x v="517"/>
    <x v="1"/>
  </r>
  <r>
    <x v="518"/>
    <x v="473"/>
    <x v="0"/>
    <x v="7"/>
    <x v="2"/>
    <x v="4"/>
    <x v="12"/>
    <x v="21"/>
    <x v="0"/>
    <x v="3"/>
    <x v="1"/>
    <x v="3"/>
    <x v="333"/>
    <x v="3"/>
    <x v="480"/>
    <x v="518"/>
    <x v="518"/>
    <x v="0"/>
  </r>
  <r>
    <x v="519"/>
    <x v="229"/>
    <x v="1"/>
    <x v="11"/>
    <x v="0"/>
    <x v="3"/>
    <x v="4"/>
    <x v="38"/>
    <x v="2"/>
    <x v="1"/>
    <x v="0"/>
    <x v="3"/>
    <x v="334"/>
    <x v="4"/>
    <x v="481"/>
    <x v="519"/>
    <x v="519"/>
    <x v="2"/>
  </r>
  <r>
    <x v="520"/>
    <x v="474"/>
    <x v="7"/>
    <x v="11"/>
    <x v="0"/>
    <x v="3"/>
    <x v="14"/>
    <x v="26"/>
    <x v="0"/>
    <x v="7"/>
    <x v="0"/>
    <x v="1"/>
    <x v="335"/>
    <x v="0"/>
    <x v="482"/>
    <x v="520"/>
    <x v="520"/>
    <x v="1"/>
  </r>
  <r>
    <x v="521"/>
    <x v="475"/>
    <x v="9"/>
    <x v="4"/>
    <x v="1"/>
    <x v="2"/>
    <x v="17"/>
    <x v="42"/>
    <x v="1"/>
    <x v="10"/>
    <x v="1"/>
    <x v="4"/>
    <x v="89"/>
    <x v="0"/>
    <x v="483"/>
    <x v="521"/>
    <x v="521"/>
    <x v="0"/>
  </r>
  <r>
    <x v="522"/>
    <x v="476"/>
    <x v="1"/>
    <x v="5"/>
    <x v="0"/>
    <x v="3"/>
    <x v="4"/>
    <x v="6"/>
    <x v="1"/>
    <x v="10"/>
    <x v="1"/>
    <x v="3"/>
    <x v="336"/>
    <x v="0"/>
    <x v="484"/>
    <x v="522"/>
    <x v="522"/>
    <x v="4"/>
  </r>
  <r>
    <x v="523"/>
    <x v="477"/>
    <x v="11"/>
    <x v="11"/>
    <x v="0"/>
    <x v="4"/>
    <x v="12"/>
    <x v="20"/>
    <x v="0"/>
    <x v="7"/>
    <x v="1"/>
    <x v="8"/>
    <x v="337"/>
    <x v="0"/>
    <x v="485"/>
    <x v="523"/>
    <x v="523"/>
    <x v="1"/>
  </r>
  <r>
    <x v="524"/>
    <x v="478"/>
    <x v="5"/>
    <x v="12"/>
    <x v="4"/>
    <x v="1"/>
    <x v="2"/>
    <x v="47"/>
    <x v="2"/>
    <x v="8"/>
    <x v="0"/>
    <x v="2"/>
    <x v="159"/>
    <x v="0"/>
    <x v="486"/>
    <x v="524"/>
    <x v="524"/>
    <x v="3"/>
  </r>
  <r>
    <x v="525"/>
    <x v="479"/>
    <x v="2"/>
    <x v="3"/>
    <x v="0"/>
    <x v="4"/>
    <x v="12"/>
    <x v="20"/>
    <x v="2"/>
    <x v="2"/>
    <x v="1"/>
    <x v="8"/>
    <x v="338"/>
    <x v="4"/>
    <x v="487"/>
    <x v="525"/>
    <x v="525"/>
    <x v="4"/>
  </r>
  <r>
    <x v="526"/>
    <x v="480"/>
    <x v="2"/>
    <x v="4"/>
    <x v="1"/>
    <x v="3"/>
    <x v="8"/>
    <x v="18"/>
    <x v="2"/>
    <x v="7"/>
    <x v="2"/>
    <x v="5"/>
    <x v="115"/>
    <x v="1"/>
    <x v="488"/>
    <x v="526"/>
    <x v="526"/>
    <x v="2"/>
  </r>
  <r>
    <x v="527"/>
    <x v="8"/>
    <x v="0"/>
    <x v="5"/>
    <x v="0"/>
    <x v="3"/>
    <x v="9"/>
    <x v="16"/>
    <x v="0"/>
    <x v="3"/>
    <x v="1"/>
    <x v="5"/>
    <x v="339"/>
    <x v="1"/>
    <x v="489"/>
    <x v="527"/>
    <x v="527"/>
    <x v="0"/>
  </r>
  <r>
    <x v="528"/>
    <x v="481"/>
    <x v="7"/>
    <x v="8"/>
    <x v="1"/>
    <x v="0"/>
    <x v="6"/>
    <x v="11"/>
    <x v="1"/>
    <x v="3"/>
    <x v="2"/>
    <x v="8"/>
    <x v="186"/>
    <x v="4"/>
    <x v="490"/>
    <x v="528"/>
    <x v="528"/>
    <x v="2"/>
  </r>
  <r>
    <x v="529"/>
    <x v="482"/>
    <x v="4"/>
    <x v="12"/>
    <x v="4"/>
    <x v="1"/>
    <x v="1"/>
    <x v="4"/>
    <x v="1"/>
    <x v="2"/>
    <x v="0"/>
    <x v="9"/>
    <x v="340"/>
    <x v="0"/>
    <x v="491"/>
    <x v="529"/>
    <x v="529"/>
    <x v="3"/>
  </r>
  <r>
    <x v="530"/>
    <x v="483"/>
    <x v="4"/>
    <x v="3"/>
    <x v="0"/>
    <x v="0"/>
    <x v="15"/>
    <x v="32"/>
    <x v="2"/>
    <x v="1"/>
    <x v="2"/>
    <x v="2"/>
    <x v="341"/>
    <x v="4"/>
    <x v="492"/>
    <x v="530"/>
    <x v="530"/>
    <x v="4"/>
  </r>
  <r>
    <x v="531"/>
    <x v="484"/>
    <x v="4"/>
    <x v="7"/>
    <x v="0"/>
    <x v="3"/>
    <x v="4"/>
    <x v="6"/>
    <x v="2"/>
    <x v="10"/>
    <x v="0"/>
    <x v="6"/>
    <x v="342"/>
    <x v="3"/>
    <x v="493"/>
    <x v="531"/>
    <x v="531"/>
    <x v="1"/>
  </r>
  <r>
    <x v="532"/>
    <x v="115"/>
    <x v="3"/>
    <x v="10"/>
    <x v="1"/>
    <x v="2"/>
    <x v="7"/>
    <x v="30"/>
    <x v="1"/>
    <x v="0"/>
    <x v="0"/>
    <x v="2"/>
    <x v="175"/>
    <x v="0"/>
    <x v="291"/>
    <x v="532"/>
    <x v="532"/>
    <x v="1"/>
  </r>
  <r>
    <x v="533"/>
    <x v="485"/>
    <x v="2"/>
    <x v="8"/>
    <x v="1"/>
    <x v="4"/>
    <x v="12"/>
    <x v="20"/>
    <x v="2"/>
    <x v="5"/>
    <x v="0"/>
    <x v="9"/>
    <x v="1"/>
    <x v="0"/>
    <x v="494"/>
    <x v="533"/>
    <x v="533"/>
    <x v="1"/>
  </r>
  <r>
    <x v="534"/>
    <x v="52"/>
    <x v="5"/>
    <x v="10"/>
    <x v="0"/>
    <x v="2"/>
    <x v="3"/>
    <x v="28"/>
    <x v="0"/>
    <x v="8"/>
    <x v="2"/>
    <x v="8"/>
    <x v="343"/>
    <x v="2"/>
    <x v="495"/>
    <x v="534"/>
    <x v="534"/>
    <x v="2"/>
  </r>
  <r>
    <x v="535"/>
    <x v="486"/>
    <x v="2"/>
    <x v="1"/>
    <x v="1"/>
    <x v="3"/>
    <x v="9"/>
    <x v="16"/>
    <x v="1"/>
    <x v="5"/>
    <x v="1"/>
    <x v="7"/>
    <x v="175"/>
    <x v="2"/>
    <x v="496"/>
    <x v="535"/>
    <x v="535"/>
    <x v="0"/>
  </r>
  <r>
    <x v="536"/>
    <x v="487"/>
    <x v="11"/>
    <x v="1"/>
    <x v="1"/>
    <x v="0"/>
    <x v="6"/>
    <x v="8"/>
    <x v="2"/>
    <x v="7"/>
    <x v="1"/>
    <x v="5"/>
    <x v="47"/>
    <x v="1"/>
    <x v="301"/>
    <x v="536"/>
    <x v="536"/>
    <x v="2"/>
  </r>
  <r>
    <x v="537"/>
    <x v="488"/>
    <x v="11"/>
    <x v="1"/>
    <x v="1"/>
    <x v="3"/>
    <x v="4"/>
    <x v="16"/>
    <x v="1"/>
    <x v="0"/>
    <x v="0"/>
    <x v="2"/>
    <x v="186"/>
    <x v="2"/>
    <x v="497"/>
    <x v="537"/>
    <x v="537"/>
    <x v="2"/>
  </r>
  <r>
    <x v="538"/>
    <x v="489"/>
    <x v="11"/>
    <x v="12"/>
    <x v="4"/>
    <x v="4"/>
    <x v="10"/>
    <x v="27"/>
    <x v="0"/>
    <x v="9"/>
    <x v="2"/>
    <x v="0"/>
    <x v="82"/>
    <x v="1"/>
    <x v="498"/>
    <x v="538"/>
    <x v="538"/>
    <x v="0"/>
  </r>
  <r>
    <x v="539"/>
    <x v="490"/>
    <x v="5"/>
    <x v="8"/>
    <x v="1"/>
    <x v="4"/>
    <x v="12"/>
    <x v="20"/>
    <x v="1"/>
    <x v="9"/>
    <x v="0"/>
    <x v="8"/>
    <x v="41"/>
    <x v="1"/>
    <x v="499"/>
    <x v="539"/>
    <x v="539"/>
    <x v="2"/>
  </r>
  <r>
    <x v="540"/>
    <x v="491"/>
    <x v="10"/>
    <x v="8"/>
    <x v="1"/>
    <x v="1"/>
    <x v="2"/>
    <x v="3"/>
    <x v="1"/>
    <x v="0"/>
    <x v="1"/>
    <x v="2"/>
    <x v="115"/>
    <x v="0"/>
    <x v="500"/>
    <x v="540"/>
    <x v="540"/>
    <x v="0"/>
  </r>
  <r>
    <x v="541"/>
    <x v="492"/>
    <x v="2"/>
    <x v="1"/>
    <x v="1"/>
    <x v="0"/>
    <x v="15"/>
    <x v="41"/>
    <x v="0"/>
    <x v="9"/>
    <x v="1"/>
    <x v="4"/>
    <x v="344"/>
    <x v="2"/>
    <x v="501"/>
    <x v="541"/>
    <x v="541"/>
    <x v="3"/>
  </r>
  <r>
    <x v="542"/>
    <x v="493"/>
    <x v="5"/>
    <x v="10"/>
    <x v="0"/>
    <x v="1"/>
    <x v="5"/>
    <x v="51"/>
    <x v="1"/>
    <x v="4"/>
    <x v="0"/>
    <x v="8"/>
    <x v="207"/>
    <x v="0"/>
    <x v="502"/>
    <x v="542"/>
    <x v="542"/>
    <x v="1"/>
  </r>
  <r>
    <x v="543"/>
    <x v="275"/>
    <x v="7"/>
    <x v="6"/>
    <x v="1"/>
    <x v="1"/>
    <x v="5"/>
    <x v="51"/>
    <x v="0"/>
    <x v="2"/>
    <x v="0"/>
    <x v="4"/>
    <x v="345"/>
    <x v="4"/>
    <x v="503"/>
    <x v="543"/>
    <x v="543"/>
    <x v="0"/>
  </r>
  <r>
    <x v="544"/>
    <x v="199"/>
    <x v="0"/>
    <x v="5"/>
    <x v="0"/>
    <x v="4"/>
    <x v="12"/>
    <x v="23"/>
    <x v="1"/>
    <x v="6"/>
    <x v="0"/>
    <x v="3"/>
    <x v="170"/>
    <x v="0"/>
    <x v="504"/>
    <x v="544"/>
    <x v="544"/>
    <x v="0"/>
  </r>
  <r>
    <x v="545"/>
    <x v="494"/>
    <x v="9"/>
    <x v="3"/>
    <x v="0"/>
    <x v="1"/>
    <x v="1"/>
    <x v="44"/>
    <x v="1"/>
    <x v="0"/>
    <x v="2"/>
    <x v="7"/>
    <x v="346"/>
    <x v="0"/>
    <x v="505"/>
    <x v="545"/>
    <x v="545"/>
    <x v="2"/>
  </r>
  <r>
    <x v="546"/>
    <x v="123"/>
    <x v="3"/>
    <x v="10"/>
    <x v="1"/>
    <x v="0"/>
    <x v="13"/>
    <x v="22"/>
    <x v="2"/>
    <x v="11"/>
    <x v="0"/>
    <x v="3"/>
    <x v="347"/>
    <x v="0"/>
    <x v="506"/>
    <x v="546"/>
    <x v="546"/>
    <x v="4"/>
  </r>
  <r>
    <x v="547"/>
    <x v="495"/>
    <x v="7"/>
    <x v="4"/>
    <x v="1"/>
    <x v="3"/>
    <x v="9"/>
    <x v="35"/>
    <x v="2"/>
    <x v="8"/>
    <x v="0"/>
    <x v="7"/>
    <x v="87"/>
    <x v="3"/>
    <x v="186"/>
    <x v="547"/>
    <x v="547"/>
    <x v="2"/>
  </r>
  <r>
    <x v="548"/>
    <x v="496"/>
    <x v="11"/>
    <x v="11"/>
    <x v="0"/>
    <x v="4"/>
    <x v="12"/>
    <x v="21"/>
    <x v="1"/>
    <x v="4"/>
    <x v="2"/>
    <x v="0"/>
    <x v="348"/>
    <x v="4"/>
    <x v="507"/>
    <x v="548"/>
    <x v="548"/>
    <x v="4"/>
  </r>
  <r>
    <x v="549"/>
    <x v="497"/>
    <x v="4"/>
    <x v="8"/>
    <x v="1"/>
    <x v="3"/>
    <x v="9"/>
    <x v="14"/>
    <x v="0"/>
    <x v="4"/>
    <x v="2"/>
    <x v="1"/>
    <x v="349"/>
    <x v="1"/>
    <x v="508"/>
    <x v="549"/>
    <x v="549"/>
    <x v="4"/>
  </r>
  <r>
    <x v="550"/>
    <x v="498"/>
    <x v="1"/>
    <x v="5"/>
    <x v="0"/>
    <x v="0"/>
    <x v="0"/>
    <x v="0"/>
    <x v="1"/>
    <x v="1"/>
    <x v="1"/>
    <x v="0"/>
    <x v="29"/>
    <x v="1"/>
    <x v="509"/>
    <x v="550"/>
    <x v="550"/>
    <x v="1"/>
  </r>
  <r>
    <x v="551"/>
    <x v="499"/>
    <x v="2"/>
    <x v="0"/>
    <x v="0"/>
    <x v="1"/>
    <x v="2"/>
    <x v="47"/>
    <x v="0"/>
    <x v="0"/>
    <x v="2"/>
    <x v="4"/>
    <x v="69"/>
    <x v="2"/>
    <x v="510"/>
    <x v="551"/>
    <x v="551"/>
    <x v="0"/>
  </r>
  <r>
    <x v="552"/>
    <x v="500"/>
    <x v="4"/>
    <x v="12"/>
    <x v="4"/>
    <x v="4"/>
    <x v="12"/>
    <x v="21"/>
    <x v="2"/>
    <x v="4"/>
    <x v="1"/>
    <x v="9"/>
    <x v="140"/>
    <x v="1"/>
    <x v="511"/>
    <x v="552"/>
    <x v="552"/>
    <x v="4"/>
  </r>
  <r>
    <x v="553"/>
    <x v="159"/>
    <x v="3"/>
    <x v="7"/>
    <x v="0"/>
    <x v="4"/>
    <x v="12"/>
    <x v="20"/>
    <x v="2"/>
    <x v="6"/>
    <x v="1"/>
    <x v="8"/>
    <x v="245"/>
    <x v="0"/>
    <x v="512"/>
    <x v="553"/>
    <x v="553"/>
    <x v="3"/>
  </r>
  <r>
    <x v="554"/>
    <x v="96"/>
    <x v="3"/>
    <x v="10"/>
    <x v="0"/>
    <x v="0"/>
    <x v="0"/>
    <x v="0"/>
    <x v="1"/>
    <x v="6"/>
    <x v="2"/>
    <x v="3"/>
    <x v="350"/>
    <x v="0"/>
    <x v="513"/>
    <x v="554"/>
    <x v="554"/>
    <x v="1"/>
  </r>
  <r>
    <x v="555"/>
    <x v="501"/>
    <x v="4"/>
    <x v="9"/>
    <x v="0"/>
    <x v="1"/>
    <x v="2"/>
    <x v="13"/>
    <x v="2"/>
    <x v="8"/>
    <x v="1"/>
    <x v="6"/>
    <x v="351"/>
    <x v="1"/>
    <x v="514"/>
    <x v="555"/>
    <x v="555"/>
    <x v="0"/>
  </r>
  <r>
    <x v="556"/>
    <x v="228"/>
    <x v="3"/>
    <x v="10"/>
    <x v="1"/>
    <x v="1"/>
    <x v="2"/>
    <x v="3"/>
    <x v="2"/>
    <x v="6"/>
    <x v="0"/>
    <x v="9"/>
    <x v="347"/>
    <x v="1"/>
    <x v="515"/>
    <x v="556"/>
    <x v="556"/>
    <x v="4"/>
  </r>
  <r>
    <x v="557"/>
    <x v="326"/>
    <x v="3"/>
    <x v="10"/>
    <x v="0"/>
    <x v="0"/>
    <x v="13"/>
    <x v="29"/>
    <x v="1"/>
    <x v="1"/>
    <x v="2"/>
    <x v="2"/>
    <x v="352"/>
    <x v="0"/>
    <x v="516"/>
    <x v="557"/>
    <x v="557"/>
    <x v="4"/>
  </r>
  <r>
    <x v="558"/>
    <x v="502"/>
    <x v="7"/>
    <x v="12"/>
    <x v="4"/>
    <x v="3"/>
    <x v="8"/>
    <x v="18"/>
    <x v="1"/>
    <x v="7"/>
    <x v="0"/>
    <x v="3"/>
    <x v="97"/>
    <x v="1"/>
    <x v="517"/>
    <x v="558"/>
    <x v="558"/>
    <x v="3"/>
  </r>
  <r>
    <x v="559"/>
    <x v="503"/>
    <x v="5"/>
    <x v="0"/>
    <x v="0"/>
    <x v="1"/>
    <x v="5"/>
    <x v="45"/>
    <x v="1"/>
    <x v="2"/>
    <x v="2"/>
    <x v="0"/>
    <x v="168"/>
    <x v="3"/>
    <x v="352"/>
    <x v="559"/>
    <x v="559"/>
    <x v="1"/>
  </r>
  <r>
    <x v="560"/>
    <x v="504"/>
    <x v="11"/>
    <x v="0"/>
    <x v="0"/>
    <x v="0"/>
    <x v="0"/>
    <x v="2"/>
    <x v="0"/>
    <x v="0"/>
    <x v="2"/>
    <x v="1"/>
    <x v="353"/>
    <x v="0"/>
    <x v="518"/>
    <x v="560"/>
    <x v="560"/>
    <x v="0"/>
  </r>
  <r>
    <x v="561"/>
    <x v="505"/>
    <x v="4"/>
    <x v="7"/>
    <x v="0"/>
    <x v="4"/>
    <x v="10"/>
    <x v="15"/>
    <x v="1"/>
    <x v="7"/>
    <x v="1"/>
    <x v="4"/>
    <x v="354"/>
    <x v="1"/>
    <x v="519"/>
    <x v="561"/>
    <x v="561"/>
    <x v="2"/>
  </r>
  <r>
    <x v="562"/>
    <x v="506"/>
    <x v="1"/>
    <x v="5"/>
    <x v="0"/>
    <x v="4"/>
    <x v="12"/>
    <x v="23"/>
    <x v="2"/>
    <x v="11"/>
    <x v="1"/>
    <x v="0"/>
    <x v="79"/>
    <x v="0"/>
    <x v="520"/>
    <x v="562"/>
    <x v="562"/>
    <x v="1"/>
  </r>
  <r>
    <x v="563"/>
    <x v="507"/>
    <x v="1"/>
    <x v="5"/>
    <x v="0"/>
    <x v="2"/>
    <x v="17"/>
    <x v="52"/>
    <x v="1"/>
    <x v="0"/>
    <x v="1"/>
    <x v="8"/>
    <x v="13"/>
    <x v="0"/>
    <x v="521"/>
    <x v="563"/>
    <x v="563"/>
    <x v="3"/>
  </r>
  <r>
    <x v="564"/>
    <x v="508"/>
    <x v="0"/>
    <x v="7"/>
    <x v="0"/>
    <x v="0"/>
    <x v="13"/>
    <x v="25"/>
    <x v="1"/>
    <x v="2"/>
    <x v="0"/>
    <x v="3"/>
    <x v="355"/>
    <x v="0"/>
    <x v="522"/>
    <x v="564"/>
    <x v="564"/>
    <x v="2"/>
  </r>
  <r>
    <x v="565"/>
    <x v="509"/>
    <x v="9"/>
    <x v="0"/>
    <x v="0"/>
    <x v="2"/>
    <x v="17"/>
    <x v="39"/>
    <x v="2"/>
    <x v="4"/>
    <x v="2"/>
    <x v="8"/>
    <x v="244"/>
    <x v="0"/>
    <x v="523"/>
    <x v="565"/>
    <x v="565"/>
    <x v="2"/>
  </r>
  <r>
    <x v="566"/>
    <x v="510"/>
    <x v="11"/>
    <x v="3"/>
    <x v="0"/>
    <x v="1"/>
    <x v="16"/>
    <x v="49"/>
    <x v="0"/>
    <x v="11"/>
    <x v="2"/>
    <x v="1"/>
    <x v="356"/>
    <x v="2"/>
    <x v="524"/>
    <x v="566"/>
    <x v="566"/>
    <x v="3"/>
  </r>
  <r>
    <x v="567"/>
    <x v="511"/>
    <x v="6"/>
    <x v="6"/>
    <x v="0"/>
    <x v="1"/>
    <x v="16"/>
    <x v="33"/>
    <x v="1"/>
    <x v="0"/>
    <x v="0"/>
    <x v="2"/>
    <x v="357"/>
    <x v="0"/>
    <x v="525"/>
    <x v="567"/>
    <x v="567"/>
    <x v="1"/>
  </r>
  <r>
    <x v="568"/>
    <x v="213"/>
    <x v="3"/>
    <x v="10"/>
    <x v="0"/>
    <x v="4"/>
    <x v="12"/>
    <x v="21"/>
    <x v="2"/>
    <x v="8"/>
    <x v="0"/>
    <x v="3"/>
    <x v="358"/>
    <x v="2"/>
    <x v="526"/>
    <x v="568"/>
    <x v="568"/>
    <x v="3"/>
  </r>
  <r>
    <x v="569"/>
    <x v="199"/>
    <x v="0"/>
    <x v="5"/>
    <x v="0"/>
    <x v="2"/>
    <x v="7"/>
    <x v="30"/>
    <x v="0"/>
    <x v="0"/>
    <x v="2"/>
    <x v="4"/>
    <x v="289"/>
    <x v="4"/>
    <x v="527"/>
    <x v="569"/>
    <x v="569"/>
    <x v="1"/>
  </r>
  <r>
    <x v="570"/>
    <x v="512"/>
    <x v="4"/>
    <x v="1"/>
    <x v="1"/>
    <x v="1"/>
    <x v="16"/>
    <x v="49"/>
    <x v="0"/>
    <x v="5"/>
    <x v="1"/>
    <x v="6"/>
    <x v="202"/>
    <x v="3"/>
    <x v="528"/>
    <x v="570"/>
    <x v="570"/>
    <x v="4"/>
  </r>
  <r>
    <x v="571"/>
    <x v="513"/>
    <x v="4"/>
    <x v="0"/>
    <x v="0"/>
    <x v="3"/>
    <x v="14"/>
    <x v="26"/>
    <x v="2"/>
    <x v="11"/>
    <x v="1"/>
    <x v="4"/>
    <x v="156"/>
    <x v="0"/>
    <x v="529"/>
    <x v="571"/>
    <x v="571"/>
    <x v="0"/>
  </r>
  <r>
    <x v="572"/>
    <x v="514"/>
    <x v="5"/>
    <x v="10"/>
    <x v="0"/>
    <x v="1"/>
    <x v="1"/>
    <x v="44"/>
    <x v="2"/>
    <x v="0"/>
    <x v="0"/>
    <x v="6"/>
    <x v="359"/>
    <x v="1"/>
    <x v="530"/>
    <x v="572"/>
    <x v="572"/>
    <x v="0"/>
  </r>
  <r>
    <x v="573"/>
    <x v="128"/>
    <x v="1"/>
    <x v="8"/>
    <x v="1"/>
    <x v="4"/>
    <x v="12"/>
    <x v="20"/>
    <x v="1"/>
    <x v="0"/>
    <x v="2"/>
    <x v="3"/>
    <x v="360"/>
    <x v="2"/>
    <x v="51"/>
    <x v="573"/>
    <x v="573"/>
    <x v="1"/>
  </r>
  <r>
    <x v="574"/>
    <x v="515"/>
    <x v="6"/>
    <x v="7"/>
    <x v="0"/>
    <x v="2"/>
    <x v="7"/>
    <x v="10"/>
    <x v="2"/>
    <x v="9"/>
    <x v="2"/>
    <x v="0"/>
    <x v="165"/>
    <x v="0"/>
    <x v="531"/>
    <x v="574"/>
    <x v="574"/>
    <x v="3"/>
  </r>
  <r>
    <x v="575"/>
    <x v="516"/>
    <x v="4"/>
    <x v="7"/>
    <x v="0"/>
    <x v="3"/>
    <x v="9"/>
    <x v="16"/>
    <x v="1"/>
    <x v="5"/>
    <x v="2"/>
    <x v="5"/>
    <x v="361"/>
    <x v="3"/>
    <x v="532"/>
    <x v="575"/>
    <x v="575"/>
    <x v="1"/>
  </r>
  <r>
    <x v="576"/>
    <x v="517"/>
    <x v="4"/>
    <x v="1"/>
    <x v="1"/>
    <x v="3"/>
    <x v="9"/>
    <x v="16"/>
    <x v="0"/>
    <x v="4"/>
    <x v="1"/>
    <x v="7"/>
    <x v="74"/>
    <x v="3"/>
    <x v="53"/>
    <x v="576"/>
    <x v="576"/>
    <x v="0"/>
  </r>
  <r>
    <x v="577"/>
    <x v="518"/>
    <x v="11"/>
    <x v="2"/>
    <x v="0"/>
    <x v="4"/>
    <x v="12"/>
    <x v="23"/>
    <x v="2"/>
    <x v="0"/>
    <x v="1"/>
    <x v="8"/>
    <x v="310"/>
    <x v="1"/>
    <x v="533"/>
    <x v="577"/>
    <x v="577"/>
    <x v="1"/>
  </r>
  <r>
    <x v="578"/>
    <x v="519"/>
    <x v="11"/>
    <x v="8"/>
    <x v="1"/>
    <x v="1"/>
    <x v="16"/>
    <x v="48"/>
    <x v="2"/>
    <x v="7"/>
    <x v="0"/>
    <x v="9"/>
    <x v="89"/>
    <x v="1"/>
    <x v="99"/>
    <x v="578"/>
    <x v="578"/>
    <x v="0"/>
  </r>
  <r>
    <x v="579"/>
    <x v="183"/>
    <x v="2"/>
    <x v="12"/>
    <x v="4"/>
    <x v="1"/>
    <x v="5"/>
    <x v="45"/>
    <x v="0"/>
    <x v="6"/>
    <x v="1"/>
    <x v="4"/>
    <x v="362"/>
    <x v="4"/>
    <x v="534"/>
    <x v="579"/>
    <x v="579"/>
    <x v="1"/>
  </r>
  <r>
    <x v="580"/>
    <x v="520"/>
    <x v="9"/>
    <x v="7"/>
    <x v="0"/>
    <x v="2"/>
    <x v="7"/>
    <x v="30"/>
    <x v="1"/>
    <x v="4"/>
    <x v="0"/>
    <x v="9"/>
    <x v="333"/>
    <x v="4"/>
    <x v="535"/>
    <x v="580"/>
    <x v="580"/>
    <x v="3"/>
  </r>
  <r>
    <x v="581"/>
    <x v="521"/>
    <x v="2"/>
    <x v="2"/>
    <x v="0"/>
    <x v="3"/>
    <x v="8"/>
    <x v="12"/>
    <x v="1"/>
    <x v="3"/>
    <x v="0"/>
    <x v="7"/>
    <x v="317"/>
    <x v="1"/>
    <x v="536"/>
    <x v="581"/>
    <x v="581"/>
    <x v="0"/>
  </r>
  <r>
    <x v="582"/>
    <x v="522"/>
    <x v="11"/>
    <x v="7"/>
    <x v="0"/>
    <x v="3"/>
    <x v="14"/>
    <x v="26"/>
    <x v="2"/>
    <x v="5"/>
    <x v="2"/>
    <x v="5"/>
    <x v="363"/>
    <x v="1"/>
    <x v="537"/>
    <x v="582"/>
    <x v="582"/>
    <x v="4"/>
  </r>
  <r>
    <x v="583"/>
    <x v="523"/>
    <x v="8"/>
    <x v="7"/>
    <x v="0"/>
    <x v="0"/>
    <x v="0"/>
    <x v="43"/>
    <x v="1"/>
    <x v="11"/>
    <x v="2"/>
    <x v="1"/>
    <x v="364"/>
    <x v="4"/>
    <x v="538"/>
    <x v="583"/>
    <x v="583"/>
    <x v="2"/>
  </r>
  <r>
    <x v="584"/>
    <x v="524"/>
    <x v="10"/>
    <x v="7"/>
    <x v="0"/>
    <x v="0"/>
    <x v="15"/>
    <x v="41"/>
    <x v="2"/>
    <x v="2"/>
    <x v="2"/>
    <x v="6"/>
    <x v="36"/>
    <x v="0"/>
    <x v="539"/>
    <x v="584"/>
    <x v="584"/>
    <x v="0"/>
  </r>
  <r>
    <x v="585"/>
    <x v="525"/>
    <x v="8"/>
    <x v="7"/>
    <x v="0"/>
    <x v="0"/>
    <x v="15"/>
    <x v="46"/>
    <x v="0"/>
    <x v="1"/>
    <x v="2"/>
    <x v="4"/>
    <x v="365"/>
    <x v="0"/>
    <x v="540"/>
    <x v="585"/>
    <x v="585"/>
    <x v="4"/>
  </r>
  <r>
    <x v="586"/>
    <x v="92"/>
    <x v="3"/>
    <x v="0"/>
    <x v="0"/>
    <x v="1"/>
    <x v="1"/>
    <x v="4"/>
    <x v="0"/>
    <x v="0"/>
    <x v="0"/>
    <x v="4"/>
    <x v="39"/>
    <x v="0"/>
    <x v="43"/>
    <x v="586"/>
    <x v="586"/>
    <x v="3"/>
  </r>
  <r>
    <x v="587"/>
    <x v="526"/>
    <x v="11"/>
    <x v="3"/>
    <x v="0"/>
    <x v="4"/>
    <x v="10"/>
    <x v="15"/>
    <x v="2"/>
    <x v="0"/>
    <x v="1"/>
    <x v="8"/>
    <x v="366"/>
    <x v="1"/>
    <x v="541"/>
    <x v="587"/>
    <x v="587"/>
    <x v="0"/>
  </r>
  <r>
    <x v="588"/>
    <x v="514"/>
    <x v="5"/>
    <x v="10"/>
    <x v="0"/>
    <x v="4"/>
    <x v="10"/>
    <x v="27"/>
    <x v="2"/>
    <x v="2"/>
    <x v="2"/>
    <x v="2"/>
    <x v="367"/>
    <x v="0"/>
    <x v="542"/>
    <x v="588"/>
    <x v="588"/>
    <x v="3"/>
  </r>
  <r>
    <x v="589"/>
    <x v="527"/>
    <x v="2"/>
    <x v="4"/>
    <x v="1"/>
    <x v="0"/>
    <x v="13"/>
    <x v="29"/>
    <x v="2"/>
    <x v="6"/>
    <x v="2"/>
    <x v="7"/>
    <x v="47"/>
    <x v="0"/>
    <x v="241"/>
    <x v="589"/>
    <x v="589"/>
    <x v="0"/>
  </r>
  <r>
    <x v="590"/>
    <x v="528"/>
    <x v="2"/>
    <x v="0"/>
    <x v="0"/>
    <x v="0"/>
    <x v="0"/>
    <x v="0"/>
    <x v="2"/>
    <x v="8"/>
    <x v="2"/>
    <x v="2"/>
    <x v="368"/>
    <x v="4"/>
    <x v="543"/>
    <x v="590"/>
    <x v="590"/>
    <x v="4"/>
  </r>
  <r>
    <x v="591"/>
    <x v="529"/>
    <x v="4"/>
    <x v="9"/>
    <x v="0"/>
    <x v="1"/>
    <x v="5"/>
    <x v="51"/>
    <x v="1"/>
    <x v="11"/>
    <x v="1"/>
    <x v="5"/>
    <x v="153"/>
    <x v="4"/>
    <x v="544"/>
    <x v="591"/>
    <x v="591"/>
    <x v="4"/>
  </r>
  <r>
    <x v="592"/>
    <x v="120"/>
    <x v="1"/>
    <x v="5"/>
    <x v="0"/>
    <x v="4"/>
    <x v="12"/>
    <x v="23"/>
    <x v="2"/>
    <x v="6"/>
    <x v="0"/>
    <x v="3"/>
    <x v="369"/>
    <x v="0"/>
    <x v="545"/>
    <x v="592"/>
    <x v="592"/>
    <x v="2"/>
  </r>
  <r>
    <x v="593"/>
    <x v="78"/>
    <x v="1"/>
    <x v="1"/>
    <x v="1"/>
    <x v="3"/>
    <x v="4"/>
    <x v="38"/>
    <x v="2"/>
    <x v="8"/>
    <x v="2"/>
    <x v="0"/>
    <x v="370"/>
    <x v="1"/>
    <x v="546"/>
    <x v="593"/>
    <x v="593"/>
    <x v="2"/>
  </r>
  <r>
    <x v="594"/>
    <x v="530"/>
    <x v="9"/>
    <x v="8"/>
    <x v="1"/>
    <x v="4"/>
    <x v="12"/>
    <x v="20"/>
    <x v="0"/>
    <x v="10"/>
    <x v="1"/>
    <x v="1"/>
    <x v="1"/>
    <x v="4"/>
    <x v="547"/>
    <x v="594"/>
    <x v="594"/>
    <x v="2"/>
  </r>
  <r>
    <x v="595"/>
    <x v="531"/>
    <x v="9"/>
    <x v="12"/>
    <x v="4"/>
    <x v="4"/>
    <x v="12"/>
    <x v="23"/>
    <x v="2"/>
    <x v="7"/>
    <x v="0"/>
    <x v="2"/>
    <x v="69"/>
    <x v="2"/>
    <x v="548"/>
    <x v="595"/>
    <x v="595"/>
    <x v="2"/>
  </r>
  <r>
    <x v="596"/>
    <x v="532"/>
    <x v="1"/>
    <x v="5"/>
    <x v="1"/>
    <x v="2"/>
    <x v="11"/>
    <x v="37"/>
    <x v="0"/>
    <x v="10"/>
    <x v="0"/>
    <x v="0"/>
    <x v="349"/>
    <x v="4"/>
    <x v="549"/>
    <x v="596"/>
    <x v="596"/>
    <x v="4"/>
  </r>
  <r>
    <x v="597"/>
    <x v="533"/>
    <x v="2"/>
    <x v="7"/>
    <x v="0"/>
    <x v="2"/>
    <x v="3"/>
    <x v="28"/>
    <x v="0"/>
    <x v="6"/>
    <x v="2"/>
    <x v="4"/>
    <x v="166"/>
    <x v="2"/>
    <x v="550"/>
    <x v="597"/>
    <x v="597"/>
    <x v="0"/>
  </r>
  <r>
    <x v="598"/>
    <x v="534"/>
    <x v="9"/>
    <x v="8"/>
    <x v="1"/>
    <x v="4"/>
    <x v="12"/>
    <x v="23"/>
    <x v="1"/>
    <x v="4"/>
    <x v="1"/>
    <x v="3"/>
    <x v="360"/>
    <x v="4"/>
    <x v="551"/>
    <x v="598"/>
    <x v="598"/>
    <x v="4"/>
  </r>
  <r>
    <x v="599"/>
    <x v="535"/>
    <x v="1"/>
    <x v="7"/>
    <x v="0"/>
    <x v="4"/>
    <x v="10"/>
    <x v="50"/>
    <x v="0"/>
    <x v="4"/>
    <x v="1"/>
    <x v="6"/>
    <x v="3"/>
    <x v="0"/>
    <x v="3"/>
    <x v="599"/>
    <x v="599"/>
    <x v="4"/>
  </r>
  <r>
    <x v="600"/>
    <x v="536"/>
    <x v="9"/>
    <x v="3"/>
    <x v="0"/>
    <x v="2"/>
    <x v="7"/>
    <x v="10"/>
    <x v="1"/>
    <x v="1"/>
    <x v="0"/>
    <x v="4"/>
    <x v="184"/>
    <x v="0"/>
    <x v="228"/>
    <x v="600"/>
    <x v="600"/>
    <x v="3"/>
  </r>
  <r>
    <x v="601"/>
    <x v="151"/>
    <x v="0"/>
    <x v="5"/>
    <x v="1"/>
    <x v="0"/>
    <x v="0"/>
    <x v="2"/>
    <x v="2"/>
    <x v="8"/>
    <x v="0"/>
    <x v="0"/>
    <x v="125"/>
    <x v="2"/>
    <x v="552"/>
    <x v="601"/>
    <x v="601"/>
    <x v="4"/>
  </r>
  <r>
    <x v="602"/>
    <x v="537"/>
    <x v="11"/>
    <x v="12"/>
    <x v="4"/>
    <x v="0"/>
    <x v="15"/>
    <x v="46"/>
    <x v="2"/>
    <x v="0"/>
    <x v="2"/>
    <x v="5"/>
    <x v="121"/>
    <x v="1"/>
    <x v="553"/>
    <x v="602"/>
    <x v="602"/>
    <x v="1"/>
  </r>
  <r>
    <x v="603"/>
    <x v="538"/>
    <x v="7"/>
    <x v="6"/>
    <x v="0"/>
    <x v="3"/>
    <x v="9"/>
    <x v="35"/>
    <x v="1"/>
    <x v="2"/>
    <x v="1"/>
    <x v="7"/>
    <x v="5"/>
    <x v="0"/>
    <x v="554"/>
    <x v="603"/>
    <x v="603"/>
    <x v="1"/>
  </r>
  <r>
    <x v="604"/>
    <x v="539"/>
    <x v="11"/>
    <x v="3"/>
    <x v="0"/>
    <x v="4"/>
    <x v="12"/>
    <x v="21"/>
    <x v="0"/>
    <x v="2"/>
    <x v="0"/>
    <x v="8"/>
    <x v="334"/>
    <x v="0"/>
    <x v="555"/>
    <x v="604"/>
    <x v="604"/>
    <x v="2"/>
  </r>
  <r>
    <x v="605"/>
    <x v="540"/>
    <x v="0"/>
    <x v="4"/>
    <x v="1"/>
    <x v="1"/>
    <x v="16"/>
    <x v="33"/>
    <x v="2"/>
    <x v="0"/>
    <x v="1"/>
    <x v="1"/>
    <x v="169"/>
    <x v="2"/>
    <x v="556"/>
    <x v="605"/>
    <x v="605"/>
    <x v="1"/>
  </r>
  <r>
    <x v="606"/>
    <x v="541"/>
    <x v="1"/>
    <x v="1"/>
    <x v="1"/>
    <x v="4"/>
    <x v="10"/>
    <x v="15"/>
    <x v="1"/>
    <x v="11"/>
    <x v="1"/>
    <x v="1"/>
    <x v="24"/>
    <x v="4"/>
    <x v="557"/>
    <x v="606"/>
    <x v="606"/>
    <x v="1"/>
  </r>
  <r>
    <x v="607"/>
    <x v="542"/>
    <x v="4"/>
    <x v="12"/>
    <x v="4"/>
    <x v="0"/>
    <x v="15"/>
    <x v="41"/>
    <x v="1"/>
    <x v="0"/>
    <x v="1"/>
    <x v="5"/>
    <x v="371"/>
    <x v="2"/>
    <x v="558"/>
    <x v="607"/>
    <x v="607"/>
    <x v="1"/>
  </r>
  <r>
    <x v="608"/>
    <x v="543"/>
    <x v="10"/>
    <x v="11"/>
    <x v="0"/>
    <x v="4"/>
    <x v="12"/>
    <x v="20"/>
    <x v="2"/>
    <x v="6"/>
    <x v="0"/>
    <x v="9"/>
    <x v="372"/>
    <x v="2"/>
    <x v="559"/>
    <x v="608"/>
    <x v="608"/>
    <x v="4"/>
  </r>
  <r>
    <x v="609"/>
    <x v="544"/>
    <x v="1"/>
    <x v="7"/>
    <x v="0"/>
    <x v="1"/>
    <x v="2"/>
    <x v="47"/>
    <x v="1"/>
    <x v="0"/>
    <x v="0"/>
    <x v="3"/>
    <x v="57"/>
    <x v="2"/>
    <x v="560"/>
    <x v="609"/>
    <x v="609"/>
    <x v="0"/>
  </r>
  <r>
    <x v="610"/>
    <x v="545"/>
    <x v="8"/>
    <x v="3"/>
    <x v="0"/>
    <x v="1"/>
    <x v="2"/>
    <x v="3"/>
    <x v="1"/>
    <x v="4"/>
    <x v="2"/>
    <x v="8"/>
    <x v="373"/>
    <x v="0"/>
    <x v="561"/>
    <x v="610"/>
    <x v="610"/>
    <x v="4"/>
  </r>
  <r>
    <x v="611"/>
    <x v="546"/>
    <x v="0"/>
    <x v="4"/>
    <x v="1"/>
    <x v="0"/>
    <x v="0"/>
    <x v="2"/>
    <x v="2"/>
    <x v="0"/>
    <x v="2"/>
    <x v="8"/>
    <x v="89"/>
    <x v="3"/>
    <x v="562"/>
    <x v="611"/>
    <x v="611"/>
    <x v="3"/>
  </r>
  <r>
    <x v="612"/>
    <x v="547"/>
    <x v="7"/>
    <x v="2"/>
    <x v="0"/>
    <x v="3"/>
    <x v="8"/>
    <x v="12"/>
    <x v="1"/>
    <x v="0"/>
    <x v="0"/>
    <x v="3"/>
    <x v="235"/>
    <x v="0"/>
    <x v="310"/>
    <x v="612"/>
    <x v="612"/>
    <x v="2"/>
  </r>
  <r>
    <x v="613"/>
    <x v="548"/>
    <x v="0"/>
    <x v="7"/>
    <x v="0"/>
    <x v="2"/>
    <x v="11"/>
    <x v="19"/>
    <x v="1"/>
    <x v="10"/>
    <x v="0"/>
    <x v="0"/>
    <x v="374"/>
    <x v="3"/>
    <x v="563"/>
    <x v="613"/>
    <x v="613"/>
    <x v="0"/>
  </r>
  <r>
    <x v="614"/>
    <x v="549"/>
    <x v="0"/>
    <x v="2"/>
    <x v="0"/>
    <x v="1"/>
    <x v="1"/>
    <x v="4"/>
    <x v="2"/>
    <x v="11"/>
    <x v="1"/>
    <x v="4"/>
    <x v="375"/>
    <x v="4"/>
    <x v="564"/>
    <x v="614"/>
    <x v="614"/>
    <x v="1"/>
  </r>
  <r>
    <x v="615"/>
    <x v="550"/>
    <x v="8"/>
    <x v="8"/>
    <x v="1"/>
    <x v="1"/>
    <x v="1"/>
    <x v="44"/>
    <x v="1"/>
    <x v="9"/>
    <x v="1"/>
    <x v="5"/>
    <x v="12"/>
    <x v="4"/>
    <x v="565"/>
    <x v="615"/>
    <x v="615"/>
    <x v="2"/>
  </r>
  <r>
    <x v="616"/>
    <x v="551"/>
    <x v="2"/>
    <x v="11"/>
    <x v="0"/>
    <x v="2"/>
    <x v="3"/>
    <x v="5"/>
    <x v="2"/>
    <x v="11"/>
    <x v="1"/>
    <x v="5"/>
    <x v="376"/>
    <x v="0"/>
    <x v="566"/>
    <x v="616"/>
    <x v="616"/>
    <x v="2"/>
  </r>
  <r>
    <x v="617"/>
    <x v="552"/>
    <x v="8"/>
    <x v="3"/>
    <x v="0"/>
    <x v="4"/>
    <x v="12"/>
    <x v="21"/>
    <x v="2"/>
    <x v="10"/>
    <x v="0"/>
    <x v="6"/>
    <x v="377"/>
    <x v="1"/>
    <x v="567"/>
    <x v="617"/>
    <x v="617"/>
    <x v="2"/>
  </r>
  <r>
    <x v="618"/>
    <x v="553"/>
    <x v="4"/>
    <x v="1"/>
    <x v="1"/>
    <x v="4"/>
    <x v="10"/>
    <x v="50"/>
    <x v="0"/>
    <x v="2"/>
    <x v="1"/>
    <x v="1"/>
    <x v="244"/>
    <x v="4"/>
    <x v="568"/>
    <x v="618"/>
    <x v="618"/>
    <x v="4"/>
  </r>
  <r>
    <x v="619"/>
    <x v="554"/>
    <x v="7"/>
    <x v="1"/>
    <x v="1"/>
    <x v="4"/>
    <x v="12"/>
    <x v="23"/>
    <x v="0"/>
    <x v="8"/>
    <x v="1"/>
    <x v="0"/>
    <x v="67"/>
    <x v="1"/>
    <x v="221"/>
    <x v="619"/>
    <x v="619"/>
    <x v="1"/>
  </r>
  <r>
    <x v="620"/>
    <x v="555"/>
    <x v="10"/>
    <x v="2"/>
    <x v="0"/>
    <x v="2"/>
    <x v="7"/>
    <x v="30"/>
    <x v="1"/>
    <x v="6"/>
    <x v="2"/>
    <x v="1"/>
    <x v="73"/>
    <x v="1"/>
    <x v="569"/>
    <x v="620"/>
    <x v="620"/>
    <x v="3"/>
  </r>
  <r>
    <x v="621"/>
    <x v="111"/>
    <x v="5"/>
    <x v="10"/>
    <x v="1"/>
    <x v="4"/>
    <x v="12"/>
    <x v="20"/>
    <x v="1"/>
    <x v="10"/>
    <x v="1"/>
    <x v="2"/>
    <x v="378"/>
    <x v="2"/>
    <x v="570"/>
    <x v="621"/>
    <x v="621"/>
    <x v="2"/>
  </r>
  <r>
    <x v="622"/>
    <x v="556"/>
    <x v="9"/>
    <x v="9"/>
    <x v="0"/>
    <x v="0"/>
    <x v="6"/>
    <x v="31"/>
    <x v="0"/>
    <x v="2"/>
    <x v="2"/>
    <x v="8"/>
    <x v="379"/>
    <x v="4"/>
    <x v="571"/>
    <x v="622"/>
    <x v="622"/>
    <x v="0"/>
  </r>
  <r>
    <x v="623"/>
    <x v="557"/>
    <x v="4"/>
    <x v="4"/>
    <x v="1"/>
    <x v="2"/>
    <x v="3"/>
    <x v="28"/>
    <x v="1"/>
    <x v="9"/>
    <x v="0"/>
    <x v="9"/>
    <x v="15"/>
    <x v="4"/>
    <x v="572"/>
    <x v="623"/>
    <x v="623"/>
    <x v="3"/>
  </r>
  <r>
    <x v="624"/>
    <x v="558"/>
    <x v="5"/>
    <x v="12"/>
    <x v="4"/>
    <x v="4"/>
    <x v="10"/>
    <x v="15"/>
    <x v="1"/>
    <x v="6"/>
    <x v="1"/>
    <x v="5"/>
    <x v="56"/>
    <x v="1"/>
    <x v="573"/>
    <x v="624"/>
    <x v="624"/>
    <x v="0"/>
  </r>
  <r>
    <x v="625"/>
    <x v="559"/>
    <x v="10"/>
    <x v="11"/>
    <x v="0"/>
    <x v="4"/>
    <x v="10"/>
    <x v="15"/>
    <x v="1"/>
    <x v="0"/>
    <x v="1"/>
    <x v="6"/>
    <x v="380"/>
    <x v="2"/>
    <x v="574"/>
    <x v="625"/>
    <x v="625"/>
    <x v="1"/>
  </r>
  <r>
    <x v="626"/>
    <x v="316"/>
    <x v="3"/>
    <x v="11"/>
    <x v="0"/>
    <x v="3"/>
    <x v="8"/>
    <x v="18"/>
    <x v="2"/>
    <x v="1"/>
    <x v="0"/>
    <x v="1"/>
    <x v="381"/>
    <x v="3"/>
    <x v="575"/>
    <x v="626"/>
    <x v="626"/>
    <x v="4"/>
  </r>
  <r>
    <x v="627"/>
    <x v="560"/>
    <x v="1"/>
    <x v="2"/>
    <x v="0"/>
    <x v="0"/>
    <x v="15"/>
    <x v="32"/>
    <x v="2"/>
    <x v="10"/>
    <x v="1"/>
    <x v="9"/>
    <x v="163"/>
    <x v="0"/>
    <x v="576"/>
    <x v="627"/>
    <x v="627"/>
    <x v="0"/>
  </r>
  <r>
    <x v="628"/>
    <x v="561"/>
    <x v="0"/>
    <x v="1"/>
    <x v="1"/>
    <x v="2"/>
    <x v="17"/>
    <x v="52"/>
    <x v="0"/>
    <x v="0"/>
    <x v="2"/>
    <x v="1"/>
    <x v="176"/>
    <x v="4"/>
    <x v="577"/>
    <x v="628"/>
    <x v="628"/>
    <x v="1"/>
  </r>
  <r>
    <x v="629"/>
    <x v="562"/>
    <x v="10"/>
    <x v="2"/>
    <x v="0"/>
    <x v="0"/>
    <x v="15"/>
    <x v="41"/>
    <x v="0"/>
    <x v="4"/>
    <x v="2"/>
    <x v="5"/>
    <x v="51"/>
    <x v="0"/>
    <x v="578"/>
    <x v="629"/>
    <x v="629"/>
    <x v="2"/>
  </r>
  <r>
    <x v="630"/>
    <x v="563"/>
    <x v="2"/>
    <x v="8"/>
    <x v="1"/>
    <x v="4"/>
    <x v="12"/>
    <x v="21"/>
    <x v="2"/>
    <x v="10"/>
    <x v="0"/>
    <x v="2"/>
    <x v="55"/>
    <x v="0"/>
    <x v="579"/>
    <x v="630"/>
    <x v="630"/>
    <x v="4"/>
  </r>
  <r>
    <x v="631"/>
    <x v="564"/>
    <x v="11"/>
    <x v="7"/>
    <x v="0"/>
    <x v="4"/>
    <x v="12"/>
    <x v="21"/>
    <x v="2"/>
    <x v="11"/>
    <x v="0"/>
    <x v="4"/>
    <x v="382"/>
    <x v="0"/>
    <x v="580"/>
    <x v="631"/>
    <x v="631"/>
    <x v="1"/>
  </r>
  <r>
    <x v="632"/>
    <x v="565"/>
    <x v="7"/>
    <x v="11"/>
    <x v="0"/>
    <x v="3"/>
    <x v="4"/>
    <x v="6"/>
    <x v="2"/>
    <x v="7"/>
    <x v="0"/>
    <x v="4"/>
    <x v="383"/>
    <x v="3"/>
    <x v="581"/>
    <x v="632"/>
    <x v="632"/>
    <x v="1"/>
  </r>
  <r>
    <x v="633"/>
    <x v="566"/>
    <x v="1"/>
    <x v="0"/>
    <x v="0"/>
    <x v="1"/>
    <x v="16"/>
    <x v="33"/>
    <x v="2"/>
    <x v="10"/>
    <x v="0"/>
    <x v="1"/>
    <x v="11"/>
    <x v="1"/>
    <x v="582"/>
    <x v="633"/>
    <x v="633"/>
    <x v="3"/>
  </r>
  <r>
    <x v="634"/>
    <x v="567"/>
    <x v="2"/>
    <x v="4"/>
    <x v="1"/>
    <x v="2"/>
    <x v="3"/>
    <x v="28"/>
    <x v="1"/>
    <x v="11"/>
    <x v="1"/>
    <x v="5"/>
    <x v="12"/>
    <x v="1"/>
    <x v="583"/>
    <x v="634"/>
    <x v="634"/>
    <x v="2"/>
  </r>
  <r>
    <x v="635"/>
    <x v="568"/>
    <x v="2"/>
    <x v="11"/>
    <x v="0"/>
    <x v="1"/>
    <x v="1"/>
    <x v="44"/>
    <x v="1"/>
    <x v="0"/>
    <x v="1"/>
    <x v="8"/>
    <x v="384"/>
    <x v="0"/>
    <x v="584"/>
    <x v="635"/>
    <x v="635"/>
    <x v="3"/>
  </r>
  <r>
    <x v="636"/>
    <x v="569"/>
    <x v="4"/>
    <x v="2"/>
    <x v="0"/>
    <x v="2"/>
    <x v="17"/>
    <x v="52"/>
    <x v="1"/>
    <x v="7"/>
    <x v="0"/>
    <x v="6"/>
    <x v="30"/>
    <x v="1"/>
    <x v="585"/>
    <x v="636"/>
    <x v="636"/>
    <x v="1"/>
  </r>
  <r>
    <x v="637"/>
    <x v="570"/>
    <x v="3"/>
    <x v="11"/>
    <x v="0"/>
    <x v="2"/>
    <x v="11"/>
    <x v="19"/>
    <x v="2"/>
    <x v="6"/>
    <x v="0"/>
    <x v="2"/>
    <x v="385"/>
    <x v="3"/>
    <x v="586"/>
    <x v="637"/>
    <x v="637"/>
    <x v="3"/>
  </r>
  <r>
    <x v="638"/>
    <x v="571"/>
    <x v="0"/>
    <x v="0"/>
    <x v="0"/>
    <x v="4"/>
    <x v="12"/>
    <x v="21"/>
    <x v="1"/>
    <x v="11"/>
    <x v="1"/>
    <x v="9"/>
    <x v="386"/>
    <x v="1"/>
    <x v="587"/>
    <x v="638"/>
    <x v="638"/>
    <x v="0"/>
  </r>
  <r>
    <x v="639"/>
    <x v="572"/>
    <x v="0"/>
    <x v="3"/>
    <x v="0"/>
    <x v="2"/>
    <x v="17"/>
    <x v="52"/>
    <x v="2"/>
    <x v="1"/>
    <x v="2"/>
    <x v="8"/>
    <x v="88"/>
    <x v="2"/>
    <x v="588"/>
    <x v="639"/>
    <x v="639"/>
    <x v="0"/>
  </r>
  <r>
    <x v="640"/>
    <x v="498"/>
    <x v="1"/>
    <x v="5"/>
    <x v="0"/>
    <x v="0"/>
    <x v="15"/>
    <x v="46"/>
    <x v="0"/>
    <x v="6"/>
    <x v="1"/>
    <x v="8"/>
    <x v="387"/>
    <x v="1"/>
    <x v="589"/>
    <x v="640"/>
    <x v="640"/>
    <x v="4"/>
  </r>
  <r>
    <x v="641"/>
    <x v="573"/>
    <x v="3"/>
    <x v="8"/>
    <x v="1"/>
    <x v="3"/>
    <x v="4"/>
    <x v="6"/>
    <x v="0"/>
    <x v="7"/>
    <x v="1"/>
    <x v="1"/>
    <x v="186"/>
    <x v="0"/>
    <x v="590"/>
    <x v="641"/>
    <x v="641"/>
    <x v="0"/>
  </r>
  <r>
    <x v="642"/>
    <x v="574"/>
    <x v="11"/>
    <x v="9"/>
    <x v="0"/>
    <x v="0"/>
    <x v="15"/>
    <x v="32"/>
    <x v="0"/>
    <x v="7"/>
    <x v="2"/>
    <x v="1"/>
    <x v="295"/>
    <x v="2"/>
    <x v="591"/>
    <x v="642"/>
    <x v="642"/>
    <x v="0"/>
  </r>
  <r>
    <x v="643"/>
    <x v="575"/>
    <x v="2"/>
    <x v="2"/>
    <x v="2"/>
    <x v="4"/>
    <x v="12"/>
    <x v="21"/>
    <x v="2"/>
    <x v="0"/>
    <x v="0"/>
    <x v="2"/>
    <x v="188"/>
    <x v="1"/>
    <x v="529"/>
    <x v="643"/>
    <x v="643"/>
    <x v="4"/>
  </r>
  <r>
    <x v="644"/>
    <x v="576"/>
    <x v="4"/>
    <x v="11"/>
    <x v="2"/>
    <x v="2"/>
    <x v="3"/>
    <x v="28"/>
    <x v="0"/>
    <x v="5"/>
    <x v="1"/>
    <x v="5"/>
    <x v="388"/>
    <x v="4"/>
    <x v="592"/>
    <x v="644"/>
    <x v="644"/>
    <x v="1"/>
  </r>
  <r>
    <x v="645"/>
    <x v="577"/>
    <x v="3"/>
    <x v="12"/>
    <x v="4"/>
    <x v="1"/>
    <x v="2"/>
    <x v="13"/>
    <x v="1"/>
    <x v="2"/>
    <x v="2"/>
    <x v="1"/>
    <x v="389"/>
    <x v="0"/>
    <x v="593"/>
    <x v="645"/>
    <x v="645"/>
    <x v="2"/>
  </r>
  <r>
    <x v="646"/>
    <x v="578"/>
    <x v="10"/>
    <x v="4"/>
    <x v="1"/>
    <x v="3"/>
    <x v="14"/>
    <x v="40"/>
    <x v="1"/>
    <x v="2"/>
    <x v="1"/>
    <x v="1"/>
    <x v="220"/>
    <x v="1"/>
    <x v="254"/>
    <x v="646"/>
    <x v="646"/>
    <x v="1"/>
  </r>
  <r>
    <x v="647"/>
    <x v="579"/>
    <x v="4"/>
    <x v="9"/>
    <x v="2"/>
    <x v="2"/>
    <x v="7"/>
    <x v="24"/>
    <x v="2"/>
    <x v="7"/>
    <x v="2"/>
    <x v="8"/>
    <x v="390"/>
    <x v="2"/>
    <x v="594"/>
    <x v="647"/>
    <x v="647"/>
    <x v="1"/>
  </r>
  <r>
    <x v="648"/>
    <x v="580"/>
    <x v="1"/>
    <x v="5"/>
    <x v="1"/>
    <x v="3"/>
    <x v="4"/>
    <x v="6"/>
    <x v="2"/>
    <x v="10"/>
    <x v="0"/>
    <x v="3"/>
    <x v="27"/>
    <x v="4"/>
    <x v="82"/>
    <x v="648"/>
    <x v="648"/>
    <x v="1"/>
  </r>
  <r>
    <x v="649"/>
    <x v="581"/>
    <x v="2"/>
    <x v="0"/>
    <x v="0"/>
    <x v="2"/>
    <x v="7"/>
    <x v="10"/>
    <x v="1"/>
    <x v="7"/>
    <x v="1"/>
    <x v="3"/>
    <x v="68"/>
    <x v="4"/>
    <x v="311"/>
    <x v="649"/>
    <x v="649"/>
    <x v="1"/>
  </r>
  <r>
    <x v="650"/>
    <x v="582"/>
    <x v="6"/>
    <x v="11"/>
    <x v="2"/>
    <x v="3"/>
    <x v="8"/>
    <x v="18"/>
    <x v="1"/>
    <x v="5"/>
    <x v="0"/>
    <x v="8"/>
    <x v="343"/>
    <x v="4"/>
    <x v="595"/>
    <x v="650"/>
    <x v="650"/>
    <x v="2"/>
  </r>
  <r>
    <x v="651"/>
    <x v="111"/>
    <x v="5"/>
    <x v="10"/>
    <x v="2"/>
    <x v="4"/>
    <x v="12"/>
    <x v="21"/>
    <x v="2"/>
    <x v="11"/>
    <x v="1"/>
    <x v="4"/>
    <x v="330"/>
    <x v="2"/>
    <x v="596"/>
    <x v="651"/>
    <x v="651"/>
    <x v="1"/>
  </r>
  <r>
    <x v="652"/>
    <x v="583"/>
    <x v="1"/>
    <x v="8"/>
    <x v="1"/>
    <x v="0"/>
    <x v="15"/>
    <x v="46"/>
    <x v="0"/>
    <x v="5"/>
    <x v="2"/>
    <x v="4"/>
    <x v="194"/>
    <x v="1"/>
    <x v="597"/>
    <x v="652"/>
    <x v="652"/>
    <x v="0"/>
  </r>
  <r>
    <x v="653"/>
    <x v="584"/>
    <x v="6"/>
    <x v="0"/>
    <x v="0"/>
    <x v="4"/>
    <x v="12"/>
    <x v="20"/>
    <x v="2"/>
    <x v="8"/>
    <x v="1"/>
    <x v="4"/>
    <x v="391"/>
    <x v="2"/>
    <x v="598"/>
    <x v="653"/>
    <x v="653"/>
    <x v="2"/>
  </r>
  <r>
    <x v="654"/>
    <x v="585"/>
    <x v="5"/>
    <x v="5"/>
    <x v="0"/>
    <x v="4"/>
    <x v="12"/>
    <x v="23"/>
    <x v="0"/>
    <x v="7"/>
    <x v="0"/>
    <x v="5"/>
    <x v="127"/>
    <x v="0"/>
    <x v="599"/>
    <x v="654"/>
    <x v="654"/>
    <x v="2"/>
  </r>
  <r>
    <x v="655"/>
    <x v="586"/>
    <x v="4"/>
    <x v="9"/>
    <x v="2"/>
    <x v="4"/>
    <x v="10"/>
    <x v="50"/>
    <x v="2"/>
    <x v="1"/>
    <x v="2"/>
    <x v="4"/>
    <x v="251"/>
    <x v="4"/>
    <x v="600"/>
    <x v="655"/>
    <x v="655"/>
    <x v="4"/>
  </r>
  <r>
    <x v="656"/>
    <x v="587"/>
    <x v="5"/>
    <x v="0"/>
    <x v="0"/>
    <x v="1"/>
    <x v="1"/>
    <x v="4"/>
    <x v="0"/>
    <x v="9"/>
    <x v="0"/>
    <x v="7"/>
    <x v="274"/>
    <x v="1"/>
    <x v="601"/>
    <x v="656"/>
    <x v="656"/>
    <x v="4"/>
  </r>
  <r>
    <x v="657"/>
    <x v="210"/>
    <x v="0"/>
    <x v="9"/>
    <x v="2"/>
    <x v="1"/>
    <x v="2"/>
    <x v="3"/>
    <x v="0"/>
    <x v="8"/>
    <x v="1"/>
    <x v="1"/>
    <x v="392"/>
    <x v="1"/>
    <x v="602"/>
    <x v="657"/>
    <x v="657"/>
    <x v="3"/>
  </r>
  <r>
    <x v="658"/>
    <x v="588"/>
    <x v="2"/>
    <x v="7"/>
    <x v="3"/>
    <x v="1"/>
    <x v="5"/>
    <x v="45"/>
    <x v="0"/>
    <x v="7"/>
    <x v="0"/>
    <x v="6"/>
    <x v="178"/>
    <x v="1"/>
    <x v="603"/>
    <x v="658"/>
    <x v="658"/>
    <x v="0"/>
  </r>
  <r>
    <x v="659"/>
    <x v="589"/>
    <x v="11"/>
    <x v="1"/>
    <x v="1"/>
    <x v="4"/>
    <x v="10"/>
    <x v="50"/>
    <x v="2"/>
    <x v="8"/>
    <x v="2"/>
    <x v="4"/>
    <x v="393"/>
    <x v="0"/>
    <x v="604"/>
    <x v="659"/>
    <x v="659"/>
    <x v="2"/>
  </r>
  <r>
    <x v="660"/>
    <x v="590"/>
    <x v="4"/>
    <x v="9"/>
    <x v="3"/>
    <x v="2"/>
    <x v="3"/>
    <x v="28"/>
    <x v="0"/>
    <x v="4"/>
    <x v="0"/>
    <x v="6"/>
    <x v="342"/>
    <x v="2"/>
    <x v="605"/>
    <x v="660"/>
    <x v="660"/>
    <x v="3"/>
  </r>
  <r>
    <x v="661"/>
    <x v="11"/>
    <x v="1"/>
    <x v="5"/>
    <x v="1"/>
    <x v="4"/>
    <x v="12"/>
    <x v="23"/>
    <x v="0"/>
    <x v="6"/>
    <x v="1"/>
    <x v="3"/>
    <x v="115"/>
    <x v="0"/>
    <x v="606"/>
    <x v="661"/>
    <x v="661"/>
    <x v="1"/>
  </r>
  <r>
    <x v="662"/>
    <x v="591"/>
    <x v="2"/>
    <x v="9"/>
    <x v="3"/>
    <x v="2"/>
    <x v="3"/>
    <x v="9"/>
    <x v="0"/>
    <x v="7"/>
    <x v="1"/>
    <x v="6"/>
    <x v="342"/>
    <x v="3"/>
    <x v="493"/>
    <x v="662"/>
    <x v="662"/>
    <x v="2"/>
  </r>
  <r>
    <x v="663"/>
    <x v="2"/>
    <x v="2"/>
    <x v="7"/>
    <x v="3"/>
    <x v="1"/>
    <x v="16"/>
    <x v="48"/>
    <x v="2"/>
    <x v="8"/>
    <x v="1"/>
    <x v="3"/>
    <x v="394"/>
    <x v="0"/>
    <x v="607"/>
    <x v="663"/>
    <x v="663"/>
    <x v="4"/>
  </r>
  <r>
    <x v="664"/>
    <x v="592"/>
    <x v="2"/>
    <x v="4"/>
    <x v="1"/>
    <x v="2"/>
    <x v="17"/>
    <x v="52"/>
    <x v="2"/>
    <x v="4"/>
    <x v="0"/>
    <x v="5"/>
    <x v="160"/>
    <x v="0"/>
    <x v="249"/>
    <x v="664"/>
    <x v="664"/>
    <x v="1"/>
  </r>
  <r>
    <x v="665"/>
    <x v="593"/>
    <x v="1"/>
    <x v="8"/>
    <x v="1"/>
    <x v="3"/>
    <x v="9"/>
    <x v="16"/>
    <x v="0"/>
    <x v="11"/>
    <x v="0"/>
    <x v="2"/>
    <x v="360"/>
    <x v="3"/>
    <x v="301"/>
    <x v="665"/>
    <x v="665"/>
    <x v="0"/>
  </r>
  <r>
    <x v="666"/>
    <x v="594"/>
    <x v="5"/>
    <x v="9"/>
    <x v="3"/>
    <x v="3"/>
    <x v="4"/>
    <x v="38"/>
    <x v="0"/>
    <x v="1"/>
    <x v="1"/>
    <x v="0"/>
    <x v="247"/>
    <x v="0"/>
    <x v="608"/>
    <x v="666"/>
    <x v="666"/>
    <x v="3"/>
  </r>
  <r>
    <x v="667"/>
    <x v="595"/>
    <x v="1"/>
    <x v="11"/>
    <x v="3"/>
    <x v="0"/>
    <x v="0"/>
    <x v="43"/>
    <x v="0"/>
    <x v="4"/>
    <x v="1"/>
    <x v="7"/>
    <x v="395"/>
    <x v="2"/>
    <x v="609"/>
    <x v="667"/>
    <x v="667"/>
    <x v="0"/>
  </r>
  <r>
    <x v="668"/>
    <x v="596"/>
    <x v="6"/>
    <x v="7"/>
    <x v="3"/>
    <x v="3"/>
    <x v="9"/>
    <x v="16"/>
    <x v="0"/>
    <x v="5"/>
    <x v="1"/>
    <x v="9"/>
    <x v="11"/>
    <x v="0"/>
    <x v="610"/>
    <x v="668"/>
    <x v="668"/>
    <x v="4"/>
  </r>
  <r>
    <x v="669"/>
    <x v="597"/>
    <x v="0"/>
    <x v="3"/>
    <x v="3"/>
    <x v="1"/>
    <x v="2"/>
    <x v="13"/>
    <x v="2"/>
    <x v="6"/>
    <x v="2"/>
    <x v="9"/>
    <x v="396"/>
    <x v="0"/>
    <x v="521"/>
    <x v="669"/>
    <x v="669"/>
    <x v="0"/>
  </r>
  <r>
    <x v="670"/>
    <x v="598"/>
    <x v="7"/>
    <x v="2"/>
    <x v="3"/>
    <x v="0"/>
    <x v="6"/>
    <x v="8"/>
    <x v="2"/>
    <x v="4"/>
    <x v="2"/>
    <x v="2"/>
    <x v="178"/>
    <x v="1"/>
    <x v="611"/>
    <x v="670"/>
    <x v="670"/>
    <x v="3"/>
  </r>
  <r>
    <x v="671"/>
    <x v="599"/>
    <x v="7"/>
    <x v="0"/>
    <x v="0"/>
    <x v="2"/>
    <x v="3"/>
    <x v="28"/>
    <x v="0"/>
    <x v="0"/>
    <x v="1"/>
    <x v="4"/>
    <x v="397"/>
    <x v="0"/>
    <x v="612"/>
    <x v="671"/>
    <x v="671"/>
    <x v="2"/>
  </r>
  <r>
    <x v="672"/>
    <x v="600"/>
    <x v="10"/>
    <x v="7"/>
    <x v="3"/>
    <x v="4"/>
    <x v="10"/>
    <x v="50"/>
    <x v="2"/>
    <x v="2"/>
    <x v="0"/>
    <x v="6"/>
    <x v="398"/>
    <x v="1"/>
    <x v="613"/>
    <x v="672"/>
    <x v="672"/>
    <x v="1"/>
  </r>
  <r>
    <x v="673"/>
    <x v="601"/>
    <x v="11"/>
    <x v="7"/>
    <x v="3"/>
    <x v="4"/>
    <x v="10"/>
    <x v="50"/>
    <x v="0"/>
    <x v="6"/>
    <x v="2"/>
    <x v="9"/>
    <x v="399"/>
    <x v="3"/>
    <x v="614"/>
    <x v="673"/>
    <x v="673"/>
    <x v="1"/>
  </r>
  <r>
    <x v="674"/>
    <x v="602"/>
    <x v="6"/>
    <x v="2"/>
    <x v="3"/>
    <x v="1"/>
    <x v="2"/>
    <x v="13"/>
    <x v="2"/>
    <x v="0"/>
    <x v="0"/>
    <x v="5"/>
    <x v="39"/>
    <x v="0"/>
    <x v="615"/>
    <x v="674"/>
    <x v="674"/>
    <x v="1"/>
  </r>
  <r>
    <x v="675"/>
    <x v="603"/>
    <x v="4"/>
    <x v="12"/>
    <x v="4"/>
    <x v="2"/>
    <x v="3"/>
    <x v="28"/>
    <x v="2"/>
    <x v="8"/>
    <x v="0"/>
    <x v="7"/>
    <x v="400"/>
    <x v="4"/>
    <x v="477"/>
    <x v="675"/>
    <x v="675"/>
    <x v="1"/>
  </r>
  <r>
    <x v="676"/>
    <x v="604"/>
    <x v="6"/>
    <x v="7"/>
    <x v="3"/>
    <x v="1"/>
    <x v="2"/>
    <x v="13"/>
    <x v="1"/>
    <x v="5"/>
    <x v="0"/>
    <x v="6"/>
    <x v="401"/>
    <x v="0"/>
    <x v="616"/>
    <x v="676"/>
    <x v="676"/>
    <x v="4"/>
  </r>
  <r>
    <x v="677"/>
    <x v="605"/>
    <x v="11"/>
    <x v="7"/>
    <x v="3"/>
    <x v="3"/>
    <x v="14"/>
    <x v="40"/>
    <x v="1"/>
    <x v="8"/>
    <x v="0"/>
    <x v="6"/>
    <x v="402"/>
    <x v="4"/>
    <x v="617"/>
    <x v="677"/>
    <x v="677"/>
    <x v="0"/>
  </r>
  <r>
    <x v="678"/>
    <x v="606"/>
    <x v="11"/>
    <x v="2"/>
    <x v="3"/>
    <x v="2"/>
    <x v="17"/>
    <x v="52"/>
    <x v="1"/>
    <x v="6"/>
    <x v="0"/>
    <x v="5"/>
    <x v="403"/>
    <x v="2"/>
    <x v="618"/>
    <x v="678"/>
    <x v="678"/>
    <x v="0"/>
  </r>
  <r>
    <x v="679"/>
    <x v="96"/>
    <x v="3"/>
    <x v="10"/>
    <x v="3"/>
    <x v="3"/>
    <x v="4"/>
    <x v="16"/>
    <x v="1"/>
    <x v="7"/>
    <x v="1"/>
    <x v="4"/>
    <x v="62"/>
    <x v="1"/>
    <x v="619"/>
    <x v="679"/>
    <x v="679"/>
    <x v="0"/>
  </r>
  <r>
    <x v="680"/>
    <x v="11"/>
    <x v="1"/>
    <x v="5"/>
    <x v="1"/>
    <x v="1"/>
    <x v="2"/>
    <x v="13"/>
    <x v="1"/>
    <x v="7"/>
    <x v="1"/>
    <x v="3"/>
    <x v="404"/>
    <x v="1"/>
    <x v="620"/>
    <x v="680"/>
    <x v="680"/>
    <x v="0"/>
  </r>
  <r>
    <x v="681"/>
    <x v="607"/>
    <x v="8"/>
    <x v="3"/>
    <x v="3"/>
    <x v="1"/>
    <x v="16"/>
    <x v="33"/>
    <x v="2"/>
    <x v="1"/>
    <x v="1"/>
    <x v="5"/>
    <x v="19"/>
    <x v="4"/>
    <x v="621"/>
    <x v="681"/>
    <x v="681"/>
    <x v="3"/>
  </r>
  <r>
    <x v="682"/>
    <x v="295"/>
    <x v="3"/>
    <x v="10"/>
    <x v="3"/>
    <x v="3"/>
    <x v="9"/>
    <x v="14"/>
    <x v="2"/>
    <x v="0"/>
    <x v="2"/>
    <x v="1"/>
    <x v="405"/>
    <x v="3"/>
    <x v="316"/>
    <x v="682"/>
    <x v="682"/>
    <x v="3"/>
  </r>
  <r>
    <x v="683"/>
    <x v="608"/>
    <x v="7"/>
    <x v="4"/>
    <x v="1"/>
    <x v="2"/>
    <x v="7"/>
    <x v="10"/>
    <x v="0"/>
    <x v="2"/>
    <x v="2"/>
    <x v="4"/>
    <x v="87"/>
    <x v="2"/>
    <x v="143"/>
    <x v="683"/>
    <x v="683"/>
    <x v="3"/>
  </r>
  <r>
    <x v="684"/>
    <x v="609"/>
    <x v="11"/>
    <x v="7"/>
    <x v="3"/>
    <x v="2"/>
    <x v="3"/>
    <x v="28"/>
    <x v="0"/>
    <x v="9"/>
    <x v="2"/>
    <x v="6"/>
    <x v="406"/>
    <x v="4"/>
    <x v="622"/>
    <x v="684"/>
    <x v="684"/>
    <x v="0"/>
  </r>
  <r>
    <x v="685"/>
    <x v="610"/>
    <x v="7"/>
    <x v="0"/>
    <x v="0"/>
    <x v="3"/>
    <x v="14"/>
    <x v="40"/>
    <x v="2"/>
    <x v="0"/>
    <x v="2"/>
    <x v="4"/>
    <x v="407"/>
    <x v="2"/>
    <x v="623"/>
    <x v="685"/>
    <x v="685"/>
    <x v="3"/>
  </r>
  <r>
    <x v="686"/>
    <x v="611"/>
    <x v="7"/>
    <x v="7"/>
    <x v="3"/>
    <x v="3"/>
    <x v="9"/>
    <x v="35"/>
    <x v="1"/>
    <x v="0"/>
    <x v="0"/>
    <x v="1"/>
    <x v="351"/>
    <x v="1"/>
    <x v="624"/>
    <x v="686"/>
    <x v="686"/>
    <x v="0"/>
  </r>
  <r>
    <x v="687"/>
    <x v="612"/>
    <x v="3"/>
    <x v="4"/>
    <x v="1"/>
    <x v="4"/>
    <x v="10"/>
    <x v="27"/>
    <x v="1"/>
    <x v="6"/>
    <x v="1"/>
    <x v="3"/>
    <x v="160"/>
    <x v="1"/>
    <x v="46"/>
    <x v="687"/>
    <x v="687"/>
    <x v="0"/>
  </r>
  <r>
    <x v="688"/>
    <x v="613"/>
    <x v="7"/>
    <x v="12"/>
    <x v="4"/>
    <x v="3"/>
    <x v="14"/>
    <x v="26"/>
    <x v="0"/>
    <x v="1"/>
    <x v="2"/>
    <x v="9"/>
    <x v="57"/>
    <x v="2"/>
    <x v="625"/>
    <x v="688"/>
    <x v="688"/>
    <x v="4"/>
  </r>
  <r>
    <x v="689"/>
    <x v="614"/>
    <x v="2"/>
    <x v="7"/>
    <x v="3"/>
    <x v="3"/>
    <x v="14"/>
    <x v="36"/>
    <x v="2"/>
    <x v="3"/>
    <x v="1"/>
    <x v="6"/>
    <x v="408"/>
    <x v="2"/>
    <x v="626"/>
    <x v="689"/>
    <x v="689"/>
    <x v="4"/>
  </r>
  <r>
    <x v="690"/>
    <x v="615"/>
    <x v="5"/>
    <x v="5"/>
    <x v="1"/>
    <x v="3"/>
    <x v="9"/>
    <x v="16"/>
    <x v="0"/>
    <x v="7"/>
    <x v="1"/>
    <x v="9"/>
    <x v="370"/>
    <x v="4"/>
    <x v="627"/>
    <x v="690"/>
    <x v="690"/>
    <x v="3"/>
  </r>
  <r>
    <x v="691"/>
    <x v="616"/>
    <x v="4"/>
    <x v="0"/>
    <x v="0"/>
    <x v="3"/>
    <x v="9"/>
    <x v="35"/>
    <x v="2"/>
    <x v="7"/>
    <x v="2"/>
    <x v="8"/>
    <x v="188"/>
    <x v="4"/>
    <x v="628"/>
    <x v="691"/>
    <x v="691"/>
    <x v="1"/>
  </r>
  <r>
    <x v="692"/>
    <x v="617"/>
    <x v="8"/>
    <x v="12"/>
    <x v="4"/>
    <x v="1"/>
    <x v="5"/>
    <x v="7"/>
    <x v="2"/>
    <x v="1"/>
    <x v="2"/>
    <x v="5"/>
    <x v="86"/>
    <x v="4"/>
    <x v="629"/>
    <x v="692"/>
    <x v="253"/>
    <x v="2"/>
  </r>
  <r>
    <x v="693"/>
    <x v="618"/>
    <x v="11"/>
    <x v="2"/>
    <x v="3"/>
    <x v="2"/>
    <x v="11"/>
    <x v="34"/>
    <x v="0"/>
    <x v="7"/>
    <x v="2"/>
    <x v="0"/>
    <x v="110"/>
    <x v="0"/>
    <x v="630"/>
    <x v="693"/>
    <x v="692"/>
    <x v="3"/>
  </r>
  <r>
    <x v="694"/>
    <x v="619"/>
    <x v="0"/>
    <x v="9"/>
    <x v="3"/>
    <x v="2"/>
    <x v="11"/>
    <x v="37"/>
    <x v="1"/>
    <x v="10"/>
    <x v="0"/>
    <x v="9"/>
    <x v="272"/>
    <x v="0"/>
    <x v="631"/>
    <x v="694"/>
    <x v="693"/>
    <x v="1"/>
  </r>
  <r>
    <x v="695"/>
    <x v="620"/>
    <x v="7"/>
    <x v="3"/>
    <x v="3"/>
    <x v="3"/>
    <x v="8"/>
    <x v="12"/>
    <x v="0"/>
    <x v="11"/>
    <x v="0"/>
    <x v="1"/>
    <x v="409"/>
    <x v="4"/>
    <x v="632"/>
    <x v="695"/>
    <x v="694"/>
    <x v="3"/>
  </r>
  <r>
    <x v="696"/>
    <x v="155"/>
    <x v="3"/>
    <x v="10"/>
    <x v="3"/>
    <x v="4"/>
    <x v="12"/>
    <x v="20"/>
    <x v="0"/>
    <x v="4"/>
    <x v="2"/>
    <x v="3"/>
    <x v="410"/>
    <x v="4"/>
    <x v="633"/>
    <x v="696"/>
    <x v="695"/>
    <x v="0"/>
  </r>
  <r>
    <x v="697"/>
    <x v="621"/>
    <x v="0"/>
    <x v="1"/>
    <x v="1"/>
    <x v="4"/>
    <x v="10"/>
    <x v="15"/>
    <x v="1"/>
    <x v="2"/>
    <x v="0"/>
    <x v="9"/>
    <x v="237"/>
    <x v="0"/>
    <x v="634"/>
    <x v="697"/>
    <x v="696"/>
    <x v="1"/>
  </r>
  <r>
    <x v="698"/>
    <x v="199"/>
    <x v="0"/>
    <x v="5"/>
    <x v="3"/>
    <x v="4"/>
    <x v="10"/>
    <x v="50"/>
    <x v="2"/>
    <x v="7"/>
    <x v="1"/>
    <x v="5"/>
    <x v="411"/>
    <x v="0"/>
    <x v="635"/>
    <x v="698"/>
    <x v="697"/>
    <x v="1"/>
  </r>
  <r>
    <x v="699"/>
    <x v="622"/>
    <x v="1"/>
    <x v="1"/>
    <x v="1"/>
    <x v="1"/>
    <x v="2"/>
    <x v="13"/>
    <x v="0"/>
    <x v="2"/>
    <x v="0"/>
    <x v="8"/>
    <x v="0"/>
    <x v="0"/>
    <x v="636"/>
    <x v="699"/>
    <x v="698"/>
    <x v="3"/>
  </r>
  <r>
    <x v="700"/>
    <x v="623"/>
    <x v="5"/>
    <x v="1"/>
    <x v="1"/>
    <x v="0"/>
    <x v="13"/>
    <x v="29"/>
    <x v="2"/>
    <x v="6"/>
    <x v="1"/>
    <x v="2"/>
    <x v="41"/>
    <x v="1"/>
    <x v="637"/>
    <x v="700"/>
    <x v="699"/>
    <x v="4"/>
  </r>
  <r>
    <x v="701"/>
    <x v="624"/>
    <x v="0"/>
    <x v="7"/>
    <x v="3"/>
    <x v="4"/>
    <x v="12"/>
    <x v="21"/>
    <x v="0"/>
    <x v="8"/>
    <x v="2"/>
    <x v="7"/>
    <x v="201"/>
    <x v="4"/>
    <x v="638"/>
    <x v="701"/>
    <x v="700"/>
    <x v="1"/>
  </r>
  <r>
    <x v="702"/>
    <x v="625"/>
    <x v="11"/>
    <x v="4"/>
    <x v="1"/>
    <x v="0"/>
    <x v="13"/>
    <x v="25"/>
    <x v="0"/>
    <x v="1"/>
    <x v="0"/>
    <x v="0"/>
    <x v="109"/>
    <x v="4"/>
    <x v="639"/>
    <x v="702"/>
    <x v="701"/>
    <x v="2"/>
  </r>
  <r>
    <x v="703"/>
    <x v="626"/>
    <x v="6"/>
    <x v="1"/>
    <x v="1"/>
    <x v="0"/>
    <x v="0"/>
    <x v="43"/>
    <x v="0"/>
    <x v="1"/>
    <x v="1"/>
    <x v="5"/>
    <x v="412"/>
    <x v="4"/>
    <x v="612"/>
    <x v="703"/>
    <x v="702"/>
    <x v="4"/>
  </r>
  <r>
    <x v="704"/>
    <x v="627"/>
    <x v="4"/>
    <x v="8"/>
    <x v="1"/>
    <x v="0"/>
    <x v="6"/>
    <x v="11"/>
    <x v="1"/>
    <x v="2"/>
    <x v="2"/>
    <x v="6"/>
    <x v="122"/>
    <x v="0"/>
    <x v="640"/>
    <x v="704"/>
    <x v="703"/>
    <x v="3"/>
  </r>
  <r>
    <x v="705"/>
    <x v="628"/>
    <x v="2"/>
    <x v="0"/>
    <x v="0"/>
    <x v="0"/>
    <x v="6"/>
    <x v="8"/>
    <x v="1"/>
    <x v="4"/>
    <x v="0"/>
    <x v="0"/>
    <x v="11"/>
    <x v="3"/>
    <x v="641"/>
    <x v="705"/>
    <x v="704"/>
    <x v="1"/>
  </r>
  <r>
    <x v="706"/>
    <x v="629"/>
    <x v="0"/>
    <x v="7"/>
    <x v="3"/>
    <x v="3"/>
    <x v="9"/>
    <x v="14"/>
    <x v="2"/>
    <x v="0"/>
    <x v="2"/>
    <x v="0"/>
    <x v="328"/>
    <x v="4"/>
    <x v="642"/>
    <x v="706"/>
    <x v="705"/>
    <x v="3"/>
  </r>
  <r>
    <x v="707"/>
    <x v="630"/>
    <x v="5"/>
    <x v="5"/>
    <x v="3"/>
    <x v="3"/>
    <x v="8"/>
    <x v="18"/>
    <x v="0"/>
    <x v="1"/>
    <x v="1"/>
    <x v="0"/>
    <x v="413"/>
    <x v="3"/>
    <x v="643"/>
    <x v="707"/>
    <x v="706"/>
    <x v="1"/>
  </r>
  <r>
    <x v="708"/>
    <x v="631"/>
    <x v="11"/>
    <x v="9"/>
    <x v="3"/>
    <x v="4"/>
    <x v="10"/>
    <x v="50"/>
    <x v="0"/>
    <x v="0"/>
    <x v="2"/>
    <x v="2"/>
    <x v="172"/>
    <x v="4"/>
    <x v="644"/>
    <x v="708"/>
    <x v="707"/>
    <x v="3"/>
  </r>
  <r>
    <x v="709"/>
    <x v="16"/>
    <x v="2"/>
    <x v="9"/>
    <x v="3"/>
    <x v="2"/>
    <x v="3"/>
    <x v="9"/>
    <x v="2"/>
    <x v="0"/>
    <x v="2"/>
    <x v="4"/>
    <x v="390"/>
    <x v="1"/>
    <x v="645"/>
    <x v="709"/>
    <x v="708"/>
    <x v="2"/>
  </r>
  <r>
    <x v="710"/>
    <x v="632"/>
    <x v="4"/>
    <x v="11"/>
    <x v="3"/>
    <x v="0"/>
    <x v="6"/>
    <x v="31"/>
    <x v="1"/>
    <x v="11"/>
    <x v="2"/>
    <x v="3"/>
    <x v="414"/>
    <x v="4"/>
    <x v="646"/>
    <x v="710"/>
    <x v="709"/>
    <x v="2"/>
  </r>
  <r>
    <x v="711"/>
    <x v="115"/>
    <x v="3"/>
    <x v="10"/>
    <x v="3"/>
    <x v="3"/>
    <x v="8"/>
    <x v="18"/>
    <x v="2"/>
    <x v="7"/>
    <x v="2"/>
    <x v="3"/>
    <x v="415"/>
    <x v="4"/>
    <x v="647"/>
    <x v="711"/>
    <x v="710"/>
    <x v="0"/>
  </r>
  <r>
    <x v="712"/>
    <x v="633"/>
    <x v="11"/>
    <x v="0"/>
    <x v="0"/>
    <x v="4"/>
    <x v="10"/>
    <x v="15"/>
    <x v="2"/>
    <x v="8"/>
    <x v="2"/>
    <x v="9"/>
    <x v="416"/>
    <x v="4"/>
    <x v="648"/>
    <x v="712"/>
    <x v="711"/>
    <x v="1"/>
  </r>
  <r>
    <x v="713"/>
    <x v="634"/>
    <x v="5"/>
    <x v="10"/>
    <x v="3"/>
    <x v="3"/>
    <x v="14"/>
    <x v="26"/>
    <x v="0"/>
    <x v="1"/>
    <x v="1"/>
    <x v="1"/>
    <x v="150"/>
    <x v="1"/>
    <x v="649"/>
    <x v="713"/>
    <x v="712"/>
    <x v="0"/>
  </r>
  <r>
    <x v="714"/>
    <x v="635"/>
    <x v="7"/>
    <x v="8"/>
    <x v="1"/>
    <x v="3"/>
    <x v="8"/>
    <x v="12"/>
    <x v="0"/>
    <x v="7"/>
    <x v="1"/>
    <x v="5"/>
    <x v="1"/>
    <x v="1"/>
    <x v="650"/>
    <x v="714"/>
    <x v="713"/>
    <x v="3"/>
  </r>
  <r>
    <x v="715"/>
    <x v="636"/>
    <x v="4"/>
    <x v="8"/>
    <x v="1"/>
    <x v="0"/>
    <x v="13"/>
    <x v="25"/>
    <x v="0"/>
    <x v="7"/>
    <x v="1"/>
    <x v="9"/>
    <x v="128"/>
    <x v="0"/>
    <x v="506"/>
    <x v="715"/>
    <x v="714"/>
    <x v="4"/>
  </r>
  <r>
    <x v="716"/>
    <x v="637"/>
    <x v="7"/>
    <x v="6"/>
    <x v="1"/>
    <x v="1"/>
    <x v="1"/>
    <x v="1"/>
    <x v="1"/>
    <x v="0"/>
    <x v="2"/>
    <x v="9"/>
    <x v="89"/>
    <x v="4"/>
    <x v="651"/>
    <x v="716"/>
    <x v="715"/>
    <x v="0"/>
  </r>
  <r>
    <x v="717"/>
    <x v="638"/>
    <x v="2"/>
    <x v="11"/>
    <x v="3"/>
    <x v="1"/>
    <x v="16"/>
    <x v="49"/>
    <x v="1"/>
    <x v="5"/>
    <x v="0"/>
    <x v="4"/>
    <x v="417"/>
    <x v="1"/>
    <x v="652"/>
    <x v="717"/>
    <x v="716"/>
    <x v="1"/>
  </r>
  <r>
    <x v="718"/>
    <x v="317"/>
    <x v="3"/>
    <x v="10"/>
    <x v="1"/>
    <x v="0"/>
    <x v="0"/>
    <x v="43"/>
    <x v="0"/>
    <x v="4"/>
    <x v="0"/>
    <x v="6"/>
    <x v="55"/>
    <x v="0"/>
    <x v="341"/>
    <x v="718"/>
    <x v="717"/>
    <x v="4"/>
  </r>
  <r>
    <x v="719"/>
    <x v="639"/>
    <x v="6"/>
    <x v="4"/>
    <x v="1"/>
    <x v="0"/>
    <x v="0"/>
    <x v="43"/>
    <x v="1"/>
    <x v="2"/>
    <x v="2"/>
    <x v="4"/>
    <x v="122"/>
    <x v="4"/>
    <x v="653"/>
    <x v="719"/>
    <x v="718"/>
    <x v="0"/>
  </r>
  <r>
    <x v="720"/>
    <x v="640"/>
    <x v="5"/>
    <x v="1"/>
    <x v="1"/>
    <x v="0"/>
    <x v="13"/>
    <x v="22"/>
    <x v="0"/>
    <x v="8"/>
    <x v="0"/>
    <x v="1"/>
    <x v="194"/>
    <x v="0"/>
    <x v="654"/>
    <x v="720"/>
    <x v="719"/>
    <x v="1"/>
  </r>
  <r>
    <x v="721"/>
    <x v="641"/>
    <x v="0"/>
    <x v="12"/>
    <x v="4"/>
    <x v="1"/>
    <x v="5"/>
    <x v="51"/>
    <x v="0"/>
    <x v="2"/>
    <x v="1"/>
    <x v="2"/>
    <x v="370"/>
    <x v="0"/>
    <x v="655"/>
    <x v="721"/>
    <x v="720"/>
    <x v="2"/>
  </r>
  <r>
    <x v="722"/>
    <x v="642"/>
    <x v="2"/>
    <x v="7"/>
    <x v="3"/>
    <x v="0"/>
    <x v="15"/>
    <x v="41"/>
    <x v="1"/>
    <x v="9"/>
    <x v="0"/>
    <x v="5"/>
    <x v="418"/>
    <x v="1"/>
    <x v="337"/>
    <x v="722"/>
    <x v="721"/>
    <x v="4"/>
  </r>
  <r>
    <x v="723"/>
    <x v="643"/>
    <x v="6"/>
    <x v="6"/>
    <x v="1"/>
    <x v="3"/>
    <x v="9"/>
    <x v="16"/>
    <x v="2"/>
    <x v="11"/>
    <x v="0"/>
    <x v="4"/>
    <x v="41"/>
    <x v="3"/>
    <x v="249"/>
    <x v="723"/>
    <x v="722"/>
    <x v="3"/>
  </r>
  <r>
    <x v="724"/>
    <x v="644"/>
    <x v="3"/>
    <x v="11"/>
    <x v="3"/>
    <x v="4"/>
    <x v="12"/>
    <x v="21"/>
    <x v="2"/>
    <x v="1"/>
    <x v="1"/>
    <x v="0"/>
    <x v="419"/>
    <x v="0"/>
    <x v="656"/>
    <x v="724"/>
    <x v="723"/>
    <x v="3"/>
  </r>
  <r>
    <x v="725"/>
    <x v="645"/>
    <x v="5"/>
    <x v="10"/>
    <x v="1"/>
    <x v="2"/>
    <x v="11"/>
    <x v="34"/>
    <x v="1"/>
    <x v="4"/>
    <x v="0"/>
    <x v="4"/>
    <x v="94"/>
    <x v="1"/>
    <x v="333"/>
    <x v="725"/>
    <x v="724"/>
    <x v="3"/>
  </r>
  <r>
    <x v="726"/>
    <x v="646"/>
    <x v="6"/>
    <x v="11"/>
    <x v="3"/>
    <x v="2"/>
    <x v="11"/>
    <x v="37"/>
    <x v="1"/>
    <x v="7"/>
    <x v="2"/>
    <x v="1"/>
    <x v="420"/>
    <x v="4"/>
    <x v="657"/>
    <x v="726"/>
    <x v="725"/>
    <x v="0"/>
  </r>
  <r>
    <x v="727"/>
    <x v="647"/>
    <x v="3"/>
    <x v="10"/>
    <x v="3"/>
    <x v="4"/>
    <x v="12"/>
    <x v="20"/>
    <x v="1"/>
    <x v="4"/>
    <x v="0"/>
    <x v="0"/>
    <x v="35"/>
    <x v="0"/>
    <x v="310"/>
    <x v="727"/>
    <x v="726"/>
    <x v="1"/>
  </r>
  <r>
    <x v="728"/>
    <x v="648"/>
    <x v="7"/>
    <x v="6"/>
    <x v="3"/>
    <x v="4"/>
    <x v="12"/>
    <x v="20"/>
    <x v="0"/>
    <x v="8"/>
    <x v="1"/>
    <x v="1"/>
    <x v="141"/>
    <x v="0"/>
    <x v="658"/>
    <x v="728"/>
    <x v="727"/>
    <x v="0"/>
  </r>
  <r>
    <x v="729"/>
    <x v="649"/>
    <x v="8"/>
    <x v="11"/>
    <x v="3"/>
    <x v="1"/>
    <x v="5"/>
    <x v="51"/>
    <x v="0"/>
    <x v="6"/>
    <x v="0"/>
    <x v="4"/>
    <x v="385"/>
    <x v="2"/>
    <x v="659"/>
    <x v="729"/>
    <x v="728"/>
    <x v="0"/>
  </r>
  <r>
    <x v="730"/>
    <x v="650"/>
    <x v="3"/>
    <x v="2"/>
    <x v="3"/>
    <x v="0"/>
    <x v="15"/>
    <x v="46"/>
    <x v="0"/>
    <x v="10"/>
    <x v="0"/>
    <x v="6"/>
    <x v="313"/>
    <x v="0"/>
    <x v="79"/>
    <x v="730"/>
    <x v="729"/>
    <x v="3"/>
  </r>
  <r>
    <x v="731"/>
    <x v="651"/>
    <x v="3"/>
    <x v="2"/>
    <x v="3"/>
    <x v="3"/>
    <x v="9"/>
    <x v="14"/>
    <x v="2"/>
    <x v="0"/>
    <x v="1"/>
    <x v="1"/>
    <x v="421"/>
    <x v="2"/>
    <x v="178"/>
    <x v="731"/>
    <x v="730"/>
    <x v="3"/>
  </r>
  <r>
    <x v="732"/>
    <x v="652"/>
    <x v="3"/>
    <x v="9"/>
    <x v="3"/>
    <x v="3"/>
    <x v="8"/>
    <x v="17"/>
    <x v="1"/>
    <x v="5"/>
    <x v="0"/>
    <x v="1"/>
    <x v="422"/>
    <x v="1"/>
    <x v="280"/>
    <x v="732"/>
    <x v="731"/>
    <x v="1"/>
  </r>
  <r>
    <x v="733"/>
    <x v="493"/>
    <x v="5"/>
    <x v="10"/>
    <x v="2"/>
    <x v="2"/>
    <x v="11"/>
    <x v="19"/>
    <x v="0"/>
    <x v="3"/>
    <x v="0"/>
    <x v="1"/>
    <x v="268"/>
    <x v="2"/>
    <x v="660"/>
    <x v="733"/>
    <x v="732"/>
    <x v="0"/>
  </r>
  <r>
    <x v="734"/>
    <x v="653"/>
    <x v="2"/>
    <x v="7"/>
    <x v="2"/>
    <x v="2"/>
    <x v="7"/>
    <x v="30"/>
    <x v="1"/>
    <x v="8"/>
    <x v="2"/>
    <x v="8"/>
    <x v="423"/>
    <x v="2"/>
    <x v="661"/>
    <x v="734"/>
    <x v="733"/>
    <x v="0"/>
  </r>
  <r>
    <x v="735"/>
    <x v="654"/>
    <x v="7"/>
    <x v="6"/>
    <x v="2"/>
    <x v="1"/>
    <x v="2"/>
    <x v="13"/>
    <x v="0"/>
    <x v="9"/>
    <x v="1"/>
    <x v="1"/>
    <x v="72"/>
    <x v="4"/>
    <x v="662"/>
    <x v="735"/>
    <x v="734"/>
    <x v="0"/>
  </r>
  <r>
    <x v="736"/>
    <x v="655"/>
    <x v="8"/>
    <x v="7"/>
    <x v="2"/>
    <x v="1"/>
    <x v="2"/>
    <x v="47"/>
    <x v="1"/>
    <x v="4"/>
    <x v="1"/>
    <x v="2"/>
    <x v="217"/>
    <x v="1"/>
    <x v="663"/>
    <x v="736"/>
    <x v="735"/>
    <x v="1"/>
  </r>
  <r>
    <x v="737"/>
    <x v="656"/>
    <x v="11"/>
    <x v="3"/>
    <x v="2"/>
    <x v="1"/>
    <x v="2"/>
    <x v="3"/>
    <x v="2"/>
    <x v="0"/>
    <x v="0"/>
    <x v="7"/>
    <x v="424"/>
    <x v="0"/>
    <x v="664"/>
    <x v="737"/>
    <x v="736"/>
    <x v="0"/>
  </r>
  <r>
    <x v="738"/>
    <x v="657"/>
    <x v="6"/>
    <x v="0"/>
    <x v="0"/>
    <x v="0"/>
    <x v="13"/>
    <x v="29"/>
    <x v="0"/>
    <x v="2"/>
    <x v="1"/>
    <x v="8"/>
    <x v="5"/>
    <x v="2"/>
    <x v="665"/>
    <x v="738"/>
    <x v="737"/>
    <x v="1"/>
  </r>
  <r>
    <x v="739"/>
    <x v="658"/>
    <x v="5"/>
    <x v="4"/>
    <x v="1"/>
    <x v="1"/>
    <x v="16"/>
    <x v="48"/>
    <x v="1"/>
    <x v="0"/>
    <x v="0"/>
    <x v="4"/>
    <x v="220"/>
    <x v="0"/>
    <x v="53"/>
    <x v="739"/>
    <x v="738"/>
    <x v="1"/>
  </r>
  <r>
    <x v="740"/>
    <x v="659"/>
    <x v="2"/>
    <x v="8"/>
    <x v="1"/>
    <x v="3"/>
    <x v="9"/>
    <x v="16"/>
    <x v="2"/>
    <x v="9"/>
    <x v="2"/>
    <x v="6"/>
    <x v="220"/>
    <x v="1"/>
    <x v="666"/>
    <x v="740"/>
    <x v="739"/>
    <x v="2"/>
  </r>
  <r>
    <x v="741"/>
    <x v="411"/>
    <x v="5"/>
    <x v="7"/>
    <x v="2"/>
    <x v="3"/>
    <x v="9"/>
    <x v="35"/>
    <x v="2"/>
    <x v="0"/>
    <x v="2"/>
    <x v="5"/>
    <x v="425"/>
    <x v="0"/>
    <x v="667"/>
    <x v="741"/>
    <x v="740"/>
    <x v="3"/>
  </r>
  <r>
    <x v="742"/>
    <x v="178"/>
    <x v="1"/>
    <x v="9"/>
    <x v="2"/>
    <x v="2"/>
    <x v="11"/>
    <x v="37"/>
    <x v="0"/>
    <x v="2"/>
    <x v="0"/>
    <x v="2"/>
    <x v="426"/>
    <x v="4"/>
    <x v="668"/>
    <x v="742"/>
    <x v="741"/>
    <x v="3"/>
  </r>
  <r>
    <x v="743"/>
    <x v="660"/>
    <x v="7"/>
    <x v="2"/>
    <x v="2"/>
    <x v="1"/>
    <x v="16"/>
    <x v="33"/>
    <x v="1"/>
    <x v="11"/>
    <x v="1"/>
    <x v="1"/>
    <x v="340"/>
    <x v="0"/>
    <x v="669"/>
    <x v="743"/>
    <x v="742"/>
    <x v="1"/>
  </r>
  <r>
    <x v="744"/>
    <x v="661"/>
    <x v="2"/>
    <x v="3"/>
    <x v="5"/>
    <x v="4"/>
    <x v="12"/>
    <x v="20"/>
    <x v="2"/>
    <x v="11"/>
    <x v="1"/>
    <x v="3"/>
    <x v="427"/>
    <x v="0"/>
    <x v="670"/>
    <x v="744"/>
    <x v="743"/>
    <x v="3"/>
  </r>
  <r>
    <x v="745"/>
    <x v="662"/>
    <x v="7"/>
    <x v="9"/>
    <x v="5"/>
    <x v="3"/>
    <x v="9"/>
    <x v="35"/>
    <x v="0"/>
    <x v="10"/>
    <x v="2"/>
    <x v="4"/>
    <x v="428"/>
    <x v="1"/>
    <x v="671"/>
    <x v="745"/>
    <x v="744"/>
    <x v="2"/>
  </r>
  <r>
    <x v="746"/>
    <x v="663"/>
    <x v="6"/>
    <x v="4"/>
    <x v="1"/>
    <x v="2"/>
    <x v="3"/>
    <x v="28"/>
    <x v="1"/>
    <x v="5"/>
    <x v="1"/>
    <x v="6"/>
    <x v="27"/>
    <x v="1"/>
    <x v="46"/>
    <x v="746"/>
    <x v="745"/>
    <x v="3"/>
  </r>
  <r>
    <x v="747"/>
    <x v="664"/>
    <x v="11"/>
    <x v="4"/>
    <x v="1"/>
    <x v="2"/>
    <x v="3"/>
    <x v="28"/>
    <x v="0"/>
    <x v="9"/>
    <x v="2"/>
    <x v="9"/>
    <x v="7"/>
    <x v="2"/>
    <x v="672"/>
    <x v="747"/>
    <x v="746"/>
    <x v="2"/>
  </r>
  <r>
    <x v="748"/>
    <x v="665"/>
    <x v="2"/>
    <x v="4"/>
    <x v="1"/>
    <x v="1"/>
    <x v="16"/>
    <x v="49"/>
    <x v="0"/>
    <x v="11"/>
    <x v="0"/>
    <x v="8"/>
    <x v="12"/>
    <x v="2"/>
    <x v="673"/>
    <x v="748"/>
    <x v="747"/>
    <x v="0"/>
  </r>
  <r>
    <x v="749"/>
    <x v="666"/>
    <x v="6"/>
    <x v="1"/>
    <x v="1"/>
    <x v="3"/>
    <x v="9"/>
    <x v="14"/>
    <x v="2"/>
    <x v="6"/>
    <x v="0"/>
    <x v="2"/>
    <x v="429"/>
    <x v="1"/>
    <x v="674"/>
    <x v="749"/>
    <x v="748"/>
    <x v="2"/>
  </r>
  <r>
    <x v="750"/>
    <x v="667"/>
    <x v="4"/>
    <x v="0"/>
    <x v="0"/>
    <x v="3"/>
    <x v="4"/>
    <x v="38"/>
    <x v="0"/>
    <x v="6"/>
    <x v="1"/>
    <x v="6"/>
    <x v="430"/>
    <x v="0"/>
    <x v="675"/>
    <x v="750"/>
    <x v="749"/>
    <x v="3"/>
  </r>
  <r>
    <x v="751"/>
    <x v="668"/>
    <x v="1"/>
    <x v="9"/>
    <x v="5"/>
    <x v="4"/>
    <x v="12"/>
    <x v="21"/>
    <x v="2"/>
    <x v="9"/>
    <x v="0"/>
    <x v="0"/>
    <x v="302"/>
    <x v="2"/>
    <x v="676"/>
    <x v="751"/>
    <x v="750"/>
    <x v="1"/>
  </r>
  <r>
    <x v="752"/>
    <x v="669"/>
    <x v="2"/>
    <x v="12"/>
    <x v="4"/>
    <x v="3"/>
    <x v="4"/>
    <x v="38"/>
    <x v="1"/>
    <x v="9"/>
    <x v="0"/>
    <x v="1"/>
    <x v="21"/>
    <x v="3"/>
    <x v="677"/>
    <x v="752"/>
    <x v="751"/>
    <x v="0"/>
  </r>
  <r>
    <x v="753"/>
    <x v="229"/>
    <x v="1"/>
    <x v="1"/>
    <x v="1"/>
    <x v="0"/>
    <x v="6"/>
    <x v="8"/>
    <x v="1"/>
    <x v="0"/>
    <x v="0"/>
    <x v="4"/>
    <x v="103"/>
    <x v="1"/>
    <x v="236"/>
    <x v="753"/>
    <x v="752"/>
    <x v="4"/>
  </r>
  <r>
    <x v="754"/>
    <x v="670"/>
    <x v="7"/>
    <x v="12"/>
    <x v="4"/>
    <x v="3"/>
    <x v="9"/>
    <x v="35"/>
    <x v="0"/>
    <x v="6"/>
    <x v="2"/>
    <x v="3"/>
    <x v="362"/>
    <x v="0"/>
    <x v="678"/>
    <x v="754"/>
    <x v="753"/>
    <x v="2"/>
  </r>
  <r>
    <x v="755"/>
    <x v="671"/>
    <x v="3"/>
    <x v="2"/>
    <x v="5"/>
    <x v="2"/>
    <x v="11"/>
    <x v="19"/>
    <x v="0"/>
    <x v="0"/>
    <x v="2"/>
    <x v="4"/>
    <x v="401"/>
    <x v="1"/>
    <x v="679"/>
    <x v="755"/>
    <x v="754"/>
    <x v="1"/>
  </r>
  <r>
    <x v="756"/>
    <x v="672"/>
    <x v="7"/>
    <x v="11"/>
    <x v="5"/>
    <x v="0"/>
    <x v="15"/>
    <x v="41"/>
    <x v="1"/>
    <x v="7"/>
    <x v="2"/>
    <x v="9"/>
    <x v="431"/>
    <x v="3"/>
    <x v="439"/>
    <x v="756"/>
    <x v="755"/>
    <x v="0"/>
  </r>
  <r>
    <x v="757"/>
    <x v="673"/>
    <x v="5"/>
    <x v="11"/>
    <x v="5"/>
    <x v="0"/>
    <x v="13"/>
    <x v="25"/>
    <x v="0"/>
    <x v="4"/>
    <x v="2"/>
    <x v="7"/>
    <x v="432"/>
    <x v="1"/>
    <x v="680"/>
    <x v="757"/>
    <x v="756"/>
    <x v="0"/>
  </r>
  <r>
    <x v="758"/>
    <x v="36"/>
    <x v="3"/>
    <x v="7"/>
    <x v="5"/>
    <x v="2"/>
    <x v="17"/>
    <x v="42"/>
    <x v="1"/>
    <x v="11"/>
    <x v="1"/>
    <x v="5"/>
    <x v="433"/>
    <x v="0"/>
    <x v="681"/>
    <x v="758"/>
    <x v="757"/>
    <x v="1"/>
  </r>
  <r>
    <x v="759"/>
    <x v="674"/>
    <x v="3"/>
    <x v="11"/>
    <x v="5"/>
    <x v="4"/>
    <x v="12"/>
    <x v="21"/>
    <x v="1"/>
    <x v="3"/>
    <x v="2"/>
    <x v="1"/>
    <x v="281"/>
    <x v="4"/>
    <x v="682"/>
    <x v="759"/>
    <x v="758"/>
    <x v="3"/>
  </r>
  <r>
    <x v="760"/>
    <x v="675"/>
    <x v="11"/>
    <x v="1"/>
    <x v="1"/>
    <x v="3"/>
    <x v="4"/>
    <x v="16"/>
    <x v="0"/>
    <x v="0"/>
    <x v="0"/>
    <x v="4"/>
    <x v="156"/>
    <x v="0"/>
    <x v="529"/>
    <x v="760"/>
    <x v="759"/>
    <x v="4"/>
  </r>
  <r>
    <x v="761"/>
    <x v="676"/>
    <x v="5"/>
    <x v="10"/>
    <x v="5"/>
    <x v="1"/>
    <x v="1"/>
    <x v="4"/>
    <x v="2"/>
    <x v="10"/>
    <x v="1"/>
    <x v="8"/>
    <x v="434"/>
    <x v="1"/>
    <x v="683"/>
    <x v="761"/>
    <x v="760"/>
    <x v="0"/>
  </r>
  <r>
    <x v="762"/>
    <x v="677"/>
    <x v="5"/>
    <x v="10"/>
    <x v="4"/>
    <x v="0"/>
    <x v="6"/>
    <x v="11"/>
    <x v="2"/>
    <x v="11"/>
    <x v="2"/>
    <x v="7"/>
    <x v="435"/>
    <x v="1"/>
    <x v="684"/>
    <x v="762"/>
    <x v="761"/>
    <x v="4"/>
  </r>
  <r>
    <x v="763"/>
    <x v="678"/>
    <x v="3"/>
    <x v="4"/>
    <x v="1"/>
    <x v="0"/>
    <x v="15"/>
    <x v="41"/>
    <x v="2"/>
    <x v="5"/>
    <x v="0"/>
    <x v="0"/>
    <x v="47"/>
    <x v="1"/>
    <x v="569"/>
    <x v="763"/>
    <x v="762"/>
    <x v="4"/>
  </r>
  <r>
    <x v="764"/>
    <x v="679"/>
    <x v="9"/>
    <x v="7"/>
    <x v="5"/>
    <x v="3"/>
    <x v="8"/>
    <x v="18"/>
    <x v="0"/>
    <x v="3"/>
    <x v="1"/>
    <x v="1"/>
    <x v="31"/>
    <x v="0"/>
    <x v="685"/>
    <x v="764"/>
    <x v="763"/>
    <x v="0"/>
  </r>
  <r>
    <x v="765"/>
    <x v="680"/>
    <x v="2"/>
    <x v="1"/>
    <x v="1"/>
    <x v="1"/>
    <x v="1"/>
    <x v="44"/>
    <x v="2"/>
    <x v="7"/>
    <x v="1"/>
    <x v="7"/>
    <x v="157"/>
    <x v="4"/>
    <x v="568"/>
    <x v="765"/>
    <x v="764"/>
    <x v="0"/>
  </r>
  <r>
    <x v="766"/>
    <x v="198"/>
    <x v="5"/>
    <x v="10"/>
    <x v="5"/>
    <x v="3"/>
    <x v="9"/>
    <x v="16"/>
    <x v="0"/>
    <x v="0"/>
    <x v="2"/>
    <x v="9"/>
    <x v="121"/>
    <x v="4"/>
    <x v="686"/>
    <x v="766"/>
    <x v="765"/>
    <x v="4"/>
  </r>
  <r>
    <x v="767"/>
    <x v="490"/>
    <x v="5"/>
    <x v="7"/>
    <x v="5"/>
    <x v="2"/>
    <x v="3"/>
    <x v="28"/>
    <x v="1"/>
    <x v="7"/>
    <x v="0"/>
    <x v="2"/>
    <x v="436"/>
    <x v="0"/>
    <x v="687"/>
    <x v="767"/>
    <x v="766"/>
    <x v="0"/>
  </r>
  <r>
    <x v="768"/>
    <x v="316"/>
    <x v="3"/>
    <x v="1"/>
    <x v="1"/>
    <x v="3"/>
    <x v="14"/>
    <x v="36"/>
    <x v="2"/>
    <x v="9"/>
    <x v="0"/>
    <x v="6"/>
    <x v="297"/>
    <x v="4"/>
    <x v="688"/>
    <x v="768"/>
    <x v="767"/>
    <x v="0"/>
  </r>
  <r>
    <x v="769"/>
    <x v="681"/>
    <x v="1"/>
    <x v="0"/>
    <x v="0"/>
    <x v="1"/>
    <x v="5"/>
    <x v="51"/>
    <x v="1"/>
    <x v="1"/>
    <x v="1"/>
    <x v="2"/>
    <x v="237"/>
    <x v="1"/>
    <x v="650"/>
    <x v="769"/>
    <x v="768"/>
    <x v="1"/>
  </r>
  <r>
    <x v="770"/>
    <x v="682"/>
    <x v="10"/>
    <x v="2"/>
    <x v="5"/>
    <x v="4"/>
    <x v="12"/>
    <x v="23"/>
    <x v="0"/>
    <x v="10"/>
    <x v="2"/>
    <x v="8"/>
    <x v="310"/>
    <x v="0"/>
    <x v="689"/>
    <x v="770"/>
    <x v="769"/>
    <x v="1"/>
  </r>
  <r>
    <x v="771"/>
    <x v="683"/>
    <x v="6"/>
    <x v="3"/>
    <x v="5"/>
    <x v="3"/>
    <x v="9"/>
    <x v="14"/>
    <x v="0"/>
    <x v="11"/>
    <x v="0"/>
    <x v="5"/>
    <x v="437"/>
    <x v="1"/>
    <x v="690"/>
    <x v="771"/>
    <x v="770"/>
    <x v="0"/>
  </r>
  <r>
    <x v="772"/>
    <x v="102"/>
    <x v="1"/>
    <x v="2"/>
    <x v="5"/>
    <x v="1"/>
    <x v="5"/>
    <x v="7"/>
    <x v="1"/>
    <x v="1"/>
    <x v="2"/>
    <x v="1"/>
    <x v="10"/>
    <x v="1"/>
    <x v="691"/>
    <x v="772"/>
    <x v="771"/>
    <x v="0"/>
  </r>
  <r>
    <x v="773"/>
    <x v="684"/>
    <x v="2"/>
    <x v="7"/>
    <x v="5"/>
    <x v="3"/>
    <x v="9"/>
    <x v="35"/>
    <x v="0"/>
    <x v="10"/>
    <x v="1"/>
    <x v="7"/>
    <x v="145"/>
    <x v="4"/>
    <x v="692"/>
    <x v="773"/>
    <x v="772"/>
    <x v="4"/>
  </r>
  <r>
    <x v="774"/>
    <x v="685"/>
    <x v="1"/>
    <x v="5"/>
    <x v="4"/>
    <x v="1"/>
    <x v="16"/>
    <x v="33"/>
    <x v="1"/>
    <x v="9"/>
    <x v="1"/>
    <x v="7"/>
    <x v="237"/>
    <x v="2"/>
    <x v="693"/>
    <x v="774"/>
    <x v="773"/>
    <x v="4"/>
  </r>
  <r>
    <x v="775"/>
    <x v="686"/>
    <x v="7"/>
    <x v="0"/>
    <x v="0"/>
    <x v="0"/>
    <x v="6"/>
    <x v="31"/>
    <x v="2"/>
    <x v="0"/>
    <x v="1"/>
    <x v="1"/>
    <x v="418"/>
    <x v="1"/>
    <x v="54"/>
    <x v="775"/>
    <x v="774"/>
    <x v="2"/>
  </r>
  <r>
    <x v="776"/>
    <x v="687"/>
    <x v="8"/>
    <x v="2"/>
    <x v="5"/>
    <x v="3"/>
    <x v="9"/>
    <x v="35"/>
    <x v="0"/>
    <x v="11"/>
    <x v="0"/>
    <x v="4"/>
    <x v="138"/>
    <x v="3"/>
    <x v="694"/>
    <x v="776"/>
    <x v="775"/>
    <x v="0"/>
  </r>
  <r>
    <x v="777"/>
    <x v="688"/>
    <x v="7"/>
    <x v="11"/>
    <x v="5"/>
    <x v="2"/>
    <x v="7"/>
    <x v="30"/>
    <x v="1"/>
    <x v="0"/>
    <x v="0"/>
    <x v="8"/>
    <x v="438"/>
    <x v="4"/>
    <x v="695"/>
    <x v="777"/>
    <x v="776"/>
    <x v="0"/>
  </r>
  <r>
    <x v="778"/>
    <x v="78"/>
    <x v="1"/>
    <x v="3"/>
    <x v="5"/>
    <x v="1"/>
    <x v="2"/>
    <x v="3"/>
    <x v="2"/>
    <x v="3"/>
    <x v="2"/>
    <x v="6"/>
    <x v="439"/>
    <x v="4"/>
    <x v="696"/>
    <x v="778"/>
    <x v="777"/>
    <x v="1"/>
  </r>
  <r>
    <x v="779"/>
    <x v="689"/>
    <x v="6"/>
    <x v="4"/>
    <x v="1"/>
    <x v="1"/>
    <x v="1"/>
    <x v="44"/>
    <x v="2"/>
    <x v="11"/>
    <x v="0"/>
    <x v="8"/>
    <x v="347"/>
    <x v="1"/>
    <x v="508"/>
    <x v="779"/>
    <x v="778"/>
    <x v="4"/>
  </r>
  <r>
    <x v="780"/>
    <x v="690"/>
    <x v="4"/>
    <x v="7"/>
    <x v="5"/>
    <x v="1"/>
    <x v="2"/>
    <x v="47"/>
    <x v="0"/>
    <x v="3"/>
    <x v="1"/>
    <x v="2"/>
    <x v="440"/>
    <x v="0"/>
    <x v="697"/>
    <x v="780"/>
    <x v="779"/>
    <x v="0"/>
  </r>
  <r>
    <x v="781"/>
    <x v="691"/>
    <x v="2"/>
    <x v="4"/>
    <x v="1"/>
    <x v="0"/>
    <x v="15"/>
    <x v="32"/>
    <x v="1"/>
    <x v="7"/>
    <x v="1"/>
    <x v="7"/>
    <x v="194"/>
    <x v="0"/>
    <x v="698"/>
    <x v="781"/>
    <x v="780"/>
    <x v="3"/>
  </r>
  <r>
    <x v="782"/>
    <x v="692"/>
    <x v="7"/>
    <x v="1"/>
    <x v="1"/>
    <x v="4"/>
    <x v="10"/>
    <x v="15"/>
    <x v="0"/>
    <x v="5"/>
    <x v="1"/>
    <x v="5"/>
    <x v="174"/>
    <x v="4"/>
    <x v="699"/>
    <x v="782"/>
    <x v="781"/>
    <x v="0"/>
  </r>
  <r>
    <x v="783"/>
    <x v="366"/>
    <x v="0"/>
    <x v="5"/>
    <x v="1"/>
    <x v="4"/>
    <x v="12"/>
    <x v="20"/>
    <x v="1"/>
    <x v="8"/>
    <x v="0"/>
    <x v="9"/>
    <x v="12"/>
    <x v="3"/>
    <x v="700"/>
    <x v="783"/>
    <x v="782"/>
    <x v="3"/>
  </r>
  <r>
    <x v="784"/>
    <x v="693"/>
    <x v="11"/>
    <x v="1"/>
    <x v="1"/>
    <x v="1"/>
    <x v="2"/>
    <x v="47"/>
    <x v="0"/>
    <x v="11"/>
    <x v="0"/>
    <x v="1"/>
    <x v="138"/>
    <x v="1"/>
    <x v="701"/>
    <x v="784"/>
    <x v="783"/>
    <x v="2"/>
  </r>
  <r>
    <x v="785"/>
    <x v="694"/>
    <x v="7"/>
    <x v="6"/>
    <x v="0"/>
    <x v="2"/>
    <x v="3"/>
    <x v="28"/>
    <x v="2"/>
    <x v="10"/>
    <x v="0"/>
    <x v="2"/>
    <x v="340"/>
    <x v="1"/>
    <x v="702"/>
    <x v="785"/>
    <x v="784"/>
    <x v="1"/>
  </r>
  <r>
    <x v="786"/>
    <x v="695"/>
    <x v="1"/>
    <x v="5"/>
    <x v="5"/>
    <x v="0"/>
    <x v="0"/>
    <x v="43"/>
    <x v="0"/>
    <x v="9"/>
    <x v="0"/>
    <x v="6"/>
    <x v="401"/>
    <x v="4"/>
    <x v="703"/>
    <x v="786"/>
    <x v="785"/>
    <x v="2"/>
  </r>
  <r>
    <x v="787"/>
    <x v="696"/>
    <x v="1"/>
    <x v="4"/>
    <x v="1"/>
    <x v="1"/>
    <x v="16"/>
    <x v="49"/>
    <x v="1"/>
    <x v="10"/>
    <x v="2"/>
    <x v="6"/>
    <x v="175"/>
    <x v="0"/>
    <x v="216"/>
    <x v="787"/>
    <x v="786"/>
    <x v="2"/>
  </r>
  <r>
    <x v="788"/>
    <x v="697"/>
    <x v="1"/>
    <x v="11"/>
    <x v="5"/>
    <x v="3"/>
    <x v="8"/>
    <x v="17"/>
    <x v="0"/>
    <x v="0"/>
    <x v="1"/>
    <x v="9"/>
    <x v="441"/>
    <x v="0"/>
    <x v="704"/>
    <x v="788"/>
    <x v="787"/>
    <x v="4"/>
  </r>
  <r>
    <x v="789"/>
    <x v="698"/>
    <x v="8"/>
    <x v="7"/>
    <x v="5"/>
    <x v="3"/>
    <x v="8"/>
    <x v="18"/>
    <x v="2"/>
    <x v="3"/>
    <x v="0"/>
    <x v="1"/>
    <x v="442"/>
    <x v="0"/>
    <x v="705"/>
    <x v="789"/>
    <x v="788"/>
    <x v="4"/>
  </r>
  <r>
    <x v="790"/>
    <x v="699"/>
    <x v="9"/>
    <x v="2"/>
    <x v="5"/>
    <x v="0"/>
    <x v="13"/>
    <x v="29"/>
    <x v="0"/>
    <x v="8"/>
    <x v="2"/>
    <x v="5"/>
    <x v="0"/>
    <x v="4"/>
    <x v="706"/>
    <x v="790"/>
    <x v="789"/>
    <x v="1"/>
  </r>
  <r>
    <x v="791"/>
    <x v="189"/>
    <x v="3"/>
    <x v="10"/>
    <x v="5"/>
    <x v="1"/>
    <x v="2"/>
    <x v="3"/>
    <x v="2"/>
    <x v="4"/>
    <x v="1"/>
    <x v="8"/>
    <x v="250"/>
    <x v="1"/>
    <x v="707"/>
    <x v="791"/>
    <x v="790"/>
    <x v="3"/>
  </r>
  <r>
    <x v="792"/>
    <x v="700"/>
    <x v="11"/>
    <x v="2"/>
    <x v="5"/>
    <x v="2"/>
    <x v="3"/>
    <x v="5"/>
    <x v="1"/>
    <x v="10"/>
    <x v="2"/>
    <x v="2"/>
    <x v="299"/>
    <x v="4"/>
    <x v="708"/>
    <x v="792"/>
    <x v="791"/>
    <x v="4"/>
  </r>
  <r>
    <x v="793"/>
    <x v="701"/>
    <x v="8"/>
    <x v="0"/>
    <x v="0"/>
    <x v="2"/>
    <x v="7"/>
    <x v="30"/>
    <x v="2"/>
    <x v="3"/>
    <x v="2"/>
    <x v="4"/>
    <x v="45"/>
    <x v="4"/>
    <x v="709"/>
    <x v="793"/>
    <x v="792"/>
    <x v="3"/>
  </r>
  <r>
    <x v="794"/>
    <x v="702"/>
    <x v="7"/>
    <x v="0"/>
    <x v="0"/>
    <x v="1"/>
    <x v="1"/>
    <x v="4"/>
    <x v="1"/>
    <x v="2"/>
    <x v="2"/>
    <x v="6"/>
    <x v="181"/>
    <x v="2"/>
    <x v="710"/>
    <x v="794"/>
    <x v="793"/>
    <x v="4"/>
  </r>
  <r>
    <x v="795"/>
    <x v="703"/>
    <x v="2"/>
    <x v="4"/>
    <x v="1"/>
    <x v="1"/>
    <x v="2"/>
    <x v="13"/>
    <x v="1"/>
    <x v="11"/>
    <x v="0"/>
    <x v="4"/>
    <x v="186"/>
    <x v="1"/>
    <x v="711"/>
    <x v="795"/>
    <x v="794"/>
    <x v="3"/>
  </r>
  <r>
    <x v="796"/>
    <x v="704"/>
    <x v="6"/>
    <x v="8"/>
    <x v="1"/>
    <x v="1"/>
    <x v="5"/>
    <x v="51"/>
    <x v="2"/>
    <x v="1"/>
    <x v="2"/>
    <x v="0"/>
    <x v="67"/>
    <x v="1"/>
    <x v="221"/>
    <x v="796"/>
    <x v="795"/>
    <x v="3"/>
  </r>
  <r>
    <x v="797"/>
    <x v="317"/>
    <x v="3"/>
    <x v="10"/>
    <x v="5"/>
    <x v="1"/>
    <x v="16"/>
    <x v="48"/>
    <x v="0"/>
    <x v="1"/>
    <x v="1"/>
    <x v="4"/>
    <x v="325"/>
    <x v="4"/>
    <x v="712"/>
    <x v="797"/>
    <x v="796"/>
    <x v="3"/>
  </r>
  <r>
    <x v="798"/>
    <x v="303"/>
    <x v="0"/>
    <x v="5"/>
    <x v="1"/>
    <x v="1"/>
    <x v="1"/>
    <x v="4"/>
    <x v="0"/>
    <x v="4"/>
    <x v="2"/>
    <x v="3"/>
    <x v="175"/>
    <x v="0"/>
    <x v="107"/>
    <x v="798"/>
    <x v="797"/>
    <x v="2"/>
  </r>
  <r>
    <x v="799"/>
    <x v="16"/>
    <x v="2"/>
    <x v="9"/>
    <x v="5"/>
    <x v="3"/>
    <x v="9"/>
    <x v="35"/>
    <x v="1"/>
    <x v="8"/>
    <x v="0"/>
    <x v="9"/>
    <x v="207"/>
    <x v="0"/>
    <x v="299"/>
    <x v="799"/>
    <x v="798"/>
    <x v="1"/>
  </r>
  <r>
    <x v="800"/>
    <x v="171"/>
    <x v="5"/>
    <x v="2"/>
    <x v="5"/>
    <x v="0"/>
    <x v="15"/>
    <x v="46"/>
    <x v="0"/>
    <x v="0"/>
    <x v="2"/>
    <x v="0"/>
    <x v="106"/>
    <x v="4"/>
    <x v="713"/>
    <x v="800"/>
    <x v="799"/>
    <x v="2"/>
  </r>
  <r>
    <x v="801"/>
    <x v="705"/>
    <x v="2"/>
    <x v="2"/>
    <x v="5"/>
    <x v="0"/>
    <x v="13"/>
    <x v="22"/>
    <x v="2"/>
    <x v="7"/>
    <x v="1"/>
    <x v="3"/>
    <x v="255"/>
    <x v="0"/>
    <x v="714"/>
    <x v="801"/>
    <x v="800"/>
    <x v="2"/>
  </r>
  <r>
    <x v="802"/>
    <x v="706"/>
    <x v="11"/>
    <x v="11"/>
    <x v="5"/>
    <x v="3"/>
    <x v="9"/>
    <x v="35"/>
    <x v="0"/>
    <x v="4"/>
    <x v="2"/>
    <x v="0"/>
    <x v="443"/>
    <x v="3"/>
    <x v="502"/>
    <x v="802"/>
    <x v="801"/>
    <x v="4"/>
  </r>
  <r>
    <x v="803"/>
    <x v="707"/>
    <x v="2"/>
    <x v="2"/>
    <x v="5"/>
    <x v="4"/>
    <x v="12"/>
    <x v="21"/>
    <x v="0"/>
    <x v="9"/>
    <x v="0"/>
    <x v="3"/>
    <x v="444"/>
    <x v="4"/>
    <x v="715"/>
    <x v="803"/>
    <x v="802"/>
    <x v="2"/>
  </r>
  <r>
    <x v="804"/>
    <x v="490"/>
    <x v="5"/>
    <x v="12"/>
    <x v="4"/>
    <x v="4"/>
    <x v="10"/>
    <x v="50"/>
    <x v="0"/>
    <x v="11"/>
    <x v="0"/>
    <x v="0"/>
    <x v="445"/>
    <x v="4"/>
    <x v="716"/>
    <x v="804"/>
    <x v="803"/>
    <x v="1"/>
  </r>
  <r>
    <x v="805"/>
    <x v="708"/>
    <x v="7"/>
    <x v="6"/>
    <x v="5"/>
    <x v="4"/>
    <x v="10"/>
    <x v="27"/>
    <x v="0"/>
    <x v="4"/>
    <x v="1"/>
    <x v="2"/>
    <x v="446"/>
    <x v="1"/>
    <x v="717"/>
    <x v="805"/>
    <x v="804"/>
    <x v="1"/>
  </r>
  <r>
    <x v="806"/>
    <x v="171"/>
    <x v="5"/>
    <x v="11"/>
    <x v="5"/>
    <x v="0"/>
    <x v="6"/>
    <x v="8"/>
    <x v="2"/>
    <x v="1"/>
    <x v="2"/>
    <x v="3"/>
    <x v="227"/>
    <x v="4"/>
    <x v="718"/>
    <x v="806"/>
    <x v="805"/>
    <x v="4"/>
  </r>
  <r>
    <x v="807"/>
    <x v="709"/>
    <x v="4"/>
    <x v="9"/>
    <x v="5"/>
    <x v="3"/>
    <x v="4"/>
    <x v="38"/>
    <x v="2"/>
    <x v="5"/>
    <x v="1"/>
    <x v="0"/>
    <x v="447"/>
    <x v="2"/>
    <x v="719"/>
    <x v="807"/>
    <x v="806"/>
    <x v="1"/>
  </r>
  <r>
    <x v="808"/>
    <x v="710"/>
    <x v="7"/>
    <x v="4"/>
    <x v="1"/>
    <x v="1"/>
    <x v="16"/>
    <x v="48"/>
    <x v="1"/>
    <x v="0"/>
    <x v="0"/>
    <x v="4"/>
    <x v="115"/>
    <x v="4"/>
    <x v="720"/>
    <x v="808"/>
    <x v="807"/>
    <x v="4"/>
  </r>
  <r>
    <x v="809"/>
    <x v="711"/>
    <x v="9"/>
    <x v="11"/>
    <x v="5"/>
    <x v="2"/>
    <x v="17"/>
    <x v="39"/>
    <x v="0"/>
    <x v="9"/>
    <x v="2"/>
    <x v="3"/>
    <x v="315"/>
    <x v="0"/>
    <x v="721"/>
    <x v="809"/>
    <x v="808"/>
    <x v="2"/>
  </r>
  <r>
    <x v="810"/>
    <x v="514"/>
    <x v="5"/>
    <x v="10"/>
    <x v="4"/>
    <x v="2"/>
    <x v="11"/>
    <x v="19"/>
    <x v="1"/>
    <x v="8"/>
    <x v="2"/>
    <x v="3"/>
    <x v="31"/>
    <x v="4"/>
    <x v="722"/>
    <x v="810"/>
    <x v="809"/>
    <x v="1"/>
  </r>
  <r>
    <x v="811"/>
    <x v="712"/>
    <x v="4"/>
    <x v="8"/>
    <x v="1"/>
    <x v="4"/>
    <x v="12"/>
    <x v="23"/>
    <x v="0"/>
    <x v="2"/>
    <x v="1"/>
    <x v="6"/>
    <x v="128"/>
    <x v="0"/>
    <x v="302"/>
    <x v="811"/>
    <x v="810"/>
    <x v="3"/>
  </r>
  <r>
    <x v="812"/>
    <x v="713"/>
    <x v="1"/>
    <x v="11"/>
    <x v="5"/>
    <x v="0"/>
    <x v="6"/>
    <x v="11"/>
    <x v="2"/>
    <x v="3"/>
    <x v="0"/>
    <x v="9"/>
    <x v="448"/>
    <x v="0"/>
    <x v="723"/>
    <x v="812"/>
    <x v="811"/>
    <x v="0"/>
  </r>
  <r>
    <x v="813"/>
    <x v="714"/>
    <x v="1"/>
    <x v="5"/>
    <x v="1"/>
    <x v="2"/>
    <x v="17"/>
    <x v="39"/>
    <x v="2"/>
    <x v="11"/>
    <x v="2"/>
    <x v="0"/>
    <x v="407"/>
    <x v="2"/>
    <x v="724"/>
    <x v="813"/>
    <x v="812"/>
    <x v="3"/>
  </r>
  <r>
    <x v="814"/>
    <x v="715"/>
    <x v="7"/>
    <x v="1"/>
    <x v="1"/>
    <x v="3"/>
    <x v="14"/>
    <x v="36"/>
    <x v="1"/>
    <x v="5"/>
    <x v="0"/>
    <x v="0"/>
    <x v="122"/>
    <x v="0"/>
    <x v="506"/>
    <x v="814"/>
    <x v="813"/>
    <x v="1"/>
  </r>
  <r>
    <x v="815"/>
    <x v="716"/>
    <x v="0"/>
    <x v="4"/>
    <x v="1"/>
    <x v="1"/>
    <x v="2"/>
    <x v="47"/>
    <x v="2"/>
    <x v="3"/>
    <x v="0"/>
    <x v="3"/>
    <x v="7"/>
    <x v="4"/>
    <x v="148"/>
    <x v="815"/>
    <x v="814"/>
    <x v="2"/>
  </r>
  <r>
    <x v="816"/>
    <x v="717"/>
    <x v="6"/>
    <x v="7"/>
    <x v="5"/>
    <x v="3"/>
    <x v="14"/>
    <x v="26"/>
    <x v="1"/>
    <x v="10"/>
    <x v="1"/>
    <x v="0"/>
    <x v="449"/>
    <x v="0"/>
    <x v="725"/>
    <x v="816"/>
    <x v="815"/>
    <x v="0"/>
  </r>
  <r>
    <x v="817"/>
    <x v="718"/>
    <x v="1"/>
    <x v="8"/>
    <x v="1"/>
    <x v="4"/>
    <x v="10"/>
    <x v="15"/>
    <x v="0"/>
    <x v="1"/>
    <x v="0"/>
    <x v="1"/>
    <x v="89"/>
    <x v="2"/>
    <x v="108"/>
    <x v="817"/>
    <x v="816"/>
    <x v="1"/>
  </r>
  <r>
    <x v="818"/>
    <x v="113"/>
    <x v="1"/>
    <x v="11"/>
    <x v="5"/>
    <x v="2"/>
    <x v="17"/>
    <x v="52"/>
    <x v="0"/>
    <x v="4"/>
    <x v="1"/>
    <x v="9"/>
    <x v="450"/>
    <x v="2"/>
    <x v="726"/>
    <x v="818"/>
    <x v="817"/>
    <x v="4"/>
  </r>
  <r>
    <x v="819"/>
    <x v="373"/>
    <x v="7"/>
    <x v="6"/>
    <x v="2"/>
    <x v="0"/>
    <x v="13"/>
    <x v="29"/>
    <x v="2"/>
    <x v="6"/>
    <x v="1"/>
    <x v="4"/>
    <x v="226"/>
    <x v="3"/>
    <x v="727"/>
    <x v="819"/>
    <x v="818"/>
    <x v="4"/>
  </r>
  <r>
    <x v="820"/>
    <x v="719"/>
    <x v="8"/>
    <x v="2"/>
    <x v="2"/>
    <x v="2"/>
    <x v="3"/>
    <x v="5"/>
    <x v="2"/>
    <x v="2"/>
    <x v="0"/>
    <x v="8"/>
    <x v="38"/>
    <x v="0"/>
    <x v="548"/>
    <x v="820"/>
    <x v="819"/>
    <x v="1"/>
  </r>
  <r>
    <x v="821"/>
    <x v="8"/>
    <x v="0"/>
    <x v="5"/>
    <x v="2"/>
    <x v="1"/>
    <x v="2"/>
    <x v="47"/>
    <x v="0"/>
    <x v="9"/>
    <x v="0"/>
    <x v="5"/>
    <x v="336"/>
    <x v="4"/>
    <x v="728"/>
    <x v="821"/>
    <x v="820"/>
    <x v="4"/>
  </r>
  <r>
    <x v="822"/>
    <x v="720"/>
    <x v="11"/>
    <x v="9"/>
    <x v="2"/>
    <x v="2"/>
    <x v="7"/>
    <x v="30"/>
    <x v="1"/>
    <x v="5"/>
    <x v="0"/>
    <x v="6"/>
    <x v="451"/>
    <x v="3"/>
    <x v="729"/>
    <x v="822"/>
    <x v="821"/>
    <x v="3"/>
  </r>
  <r>
    <x v="823"/>
    <x v="721"/>
    <x v="7"/>
    <x v="1"/>
    <x v="1"/>
    <x v="0"/>
    <x v="13"/>
    <x v="25"/>
    <x v="2"/>
    <x v="0"/>
    <x v="1"/>
    <x v="0"/>
    <x v="452"/>
    <x v="3"/>
    <x v="730"/>
    <x v="823"/>
    <x v="822"/>
    <x v="4"/>
  </r>
  <r>
    <x v="824"/>
    <x v="722"/>
    <x v="7"/>
    <x v="6"/>
    <x v="2"/>
    <x v="4"/>
    <x v="12"/>
    <x v="20"/>
    <x v="1"/>
    <x v="0"/>
    <x v="0"/>
    <x v="4"/>
    <x v="298"/>
    <x v="4"/>
    <x v="731"/>
    <x v="824"/>
    <x v="823"/>
    <x v="4"/>
  </r>
  <r>
    <x v="825"/>
    <x v="36"/>
    <x v="3"/>
    <x v="11"/>
    <x v="2"/>
    <x v="2"/>
    <x v="17"/>
    <x v="52"/>
    <x v="2"/>
    <x v="10"/>
    <x v="0"/>
    <x v="6"/>
    <x v="453"/>
    <x v="1"/>
    <x v="732"/>
    <x v="825"/>
    <x v="824"/>
    <x v="1"/>
  </r>
  <r>
    <x v="826"/>
    <x v="723"/>
    <x v="11"/>
    <x v="7"/>
    <x v="2"/>
    <x v="4"/>
    <x v="10"/>
    <x v="27"/>
    <x v="2"/>
    <x v="5"/>
    <x v="0"/>
    <x v="4"/>
    <x v="454"/>
    <x v="0"/>
    <x v="733"/>
    <x v="826"/>
    <x v="825"/>
    <x v="2"/>
  </r>
  <r>
    <x v="827"/>
    <x v="724"/>
    <x v="11"/>
    <x v="2"/>
    <x v="2"/>
    <x v="0"/>
    <x v="13"/>
    <x v="29"/>
    <x v="0"/>
    <x v="9"/>
    <x v="2"/>
    <x v="6"/>
    <x v="203"/>
    <x v="0"/>
    <x v="734"/>
    <x v="827"/>
    <x v="826"/>
    <x v="3"/>
  </r>
  <r>
    <x v="828"/>
    <x v="725"/>
    <x v="3"/>
    <x v="9"/>
    <x v="2"/>
    <x v="3"/>
    <x v="9"/>
    <x v="35"/>
    <x v="2"/>
    <x v="0"/>
    <x v="1"/>
    <x v="8"/>
    <x v="408"/>
    <x v="3"/>
    <x v="735"/>
    <x v="828"/>
    <x v="827"/>
    <x v="0"/>
  </r>
  <r>
    <x v="829"/>
    <x v="726"/>
    <x v="11"/>
    <x v="4"/>
    <x v="1"/>
    <x v="3"/>
    <x v="14"/>
    <x v="40"/>
    <x v="1"/>
    <x v="10"/>
    <x v="0"/>
    <x v="0"/>
    <x v="194"/>
    <x v="4"/>
    <x v="736"/>
    <x v="829"/>
    <x v="828"/>
    <x v="3"/>
  </r>
  <r>
    <x v="830"/>
    <x v="727"/>
    <x v="7"/>
    <x v="9"/>
    <x v="2"/>
    <x v="2"/>
    <x v="17"/>
    <x v="39"/>
    <x v="2"/>
    <x v="6"/>
    <x v="0"/>
    <x v="5"/>
    <x v="455"/>
    <x v="1"/>
    <x v="737"/>
    <x v="830"/>
    <x v="829"/>
    <x v="0"/>
  </r>
  <r>
    <x v="831"/>
    <x v="728"/>
    <x v="7"/>
    <x v="7"/>
    <x v="2"/>
    <x v="3"/>
    <x v="8"/>
    <x v="18"/>
    <x v="0"/>
    <x v="2"/>
    <x v="2"/>
    <x v="2"/>
    <x v="456"/>
    <x v="2"/>
    <x v="738"/>
    <x v="831"/>
    <x v="830"/>
    <x v="1"/>
  </r>
  <r>
    <x v="832"/>
    <x v="729"/>
    <x v="3"/>
    <x v="11"/>
    <x v="2"/>
    <x v="4"/>
    <x v="12"/>
    <x v="23"/>
    <x v="2"/>
    <x v="8"/>
    <x v="1"/>
    <x v="5"/>
    <x v="457"/>
    <x v="2"/>
    <x v="739"/>
    <x v="832"/>
    <x v="831"/>
    <x v="3"/>
  </r>
  <r>
    <x v="833"/>
    <x v="730"/>
    <x v="1"/>
    <x v="2"/>
    <x v="2"/>
    <x v="1"/>
    <x v="2"/>
    <x v="3"/>
    <x v="0"/>
    <x v="7"/>
    <x v="1"/>
    <x v="4"/>
    <x v="45"/>
    <x v="1"/>
    <x v="67"/>
    <x v="833"/>
    <x v="832"/>
    <x v="2"/>
  </r>
  <r>
    <x v="834"/>
    <x v="731"/>
    <x v="11"/>
    <x v="2"/>
    <x v="2"/>
    <x v="1"/>
    <x v="5"/>
    <x v="51"/>
    <x v="0"/>
    <x v="5"/>
    <x v="2"/>
    <x v="6"/>
    <x v="255"/>
    <x v="0"/>
    <x v="331"/>
    <x v="834"/>
    <x v="833"/>
    <x v="0"/>
  </r>
  <r>
    <x v="835"/>
    <x v="411"/>
    <x v="5"/>
    <x v="2"/>
    <x v="2"/>
    <x v="1"/>
    <x v="2"/>
    <x v="3"/>
    <x v="1"/>
    <x v="6"/>
    <x v="0"/>
    <x v="2"/>
    <x v="458"/>
    <x v="1"/>
    <x v="740"/>
    <x v="835"/>
    <x v="834"/>
    <x v="3"/>
  </r>
  <r>
    <x v="836"/>
    <x v="732"/>
    <x v="5"/>
    <x v="1"/>
    <x v="1"/>
    <x v="3"/>
    <x v="14"/>
    <x v="40"/>
    <x v="0"/>
    <x v="10"/>
    <x v="2"/>
    <x v="2"/>
    <x v="375"/>
    <x v="1"/>
    <x v="741"/>
    <x v="836"/>
    <x v="835"/>
    <x v="2"/>
  </r>
  <r>
    <x v="837"/>
    <x v="733"/>
    <x v="9"/>
    <x v="2"/>
    <x v="2"/>
    <x v="2"/>
    <x v="11"/>
    <x v="34"/>
    <x v="0"/>
    <x v="1"/>
    <x v="2"/>
    <x v="8"/>
    <x v="319"/>
    <x v="0"/>
    <x v="742"/>
    <x v="837"/>
    <x v="836"/>
    <x v="3"/>
  </r>
  <r>
    <x v="838"/>
    <x v="734"/>
    <x v="5"/>
    <x v="7"/>
    <x v="2"/>
    <x v="1"/>
    <x v="1"/>
    <x v="44"/>
    <x v="0"/>
    <x v="8"/>
    <x v="0"/>
    <x v="3"/>
    <x v="459"/>
    <x v="2"/>
    <x v="743"/>
    <x v="838"/>
    <x v="837"/>
    <x v="3"/>
  </r>
  <r>
    <x v="839"/>
    <x v="735"/>
    <x v="9"/>
    <x v="4"/>
    <x v="1"/>
    <x v="2"/>
    <x v="11"/>
    <x v="19"/>
    <x v="1"/>
    <x v="2"/>
    <x v="1"/>
    <x v="8"/>
    <x v="347"/>
    <x v="4"/>
    <x v="744"/>
    <x v="839"/>
    <x v="838"/>
    <x v="4"/>
  </r>
  <r>
    <x v="840"/>
    <x v="736"/>
    <x v="8"/>
    <x v="9"/>
    <x v="2"/>
    <x v="0"/>
    <x v="15"/>
    <x v="32"/>
    <x v="2"/>
    <x v="11"/>
    <x v="0"/>
    <x v="4"/>
    <x v="278"/>
    <x v="0"/>
    <x v="745"/>
    <x v="840"/>
    <x v="839"/>
    <x v="2"/>
  </r>
  <r>
    <x v="841"/>
    <x v="737"/>
    <x v="4"/>
    <x v="7"/>
    <x v="2"/>
    <x v="3"/>
    <x v="4"/>
    <x v="6"/>
    <x v="1"/>
    <x v="5"/>
    <x v="0"/>
    <x v="8"/>
    <x v="369"/>
    <x v="2"/>
    <x v="746"/>
    <x v="841"/>
    <x v="840"/>
    <x v="4"/>
  </r>
  <r>
    <x v="842"/>
    <x v="738"/>
    <x v="1"/>
    <x v="1"/>
    <x v="1"/>
    <x v="4"/>
    <x v="10"/>
    <x v="27"/>
    <x v="1"/>
    <x v="4"/>
    <x v="1"/>
    <x v="0"/>
    <x v="15"/>
    <x v="4"/>
    <x v="747"/>
    <x v="842"/>
    <x v="841"/>
    <x v="1"/>
  </r>
  <r>
    <x v="843"/>
    <x v="739"/>
    <x v="3"/>
    <x v="0"/>
    <x v="0"/>
    <x v="2"/>
    <x v="3"/>
    <x v="5"/>
    <x v="1"/>
    <x v="6"/>
    <x v="1"/>
    <x v="6"/>
    <x v="435"/>
    <x v="0"/>
    <x v="364"/>
    <x v="843"/>
    <x v="842"/>
    <x v="3"/>
  </r>
  <r>
    <x v="844"/>
    <x v="740"/>
    <x v="1"/>
    <x v="7"/>
    <x v="2"/>
    <x v="2"/>
    <x v="7"/>
    <x v="24"/>
    <x v="1"/>
    <x v="5"/>
    <x v="2"/>
    <x v="0"/>
    <x v="78"/>
    <x v="2"/>
    <x v="748"/>
    <x v="844"/>
    <x v="843"/>
    <x v="4"/>
  </r>
  <r>
    <x v="845"/>
    <x v="18"/>
    <x v="3"/>
    <x v="10"/>
    <x v="1"/>
    <x v="4"/>
    <x v="10"/>
    <x v="50"/>
    <x v="0"/>
    <x v="7"/>
    <x v="2"/>
    <x v="8"/>
    <x v="220"/>
    <x v="4"/>
    <x v="749"/>
    <x v="845"/>
    <x v="844"/>
    <x v="0"/>
  </r>
  <r>
    <x v="846"/>
    <x v="741"/>
    <x v="0"/>
    <x v="0"/>
    <x v="0"/>
    <x v="0"/>
    <x v="6"/>
    <x v="11"/>
    <x v="0"/>
    <x v="2"/>
    <x v="1"/>
    <x v="3"/>
    <x v="178"/>
    <x v="4"/>
    <x v="750"/>
    <x v="846"/>
    <x v="845"/>
    <x v="3"/>
  </r>
  <r>
    <x v="847"/>
    <x v="91"/>
    <x v="0"/>
    <x v="5"/>
    <x v="2"/>
    <x v="3"/>
    <x v="8"/>
    <x v="17"/>
    <x v="2"/>
    <x v="11"/>
    <x v="2"/>
    <x v="0"/>
    <x v="460"/>
    <x v="4"/>
    <x v="751"/>
    <x v="847"/>
    <x v="846"/>
    <x v="3"/>
  </r>
  <r>
    <x v="848"/>
    <x v="742"/>
    <x v="8"/>
    <x v="8"/>
    <x v="1"/>
    <x v="2"/>
    <x v="11"/>
    <x v="34"/>
    <x v="1"/>
    <x v="6"/>
    <x v="0"/>
    <x v="3"/>
    <x v="360"/>
    <x v="4"/>
    <x v="551"/>
    <x v="848"/>
    <x v="847"/>
    <x v="1"/>
  </r>
  <r>
    <x v="849"/>
    <x v="743"/>
    <x v="4"/>
    <x v="7"/>
    <x v="2"/>
    <x v="1"/>
    <x v="2"/>
    <x v="47"/>
    <x v="1"/>
    <x v="0"/>
    <x v="0"/>
    <x v="3"/>
    <x v="79"/>
    <x v="4"/>
    <x v="752"/>
    <x v="849"/>
    <x v="848"/>
    <x v="1"/>
  </r>
  <r>
    <x v="850"/>
    <x v="744"/>
    <x v="1"/>
    <x v="5"/>
    <x v="1"/>
    <x v="2"/>
    <x v="11"/>
    <x v="37"/>
    <x v="1"/>
    <x v="7"/>
    <x v="2"/>
    <x v="8"/>
    <x v="194"/>
    <x v="2"/>
    <x v="753"/>
    <x v="850"/>
    <x v="849"/>
    <x v="1"/>
  </r>
  <r>
    <x v="851"/>
    <x v="11"/>
    <x v="1"/>
    <x v="5"/>
    <x v="2"/>
    <x v="4"/>
    <x v="10"/>
    <x v="50"/>
    <x v="1"/>
    <x v="3"/>
    <x v="2"/>
    <x v="1"/>
    <x v="430"/>
    <x v="1"/>
    <x v="754"/>
    <x v="851"/>
    <x v="850"/>
    <x v="3"/>
  </r>
  <r>
    <x v="852"/>
    <x v="36"/>
    <x v="3"/>
    <x v="3"/>
    <x v="2"/>
    <x v="2"/>
    <x v="17"/>
    <x v="52"/>
    <x v="0"/>
    <x v="7"/>
    <x v="2"/>
    <x v="1"/>
    <x v="461"/>
    <x v="2"/>
    <x v="755"/>
    <x v="852"/>
    <x v="851"/>
    <x v="4"/>
  </r>
  <r>
    <x v="853"/>
    <x v="745"/>
    <x v="4"/>
    <x v="12"/>
    <x v="4"/>
    <x v="0"/>
    <x v="0"/>
    <x v="0"/>
    <x v="1"/>
    <x v="4"/>
    <x v="0"/>
    <x v="9"/>
    <x v="274"/>
    <x v="1"/>
    <x v="756"/>
    <x v="853"/>
    <x v="852"/>
    <x v="3"/>
  </r>
  <r>
    <x v="854"/>
    <x v="746"/>
    <x v="5"/>
    <x v="10"/>
    <x v="1"/>
    <x v="4"/>
    <x v="12"/>
    <x v="23"/>
    <x v="0"/>
    <x v="3"/>
    <x v="0"/>
    <x v="2"/>
    <x v="174"/>
    <x v="2"/>
    <x v="757"/>
    <x v="854"/>
    <x v="853"/>
    <x v="3"/>
  </r>
  <r>
    <x v="855"/>
    <x v="747"/>
    <x v="8"/>
    <x v="7"/>
    <x v="2"/>
    <x v="1"/>
    <x v="1"/>
    <x v="44"/>
    <x v="0"/>
    <x v="0"/>
    <x v="2"/>
    <x v="5"/>
    <x v="462"/>
    <x v="1"/>
    <x v="758"/>
    <x v="855"/>
    <x v="854"/>
    <x v="4"/>
  </r>
  <r>
    <x v="856"/>
    <x v="748"/>
    <x v="7"/>
    <x v="6"/>
    <x v="2"/>
    <x v="4"/>
    <x v="10"/>
    <x v="15"/>
    <x v="1"/>
    <x v="3"/>
    <x v="1"/>
    <x v="7"/>
    <x v="463"/>
    <x v="4"/>
    <x v="759"/>
    <x v="856"/>
    <x v="855"/>
    <x v="4"/>
  </r>
  <r>
    <x v="857"/>
    <x v="749"/>
    <x v="2"/>
    <x v="7"/>
    <x v="2"/>
    <x v="0"/>
    <x v="15"/>
    <x v="32"/>
    <x v="1"/>
    <x v="8"/>
    <x v="2"/>
    <x v="4"/>
    <x v="464"/>
    <x v="2"/>
    <x v="760"/>
    <x v="857"/>
    <x v="856"/>
    <x v="3"/>
  </r>
  <r>
    <x v="858"/>
    <x v="750"/>
    <x v="7"/>
    <x v="1"/>
    <x v="1"/>
    <x v="4"/>
    <x v="12"/>
    <x v="20"/>
    <x v="0"/>
    <x v="6"/>
    <x v="2"/>
    <x v="6"/>
    <x v="21"/>
    <x v="1"/>
    <x v="761"/>
    <x v="858"/>
    <x v="857"/>
    <x v="3"/>
  </r>
  <r>
    <x v="859"/>
    <x v="751"/>
    <x v="5"/>
    <x v="10"/>
    <x v="2"/>
    <x v="0"/>
    <x v="15"/>
    <x v="41"/>
    <x v="2"/>
    <x v="9"/>
    <x v="2"/>
    <x v="8"/>
    <x v="116"/>
    <x v="4"/>
    <x v="762"/>
    <x v="859"/>
    <x v="858"/>
    <x v="4"/>
  </r>
  <r>
    <x v="860"/>
    <x v="752"/>
    <x v="1"/>
    <x v="0"/>
    <x v="0"/>
    <x v="2"/>
    <x v="7"/>
    <x v="30"/>
    <x v="1"/>
    <x v="6"/>
    <x v="0"/>
    <x v="7"/>
    <x v="14"/>
    <x v="0"/>
    <x v="763"/>
    <x v="860"/>
    <x v="859"/>
    <x v="1"/>
  </r>
  <r>
    <x v="861"/>
    <x v="753"/>
    <x v="1"/>
    <x v="3"/>
    <x v="2"/>
    <x v="1"/>
    <x v="1"/>
    <x v="4"/>
    <x v="1"/>
    <x v="3"/>
    <x v="2"/>
    <x v="2"/>
    <x v="465"/>
    <x v="0"/>
    <x v="764"/>
    <x v="861"/>
    <x v="860"/>
    <x v="4"/>
  </r>
  <r>
    <x v="862"/>
    <x v="754"/>
    <x v="0"/>
    <x v="3"/>
    <x v="2"/>
    <x v="2"/>
    <x v="7"/>
    <x v="10"/>
    <x v="1"/>
    <x v="0"/>
    <x v="0"/>
    <x v="0"/>
    <x v="466"/>
    <x v="0"/>
    <x v="765"/>
    <x v="862"/>
    <x v="861"/>
    <x v="4"/>
  </r>
  <r>
    <x v="863"/>
    <x v="755"/>
    <x v="0"/>
    <x v="9"/>
    <x v="2"/>
    <x v="2"/>
    <x v="3"/>
    <x v="9"/>
    <x v="2"/>
    <x v="10"/>
    <x v="0"/>
    <x v="2"/>
    <x v="68"/>
    <x v="4"/>
    <x v="766"/>
    <x v="863"/>
    <x v="862"/>
    <x v="1"/>
  </r>
  <r>
    <x v="864"/>
    <x v="756"/>
    <x v="11"/>
    <x v="4"/>
    <x v="1"/>
    <x v="4"/>
    <x v="10"/>
    <x v="50"/>
    <x v="1"/>
    <x v="10"/>
    <x v="2"/>
    <x v="5"/>
    <x v="24"/>
    <x v="4"/>
    <x v="767"/>
    <x v="864"/>
    <x v="863"/>
    <x v="1"/>
  </r>
  <r>
    <x v="865"/>
    <x v="757"/>
    <x v="1"/>
    <x v="11"/>
    <x v="2"/>
    <x v="4"/>
    <x v="10"/>
    <x v="50"/>
    <x v="2"/>
    <x v="2"/>
    <x v="2"/>
    <x v="0"/>
    <x v="467"/>
    <x v="1"/>
    <x v="768"/>
    <x v="865"/>
    <x v="864"/>
    <x v="4"/>
  </r>
  <r>
    <x v="866"/>
    <x v="758"/>
    <x v="1"/>
    <x v="12"/>
    <x v="4"/>
    <x v="1"/>
    <x v="2"/>
    <x v="3"/>
    <x v="0"/>
    <x v="2"/>
    <x v="2"/>
    <x v="0"/>
    <x v="468"/>
    <x v="1"/>
    <x v="769"/>
    <x v="866"/>
    <x v="865"/>
    <x v="0"/>
  </r>
  <r>
    <x v="867"/>
    <x v="759"/>
    <x v="1"/>
    <x v="5"/>
    <x v="1"/>
    <x v="3"/>
    <x v="14"/>
    <x v="40"/>
    <x v="1"/>
    <x v="6"/>
    <x v="0"/>
    <x v="3"/>
    <x v="109"/>
    <x v="2"/>
    <x v="770"/>
    <x v="867"/>
    <x v="866"/>
    <x v="2"/>
  </r>
  <r>
    <x v="868"/>
    <x v="11"/>
    <x v="1"/>
    <x v="5"/>
    <x v="1"/>
    <x v="1"/>
    <x v="5"/>
    <x v="45"/>
    <x v="1"/>
    <x v="4"/>
    <x v="0"/>
    <x v="9"/>
    <x v="469"/>
    <x v="3"/>
    <x v="447"/>
    <x v="868"/>
    <x v="867"/>
    <x v="0"/>
  </r>
  <r>
    <x v="869"/>
    <x v="760"/>
    <x v="4"/>
    <x v="8"/>
    <x v="1"/>
    <x v="1"/>
    <x v="16"/>
    <x v="49"/>
    <x v="2"/>
    <x v="10"/>
    <x v="1"/>
    <x v="1"/>
    <x v="87"/>
    <x v="2"/>
    <x v="771"/>
    <x v="869"/>
    <x v="868"/>
    <x v="4"/>
  </r>
  <r>
    <x v="870"/>
    <x v="761"/>
    <x v="6"/>
    <x v="7"/>
    <x v="2"/>
    <x v="1"/>
    <x v="5"/>
    <x v="45"/>
    <x v="0"/>
    <x v="9"/>
    <x v="2"/>
    <x v="5"/>
    <x v="470"/>
    <x v="0"/>
    <x v="772"/>
    <x v="870"/>
    <x v="869"/>
    <x v="3"/>
  </r>
  <r>
    <x v="871"/>
    <x v="671"/>
    <x v="3"/>
    <x v="8"/>
    <x v="1"/>
    <x v="2"/>
    <x v="3"/>
    <x v="5"/>
    <x v="2"/>
    <x v="9"/>
    <x v="1"/>
    <x v="2"/>
    <x v="74"/>
    <x v="1"/>
    <x v="301"/>
    <x v="871"/>
    <x v="870"/>
    <x v="1"/>
  </r>
  <r>
    <x v="872"/>
    <x v="762"/>
    <x v="3"/>
    <x v="10"/>
    <x v="1"/>
    <x v="1"/>
    <x v="1"/>
    <x v="4"/>
    <x v="1"/>
    <x v="3"/>
    <x v="1"/>
    <x v="1"/>
    <x v="471"/>
    <x v="2"/>
    <x v="773"/>
    <x v="872"/>
    <x v="871"/>
    <x v="2"/>
  </r>
  <r>
    <x v="873"/>
    <x v="763"/>
    <x v="0"/>
    <x v="4"/>
    <x v="1"/>
    <x v="3"/>
    <x v="14"/>
    <x v="40"/>
    <x v="2"/>
    <x v="3"/>
    <x v="0"/>
    <x v="1"/>
    <x v="469"/>
    <x v="1"/>
    <x v="774"/>
    <x v="873"/>
    <x v="872"/>
    <x v="4"/>
  </r>
  <r>
    <x v="874"/>
    <x v="764"/>
    <x v="6"/>
    <x v="6"/>
    <x v="2"/>
    <x v="1"/>
    <x v="2"/>
    <x v="47"/>
    <x v="0"/>
    <x v="9"/>
    <x v="1"/>
    <x v="4"/>
    <x v="472"/>
    <x v="1"/>
    <x v="775"/>
    <x v="874"/>
    <x v="873"/>
    <x v="1"/>
  </r>
  <r>
    <x v="875"/>
    <x v="765"/>
    <x v="10"/>
    <x v="2"/>
    <x v="2"/>
    <x v="2"/>
    <x v="3"/>
    <x v="9"/>
    <x v="0"/>
    <x v="3"/>
    <x v="2"/>
    <x v="4"/>
    <x v="473"/>
    <x v="0"/>
    <x v="776"/>
    <x v="875"/>
    <x v="874"/>
    <x v="4"/>
  </r>
  <r>
    <x v="876"/>
    <x v="766"/>
    <x v="2"/>
    <x v="0"/>
    <x v="0"/>
    <x v="1"/>
    <x v="5"/>
    <x v="7"/>
    <x v="2"/>
    <x v="4"/>
    <x v="0"/>
    <x v="0"/>
    <x v="474"/>
    <x v="0"/>
    <x v="777"/>
    <x v="876"/>
    <x v="875"/>
    <x v="4"/>
  </r>
  <r>
    <x v="877"/>
    <x v="120"/>
    <x v="1"/>
    <x v="5"/>
    <x v="1"/>
    <x v="3"/>
    <x v="9"/>
    <x v="14"/>
    <x v="1"/>
    <x v="10"/>
    <x v="2"/>
    <x v="0"/>
    <x v="55"/>
    <x v="1"/>
    <x v="778"/>
    <x v="877"/>
    <x v="876"/>
    <x v="2"/>
  </r>
  <r>
    <x v="878"/>
    <x v="245"/>
    <x v="8"/>
    <x v="7"/>
    <x v="2"/>
    <x v="4"/>
    <x v="10"/>
    <x v="27"/>
    <x v="2"/>
    <x v="0"/>
    <x v="1"/>
    <x v="4"/>
    <x v="445"/>
    <x v="4"/>
    <x v="779"/>
    <x v="878"/>
    <x v="877"/>
    <x v="2"/>
  </r>
  <r>
    <x v="879"/>
    <x v="767"/>
    <x v="4"/>
    <x v="4"/>
    <x v="1"/>
    <x v="1"/>
    <x v="5"/>
    <x v="45"/>
    <x v="0"/>
    <x v="5"/>
    <x v="1"/>
    <x v="7"/>
    <x v="186"/>
    <x v="2"/>
    <x v="780"/>
    <x v="879"/>
    <x v="878"/>
    <x v="4"/>
  </r>
  <r>
    <x v="880"/>
    <x v="245"/>
    <x v="8"/>
    <x v="4"/>
    <x v="1"/>
    <x v="2"/>
    <x v="3"/>
    <x v="28"/>
    <x v="2"/>
    <x v="3"/>
    <x v="1"/>
    <x v="1"/>
    <x v="122"/>
    <x v="1"/>
    <x v="515"/>
    <x v="880"/>
    <x v="879"/>
    <x v="3"/>
  </r>
  <r>
    <x v="881"/>
    <x v="654"/>
    <x v="7"/>
    <x v="6"/>
    <x v="0"/>
    <x v="3"/>
    <x v="8"/>
    <x v="12"/>
    <x v="2"/>
    <x v="9"/>
    <x v="2"/>
    <x v="6"/>
    <x v="241"/>
    <x v="4"/>
    <x v="781"/>
    <x v="881"/>
    <x v="880"/>
    <x v="3"/>
  </r>
  <r>
    <x v="882"/>
    <x v="676"/>
    <x v="5"/>
    <x v="10"/>
    <x v="1"/>
    <x v="3"/>
    <x v="4"/>
    <x v="16"/>
    <x v="1"/>
    <x v="4"/>
    <x v="0"/>
    <x v="4"/>
    <x v="8"/>
    <x v="2"/>
    <x v="782"/>
    <x v="882"/>
    <x v="881"/>
    <x v="2"/>
  </r>
  <r>
    <x v="883"/>
    <x v="768"/>
    <x v="3"/>
    <x v="10"/>
    <x v="2"/>
    <x v="2"/>
    <x v="17"/>
    <x v="52"/>
    <x v="2"/>
    <x v="0"/>
    <x v="1"/>
    <x v="3"/>
    <x v="369"/>
    <x v="1"/>
    <x v="783"/>
    <x v="883"/>
    <x v="882"/>
    <x v="1"/>
  </r>
  <r>
    <x v="884"/>
    <x v="498"/>
    <x v="1"/>
    <x v="5"/>
    <x v="2"/>
    <x v="0"/>
    <x v="13"/>
    <x v="29"/>
    <x v="2"/>
    <x v="3"/>
    <x v="2"/>
    <x v="2"/>
    <x v="365"/>
    <x v="4"/>
    <x v="784"/>
    <x v="884"/>
    <x v="883"/>
    <x v="3"/>
  </r>
  <r>
    <x v="885"/>
    <x v="769"/>
    <x v="9"/>
    <x v="7"/>
    <x v="2"/>
    <x v="4"/>
    <x v="12"/>
    <x v="21"/>
    <x v="0"/>
    <x v="3"/>
    <x v="2"/>
    <x v="9"/>
    <x v="475"/>
    <x v="1"/>
    <x v="164"/>
    <x v="885"/>
    <x v="884"/>
    <x v="1"/>
  </r>
  <r>
    <x v="886"/>
    <x v="770"/>
    <x v="1"/>
    <x v="0"/>
    <x v="0"/>
    <x v="0"/>
    <x v="15"/>
    <x v="41"/>
    <x v="2"/>
    <x v="0"/>
    <x v="2"/>
    <x v="5"/>
    <x v="241"/>
    <x v="3"/>
    <x v="785"/>
    <x v="886"/>
    <x v="885"/>
    <x v="2"/>
  </r>
  <r>
    <x v="887"/>
    <x v="771"/>
    <x v="0"/>
    <x v="12"/>
    <x v="4"/>
    <x v="2"/>
    <x v="17"/>
    <x v="52"/>
    <x v="0"/>
    <x v="11"/>
    <x v="1"/>
    <x v="4"/>
    <x v="378"/>
    <x v="1"/>
    <x v="786"/>
    <x v="887"/>
    <x v="886"/>
    <x v="2"/>
  </r>
  <r>
    <x v="888"/>
    <x v="772"/>
    <x v="4"/>
    <x v="7"/>
    <x v="2"/>
    <x v="0"/>
    <x v="0"/>
    <x v="2"/>
    <x v="0"/>
    <x v="0"/>
    <x v="2"/>
    <x v="9"/>
    <x v="476"/>
    <x v="2"/>
    <x v="787"/>
    <x v="888"/>
    <x v="887"/>
    <x v="0"/>
  </r>
  <r>
    <x v="889"/>
    <x v="773"/>
    <x v="9"/>
    <x v="1"/>
    <x v="1"/>
    <x v="1"/>
    <x v="16"/>
    <x v="49"/>
    <x v="0"/>
    <x v="9"/>
    <x v="2"/>
    <x v="6"/>
    <x v="477"/>
    <x v="3"/>
    <x v="324"/>
    <x v="889"/>
    <x v="888"/>
    <x v="0"/>
  </r>
  <r>
    <x v="890"/>
    <x v="774"/>
    <x v="6"/>
    <x v="4"/>
    <x v="1"/>
    <x v="4"/>
    <x v="10"/>
    <x v="27"/>
    <x v="1"/>
    <x v="5"/>
    <x v="0"/>
    <x v="8"/>
    <x v="94"/>
    <x v="2"/>
    <x v="143"/>
    <x v="890"/>
    <x v="889"/>
    <x v="1"/>
  </r>
  <r>
    <x v="891"/>
    <x v="775"/>
    <x v="2"/>
    <x v="7"/>
    <x v="2"/>
    <x v="1"/>
    <x v="1"/>
    <x v="1"/>
    <x v="2"/>
    <x v="3"/>
    <x v="0"/>
    <x v="1"/>
    <x v="120"/>
    <x v="4"/>
    <x v="788"/>
    <x v="891"/>
    <x v="890"/>
    <x v="2"/>
  </r>
  <r>
    <x v="892"/>
    <x v="776"/>
    <x v="7"/>
    <x v="9"/>
    <x v="2"/>
    <x v="2"/>
    <x v="11"/>
    <x v="19"/>
    <x v="2"/>
    <x v="7"/>
    <x v="0"/>
    <x v="5"/>
    <x v="328"/>
    <x v="0"/>
    <x v="789"/>
    <x v="892"/>
    <x v="891"/>
    <x v="0"/>
  </r>
  <r>
    <x v="893"/>
    <x v="777"/>
    <x v="4"/>
    <x v="2"/>
    <x v="2"/>
    <x v="4"/>
    <x v="10"/>
    <x v="50"/>
    <x v="0"/>
    <x v="3"/>
    <x v="0"/>
    <x v="3"/>
    <x v="451"/>
    <x v="3"/>
    <x v="790"/>
    <x v="893"/>
    <x v="892"/>
    <x v="4"/>
  </r>
  <r>
    <x v="894"/>
    <x v="778"/>
    <x v="6"/>
    <x v="6"/>
    <x v="1"/>
    <x v="3"/>
    <x v="9"/>
    <x v="14"/>
    <x v="2"/>
    <x v="4"/>
    <x v="2"/>
    <x v="8"/>
    <x v="273"/>
    <x v="4"/>
    <x v="791"/>
    <x v="894"/>
    <x v="893"/>
    <x v="0"/>
  </r>
  <r>
    <x v="895"/>
    <x v="779"/>
    <x v="1"/>
    <x v="5"/>
    <x v="1"/>
    <x v="0"/>
    <x v="0"/>
    <x v="2"/>
    <x v="2"/>
    <x v="3"/>
    <x v="2"/>
    <x v="6"/>
    <x v="15"/>
    <x v="2"/>
    <x v="792"/>
    <x v="895"/>
    <x v="894"/>
    <x v="1"/>
  </r>
  <r>
    <x v="896"/>
    <x v="780"/>
    <x v="5"/>
    <x v="8"/>
    <x v="1"/>
    <x v="4"/>
    <x v="12"/>
    <x v="20"/>
    <x v="2"/>
    <x v="2"/>
    <x v="2"/>
    <x v="3"/>
    <x v="15"/>
    <x v="4"/>
    <x v="178"/>
    <x v="896"/>
    <x v="895"/>
    <x v="1"/>
  </r>
  <r>
    <x v="897"/>
    <x v="781"/>
    <x v="5"/>
    <x v="9"/>
    <x v="2"/>
    <x v="3"/>
    <x v="8"/>
    <x v="18"/>
    <x v="0"/>
    <x v="8"/>
    <x v="0"/>
    <x v="3"/>
    <x v="331"/>
    <x v="0"/>
    <x v="793"/>
    <x v="897"/>
    <x v="896"/>
    <x v="0"/>
  </r>
  <r>
    <x v="898"/>
    <x v="782"/>
    <x v="5"/>
    <x v="5"/>
    <x v="2"/>
    <x v="0"/>
    <x v="13"/>
    <x v="29"/>
    <x v="0"/>
    <x v="0"/>
    <x v="1"/>
    <x v="2"/>
    <x v="126"/>
    <x v="0"/>
    <x v="794"/>
    <x v="898"/>
    <x v="897"/>
    <x v="3"/>
  </r>
  <r>
    <x v="899"/>
    <x v="783"/>
    <x v="1"/>
    <x v="7"/>
    <x v="2"/>
    <x v="3"/>
    <x v="8"/>
    <x v="17"/>
    <x v="0"/>
    <x v="7"/>
    <x v="1"/>
    <x v="6"/>
    <x v="61"/>
    <x v="1"/>
    <x v="795"/>
    <x v="899"/>
    <x v="898"/>
    <x v="4"/>
  </r>
  <r>
    <x v="900"/>
    <x v="784"/>
    <x v="9"/>
    <x v="8"/>
    <x v="1"/>
    <x v="1"/>
    <x v="1"/>
    <x v="1"/>
    <x v="1"/>
    <x v="7"/>
    <x v="2"/>
    <x v="4"/>
    <x v="24"/>
    <x v="1"/>
    <x v="796"/>
    <x v="900"/>
    <x v="899"/>
    <x v="4"/>
  </r>
  <r>
    <x v="901"/>
    <x v="785"/>
    <x v="7"/>
    <x v="8"/>
    <x v="1"/>
    <x v="3"/>
    <x v="4"/>
    <x v="16"/>
    <x v="2"/>
    <x v="6"/>
    <x v="2"/>
    <x v="9"/>
    <x v="21"/>
    <x v="3"/>
    <x v="797"/>
    <x v="901"/>
    <x v="900"/>
    <x v="3"/>
  </r>
  <r>
    <x v="902"/>
    <x v="786"/>
    <x v="1"/>
    <x v="4"/>
    <x v="1"/>
    <x v="0"/>
    <x v="0"/>
    <x v="43"/>
    <x v="2"/>
    <x v="4"/>
    <x v="0"/>
    <x v="5"/>
    <x v="220"/>
    <x v="0"/>
    <x v="273"/>
    <x v="902"/>
    <x v="901"/>
    <x v="4"/>
  </r>
  <r>
    <x v="903"/>
    <x v="787"/>
    <x v="5"/>
    <x v="9"/>
    <x v="2"/>
    <x v="2"/>
    <x v="7"/>
    <x v="24"/>
    <x v="1"/>
    <x v="2"/>
    <x v="1"/>
    <x v="7"/>
    <x v="105"/>
    <x v="1"/>
    <x v="798"/>
    <x v="903"/>
    <x v="902"/>
    <x v="1"/>
  </r>
  <r>
    <x v="904"/>
    <x v="788"/>
    <x v="1"/>
    <x v="7"/>
    <x v="2"/>
    <x v="2"/>
    <x v="11"/>
    <x v="19"/>
    <x v="1"/>
    <x v="6"/>
    <x v="2"/>
    <x v="3"/>
    <x v="478"/>
    <x v="0"/>
    <x v="799"/>
    <x v="904"/>
    <x v="903"/>
    <x v="0"/>
  </r>
  <r>
    <x v="905"/>
    <x v="789"/>
    <x v="11"/>
    <x v="1"/>
    <x v="1"/>
    <x v="2"/>
    <x v="3"/>
    <x v="5"/>
    <x v="2"/>
    <x v="2"/>
    <x v="0"/>
    <x v="9"/>
    <x v="171"/>
    <x v="0"/>
    <x v="800"/>
    <x v="905"/>
    <x v="904"/>
    <x v="4"/>
  </r>
  <r>
    <x v="906"/>
    <x v="790"/>
    <x v="7"/>
    <x v="6"/>
    <x v="1"/>
    <x v="2"/>
    <x v="3"/>
    <x v="9"/>
    <x v="2"/>
    <x v="8"/>
    <x v="0"/>
    <x v="7"/>
    <x v="235"/>
    <x v="4"/>
    <x v="223"/>
    <x v="906"/>
    <x v="905"/>
    <x v="0"/>
  </r>
  <r>
    <x v="907"/>
    <x v="120"/>
    <x v="1"/>
    <x v="5"/>
    <x v="2"/>
    <x v="1"/>
    <x v="5"/>
    <x v="51"/>
    <x v="2"/>
    <x v="11"/>
    <x v="2"/>
    <x v="7"/>
    <x v="435"/>
    <x v="0"/>
    <x v="801"/>
    <x v="907"/>
    <x v="906"/>
    <x v="0"/>
  </r>
  <r>
    <x v="908"/>
    <x v="532"/>
    <x v="1"/>
    <x v="5"/>
    <x v="2"/>
    <x v="4"/>
    <x v="12"/>
    <x v="23"/>
    <x v="2"/>
    <x v="8"/>
    <x v="2"/>
    <x v="2"/>
    <x v="479"/>
    <x v="1"/>
    <x v="802"/>
    <x v="908"/>
    <x v="907"/>
    <x v="0"/>
  </r>
  <r>
    <x v="909"/>
    <x v="791"/>
    <x v="10"/>
    <x v="0"/>
    <x v="0"/>
    <x v="1"/>
    <x v="16"/>
    <x v="49"/>
    <x v="0"/>
    <x v="11"/>
    <x v="1"/>
    <x v="2"/>
    <x v="336"/>
    <x v="4"/>
    <x v="253"/>
    <x v="909"/>
    <x v="908"/>
    <x v="0"/>
  </r>
  <r>
    <x v="910"/>
    <x v="792"/>
    <x v="4"/>
    <x v="4"/>
    <x v="1"/>
    <x v="4"/>
    <x v="10"/>
    <x v="50"/>
    <x v="0"/>
    <x v="6"/>
    <x v="0"/>
    <x v="4"/>
    <x v="12"/>
    <x v="0"/>
    <x v="21"/>
    <x v="910"/>
    <x v="909"/>
    <x v="2"/>
  </r>
  <r>
    <x v="911"/>
    <x v="793"/>
    <x v="3"/>
    <x v="10"/>
    <x v="2"/>
    <x v="1"/>
    <x v="2"/>
    <x v="13"/>
    <x v="1"/>
    <x v="7"/>
    <x v="1"/>
    <x v="1"/>
    <x v="288"/>
    <x v="0"/>
    <x v="803"/>
    <x v="911"/>
    <x v="910"/>
    <x v="1"/>
  </r>
  <r>
    <x v="912"/>
    <x v="794"/>
    <x v="11"/>
    <x v="4"/>
    <x v="1"/>
    <x v="0"/>
    <x v="0"/>
    <x v="2"/>
    <x v="1"/>
    <x v="10"/>
    <x v="2"/>
    <x v="1"/>
    <x v="186"/>
    <x v="4"/>
    <x v="804"/>
    <x v="912"/>
    <x v="911"/>
    <x v="0"/>
  </r>
  <r>
    <x v="913"/>
    <x v="795"/>
    <x v="0"/>
    <x v="2"/>
    <x v="2"/>
    <x v="3"/>
    <x v="8"/>
    <x v="17"/>
    <x v="1"/>
    <x v="7"/>
    <x v="0"/>
    <x v="7"/>
    <x v="4"/>
    <x v="4"/>
    <x v="805"/>
    <x v="913"/>
    <x v="912"/>
    <x v="2"/>
  </r>
  <r>
    <x v="914"/>
    <x v="796"/>
    <x v="3"/>
    <x v="7"/>
    <x v="2"/>
    <x v="4"/>
    <x v="10"/>
    <x v="27"/>
    <x v="0"/>
    <x v="1"/>
    <x v="1"/>
    <x v="0"/>
    <x v="300"/>
    <x v="1"/>
    <x v="806"/>
    <x v="914"/>
    <x v="913"/>
    <x v="3"/>
  </r>
  <r>
    <x v="915"/>
    <x v="797"/>
    <x v="7"/>
    <x v="6"/>
    <x v="2"/>
    <x v="0"/>
    <x v="6"/>
    <x v="8"/>
    <x v="2"/>
    <x v="9"/>
    <x v="0"/>
    <x v="6"/>
    <x v="480"/>
    <x v="2"/>
    <x v="807"/>
    <x v="915"/>
    <x v="914"/>
    <x v="3"/>
  </r>
  <r>
    <x v="916"/>
    <x v="798"/>
    <x v="8"/>
    <x v="11"/>
    <x v="2"/>
    <x v="1"/>
    <x v="16"/>
    <x v="33"/>
    <x v="1"/>
    <x v="2"/>
    <x v="2"/>
    <x v="4"/>
    <x v="481"/>
    <x v="1"/>
    <x v="808"/>
    <x v="916"/>
    <x v="915"/>
    <x v="0"/>
  </r>
  <r>
    <x v="917"/>
    <x v="799"/>
    <x v="2"/>
    <x v="11"/>
    <x v="2"/>
    <x v="2"/>
    <x v="11"/>
    <x v="34"/>
    <x v="1"/>
    <x v="9"/>
    <x v="2"/>
    <x v="9"/>
    <x v="482"/>
    <x v="2"/>
    <x v="809"/>
    <x v="917"/>
    <x v="916"/>
    <x v="0"/>
  </r>
  <r>
    <x v="918"/>
    <x v="800"/>
    <x v="4"/>
    <x v="11"/>
    <x v="2"/>
    <x v="1"/>
    <x v="1"/>
    <x v="44"/>
    <x v="0"/>
    <x v="5"/>
    <x v="0"/>
    <x v="7"/>
    <x v="483"/>
    <x v="2"/>
    <x v="810"/>
    <x v="918"/>
    <x v="917"/>
    <x v="3"/>
  </r>
  <r>
    <x v="919"/>
    <x v="801"/>
    <x v="4"/>
    <x v="2"/>
    <x v="2"/>
    <x v="1"/>
    <x v="5"/>
    <x v="45"/>
    <x v="0"/>
    <x v="6"/>
    <x v="2"/>
    <x v="5"/>
    <x v="473"/>
    <x v="1"/>
    <x v="811"/>
    <x v="919"/>
    <x v="918"/>
    <x v="0"/>
  </r>
  <r>
    <x v="920"/>
    <x v="802"/>
    <x v="8"/>
    <x v="7"/>
    <x v="2"/>
    <x v="0"/>
    <x v="0"/>
    <x v="43"/>
    <x v="1"/>
    <x v="5"/>
    <x v="2"/>
    <x v="8"/>
    <x v="263"/>
    <x v="0"/>
    <x v="812"/>
    <x v="920"/>
    <x v="919"/>
    <x v="2"/>
  </r>
  <r>
    <x v="921"/>
    <x v="210"/>
    <x v="0"/>
    <x v="0"/>
    <x v="0"/>
    <x v="3"/>
    <x v="9"/>
    <x v="14"/>
    <x v="0"/>
    <x v="0"/>
    <x v="2"/>
    <x v="1"/>
    <x v="484"/>
    <x v="0"/>
    <x v="813"/>
    <x v="921"/>
    <x v="920"/>
    <x v="4"/>
  </r>
  <r>
    <x v="922"/>
    <x v="803"/>
    <x v="8"/>
    <x v="1"/>
    <x v="1"/>
    <x v="2"/>
    <x v="3"/>
    <x v="28"/>
    <x v="2"/>
    <x v="10"/>
    <x v="2"/>
    <x v="3"/>
    <x v="174"/>
    <x v="2"/>
    <x v="814"/>
    <x v="922"/>
    <x v="921"/>
    <x v="0"/>
  </r>
  <r>
    <x v="923"/>
    <x v="804"/>
    <x v="4"/>
    <x v="12"/>
    <x v="4"/>
    <x v="1"/>
    <x v="5"/>
    <x v="51"/>
    <x v="2"/>
    <x v="8"/>
    <x v="2"/>
    <x v="6"/>
    <x v="485"/>
    <x v="0"/>
    <x v="815"/>
    <x v="923"/>
    <x v="922"/>
    <x v="0"/>
  </r>
  <r>
    <x v="924"/>
    <x v="805"/>
    <x v="11"/>
    <x v="12"/>
    <x v="4"/>
    <x v="0"/>
    <x v="13"/>
    <x v="29"/>
    <x v="2"/>
    <x v="10"/>
    <x v="2"/>
    <x v="4"/>
    <x v="486"/>
    <x v="0"/>
    <x v="816"/>
    <x v="924"/>
    <x v="923"/>
    <x v="1"/>
  </r>
  <r>
    <x v="925"/>
    <x v="806"/>
    <x v="2"/>
    <x v="7"/>
    <x v="2"/>
    <x v="2"/>
    <x v="3"/>
    <x v="9"/>
    <x v="0"/>
    <x v="8"/>
    <x v="2"/>
    <x v="6"/>
    <x v="487"/>
    <x v="0"/>
    <x v="817"/>
    <x v="925"/>
    <x v="924"/>
    <x v="2"/>
  </r>
  <r>
    <x v="926"/>
    <x v="807"/>
    <x v="6"/>
    <x v="6"/>
    <x v="0"/>
    <x v="2"/>
    <x v="7"/>
    <x v="30"/>
    <x v="2"/>
    <x v="6"/>
    <x v="1"/>
    <x v="0"/>
    <x v="488"/>
    <x v="3"/>
    <x v="818"/>
    <x v="926"/>
    <x v="925"/>
    <x v="4"/>
  </r>
  <r>
    <x v="927"/>
    <x v="808"/>
    <x v="2"/>
    <x v="2"/>
    <x v="2"/>
    <x v="3"/>
    <x v="4"/>
    <x v="16"/>
    <x v="2"/>
    <x v="6"/>
    <x v="2"/>
    <x v="7"/>
    <x v="249"/>
    <x v="0"/>
    <x v="819"/>
    <x v="927"/>
    <x v="926"/>
    <x v="3"/>
  </r>
  <r>
    <x v="928"/>
    <x v="809"/>
    <x v="9"/>
    <x v="4"/>
    <x v="1"/>
    <x v="4"/>
    <x v="12"/>
    <x v="20"/>
    <x v="1"/>
    <x v="9"/>
    <x v="2"/>
    <x v="7"/>
    <x v="347"/>
    <x v="4"/>
    <x v="820"/>
    <x v="928"/>
    <x v="927"/>
    <x v="3"/>
  </r>
  <r>
    <x v="929"/>
    <x v="810"/>
    <x v="7"/>
    <x v="12"/>
    <x v="4"/>
    <x v="3"/>
    <x v="14"/>
    <x v="40"/>
    <x v="1"/>
    <x v="6"/>
    <x v="1"/>
    <x v="2"/>
    <x v="393"/>
    <x v="4"/>
    <x v="821"/>
    <x v="929"/>
    <x v="928"/>
    <x v="4"/>
  </r>
  <r>
    <x v="930"/>
    <x v="811"/>
    <x v="8"/>
    <x v="2"/>
    <x v="2"/>
    <x v="1"/>
    <x v="5"/>
    <x v="45"/>
    <x v="2"/>
    <x v="3"/>
    <x v="1"/>
    <x v="4"/>
    <x v="153"/>
    <x v="1"/>
    <x v="822"/>
    <x v="930"/>
    <x v="929"/>
    <x v="0"/>
  </r>
  <r>
    <x v="931"/>
    <x v="812"/>
    <x v="0"/>
    <x v="7"/>
    <x v="2"/>
    <x v="1"/>
    <x v="16"/>
    <x v="48"/>
    <x v="1"/>
    <x v="11"/>
    <x v="0"/>
    <x v="7"/>
    <x v="121"/>
    <x v="1"/>
    <x v="823"/>
    <x v="931"/>
    <x v="930"/>
    <x v="3"/>
  </r>
  <r>
    <x v="932"/>
    <x v="813"/>
    <x v="4"/>
    <x v="7"/>
    <x v="2"/>
    <x v="2"/>
    <x v="7"/>
    <x v="30"/>
    <x v="1"/>
    <x v="0"/>
    <x v="0"/>
    <x v="9"/>
    <x v="489"/>
    <x v="4"/>
    <x v="824"/>
    <x v="932"/>
    <x v="931"/>
    <x v="0"/>
  </r>
  <r>
    <x v="933"/>
    <x v="814"/>
    <x v="11"/>
    <x v="2"/>
    <x v="2"/>
    <x v="2"/>
    <x v="17"/>
    <x v="42"/>
    <x v="0"/>
    <x v="5"/>
    <x v="0"/>
    <x v="0"/>
    <x v="223"/>
    <x v="1"/>
    <x v="443"/>
    <x v="933"/>
    <x v="932"/>
    <x v="3"/>
  </r>
  <r>
    <x v="934"/>
    <x v="189"/>
    <x v="3"/>
    <x v="10"/>
    <x v="1"/>
    <x v="3"/>
    <x v="9"/>
    <x v="35"/>
    <x v="2"/>
    <x v="11"/>
    <x v="0"/>
    <x v="7"/>
    <x v="27"/>
    <x v="0"/>
    <x v="825"/>
    <x v="934"/>
    <x v="933"/>
    <x v="0"/>
  </r>
  <r>
    <x v="935"/>
    <x v="815"/>
    <x v="11"/>
    <x v="2"/>
    <x v="2"/>
    <x v="1"/>
    <x v="2"/>
    <x v="47"/>
    <x v="2"/>
    <x v="6"/>
    <x v="1"/>
    <x v="1"/>
    <x v="490"/>
    <x v="1"/>
    <x v="826"/>
    <x v="935"/>
    <x v="934"/>
    <x v="3"/>
  </r>
  <r>
    <x v="936"/>
    <x v="334"/>
    <x v="0"/>
    <x v="5"/>
    <x v="1"/>
    <x v="1"/>
    <x v="16"/>
    <x v="48"/>
    <x v="2"/>
    <x v="1"/>
    <x v="2"/>
    <x v="2"/>
    <x v="194"/>
    <x v="1"/>
    <x v="827"/>
    <x v="936"/>
    <x v="935"/>
    <x v="3"/>
  </r>
  <r>
    <x v="937"/>
    <x v="816"/>
    <x v="1"/>
    <x v="8"/>
    <x v="1"/>
    <x v="0"/>
    <x v="6"/>
    <x v="11"/>
    <x v="2"/>
    <x v="10"/>
    <x v="2"/>
    <x v="1"/>
    <x v="24"/>
    <x v="0"/>
    <x v="828"/>
    <x v="937"/>
    <x v="936"/>
    <x v="1"/>
  </r>
  <r>
    <x v="938"/>
    <x v="817"/>
    <x v="4"/>
    <x v="9"/>
    <x v="2"/>
    <x v="0"/>
    <x v="15"/>
    <x v="41"/>
    <x v="0"/>
    <x v="11"/>
    <x v="2"/>
    <x v="0"/>
    <x v="491"/>
    <x v="4"/>
    <x v="829"/>
    <x v="938"/>
    <x v="937"/>
    <x v="4"/>
  </r>
  <r>
    <x v="939"/>
    <x v="403"/>
    <x v="3"/>
    <x v="8"/>
    <x v="1"/>
    <x v="2"/>
    <x v="7"/>
    <x v="30"/>
    <x v="2"/>
    <x v="0"/>
    <x v="2"/>
    <x v="3"/>
    <x v="89"/>
    <x v="0"/>
    <x v="830"/>
    <x v="939"/>
    <x v="938"/>
    <x v="1"/>
  </r>
  <r>
    <x v="940"/>
    <x v="818"/>
    <x v="2"/>
    <x v="9"/>
    <x v="2"/>
    <x v="0"/>
    <x v="13"/>
    <x v="29"/>
    <x v="0"/>
    <x v="2"/>
    <x v="1"/>
    <x v="2"/>
    <x v="112"/>
    <x v="0"/>
    <x v="831"/>
    <x v="940"/>
    <x v="939"/>
    <x v="1"/>
  </r>
  <r>
    <x v="941"/>
    <x v="819"/>
    <x v="3"/>
    <x v="10"/>
    <x v="2"/>
    <x v="1"/>
    <x v="1"/>
    <x v="1"/>
    <x v="2"/>
    <x v="7"/>
    <x v="1"/>
    <x v="5"/>
    <x v="129"/>
    <x v="4"/>
    <x v="832"/>
    <x v="941"/>
    <x v="940"/>
    <x v="1"/>
  </r>
  <r>
    <x v="942"/>
    <x v="654"/>
    <x v="7"/>
    <x v="6"/>
    <x v="4"/>
    <x v="2"/>
    <x v="3"/>
    <x v="5"/>
    <x v="1"/>
    <x v="0"/>
    <x v="2"/>
    <x v="7"/>
    <x v="370"/>
    <x v="1"/>
    <x v="833"/>
    <x v="942"/>
    <x v="941"/>
    <x v="3"/>
  </r>
  <r>
    <x v="943"/>
    <x v="820"/>
    <x v="2"/>
    <x v="2"/>
    <x v="2"/>
    <x v="0"/>
    <x v="0"/>
    <x v="0"/>
    <x v="1"/>
    <x v="6"/>
    <x v="0"/>
    <x v="9"/>
    <x v="99"/>
    <x v="1"/>
    <x v="834"/>
    <x v="943"/>
    <x v="942"/>
    <x v="0"/>
  </r>
  <r>
    <x v="944"/>
    <x v="821"/>
    <x v="11"/>
    <x v="0"/>
    <x v="0"/>
    <x v="3"/>
    <x v="8"/>
    <x v="17"/>
    <x v="1"/>
    <x v="7"/>
    <x v="1"/>
    <x v="9"/>
    <x v="103"/>
    <x v="4"/>
    <x v="835"/>
    <x v="944"/>
    <x v="943"/>
    <x v="0"/>
  </r>
  <r>
    <x v="945"/>
    <x v="40"/>
    <x v="5"/>
    <x v="10"/>
    <x v="1"/>
    <x v="3"/>
    <x v="8"/>
    <x v="17"/>
    <x v="0"/>
    <x v="3"/>
    <x v="0"/>
    <x v="3"/>
    <x v="21"/>
    <x v="3"/>
    <x v="836"/>
    <x v="945"/>
    <x v="944"/>
    <x v="1"/>
  </r>
  <r>
    <x v="946"/>
    <x v="822"/>
    <x v="2"/>
    <x v="9"/>
    <x v="2"/>
    <x v="3"/>
    <x v="14"/>
    <x v="40"/>
    <x v="0"/>
    <x v="3"/>
    <x v="0"/>
    <x v="7"/>
    <x v="492"/>
    <x v="4"/>
    <x v="662"/>
    <x v="946"/>
    <x v="945"/>
    <x v="3"/>
  </r>
  <r>
    <x v="947"/>
    <x v="823"/>
    <x v="6"/>
    <x v="2"/>
    <x v="2"/>
    <x v="0"/>
    <x v="6"/>
    <x v="11"/>
    <x v="2"/>
    <x v="3"/>
    <x v="2"/>
    <x v="7"/>
    <x v="319"/>
    <x v="0"/>
    <x v="837"/>
    <x v="947"/>
    <x v="946"/>
    <x v="2"/>
  </r>
  <r>
    <x v="948"/>
    <x v="465"/>
    <x v="3"/>
    <x v="10"/>
    <x v="1"/>
    <x v="4"/>
    <x v="10"/>
    <x v="27"/>
    <x v="2"/>
    <x v="0"/>
    <x v="1"/>
    <x v="2"/>
    <x v="160"/>
    <x v="3"/>
    <x v="208"/>
    <x v="948"/>
    <x v="947"/>
    <x v="1"/>
  </r>
  <r>
    <x v="949"/>
    <x v="824"/>
    <x v="10"/>
    <x v="7"/>
    <x v="2"/>
    <x v="0"/>
    <x v="13"/>
    <x v="25"/>
    <x v="1"/>
    <x v="1"/>
    <x v="1"/>
    <x v="9"/>
    <x v="453"/>
    <x v="0"/>
    <x v="838"/>
    <x v="949"/>
    <x v="948"/>
    <x v="3"/>
  </r>
  <r>
    <x v="950"/>
    <x v="825"/>
    <x v="7"/>
    <x v="1"/>
    <x v="1"/>
    <x v="0"/>
    <x v="6"/>
    <x v="8"/>
    <x v="0"/>
    <x v="11"/>
    <x v="2"/>
    <x v="4"/>
    <x v="403"/>
    <x v="3"/>
    <x v="839"/>
    <x v="950"/>
    <x v="949"/>
    <x v="3"/>
  </r>
  <r>
    <x v="951"/>
    <x v="826"/>
    <x v="9"/>
    <x v="2"/>
    <x v="2"/>
    <x v="1"/>
    <x v="16"/>
    <x v="48"/>
    <x v="0"/>
    <x v="1"/>
    <x v="2"/>
    <x v="0"/>
    <x v="407"/>
    <x v="1"/>
    <x v="551"/>
    <x v="951"/>
    <x v="950"/>
    <x v="0"/>
  </r>
  <r>
    <x v="952"/>
    <x v="827"/>
    <x v="3"/>
    <x v="8"/>
    <x v="1"/>
    <x v="4"/>
    <x v="12"/>
    <x v="21"/>
    <x v="2"/>
    <x v="3"/>
    <x v="0"/>
    <x v="0"/>
    <x v="349"/>
    <x v="2"/>
    <x v="840"/>
    <x v="952"/>
    <x v="951"/>
    <x v="2"/>
  </r>
  <r>
    <x v="953"/>
    <x v="295"/>
    <x v="3"/>
    <x v="10"/>
    <x v="2"/>
    <x v="4"/>
    <x v="12"/>
    <x v="20"/>
    <x v="1"/>
    <x v="9"/>
    <x v="2"/>
    <x v="9"/>
    <x v="118"/>
    <x v="1"/>
    <x v="841"/>
    <x v="953"/>
    <x v="952"/>
    <x v="4"/>
  </r>
  <r>
    <x v="954"/>
    <x v="828"/>
    <x v="4"/>
    <x v="0"/>
    <x v="0"/>
    <x v="3"/>
    <x v="4"/>
    <x v="6"/>
    <x v="0"/>
    <x v="0"/>
    <x v="1"/>
    <x v="3"/>
    <x v="295"/>
    <x v="1"/>
    <x v="842"/>
    <x v="954"/>
    <x v="953"/>
    <x v="1"/>
  </r>
  <r>
    <x v="955"/>
    <x v="829"/>
    <x v="7"/>
    <x v="6"/>
    <x v="1"/>
    <x v="2"/>
    <x v="11"/>
    <x v="34"/>
    <x v="0"/>
    <x v="6"/>
    <x v="1"/>
    <x v="7"/>
    <x v="94"/>
    <x v="3"/>
    <x v="288"/>
    <x v="955"/>
    <x v="954"/>
    <x v="2"/>
  </r>
  <r>
    <x v="956"/>
    <x v="830"/>
    <x v="6"/>
    <x v="6"/>
    <x v="1"/>
    <x v="1"/>
    <x v="5"/>
    <x v="45"/>
    <x v="1"/>
    <x v="9"/>
    <x v="2"/>
    <x v="5"/>
    <x v="87"/>
    <x v="2"/>
    <x v="843"/>
    <x v="956"/>
    <x v="955"/>
    <x v="3"/>
  </r>
  <r>
    <x v="957"/>
    <x v="831"/>
    <x v="0"/>
    <x v="9"/>
    <x v="2"/>
    <x v="4"/>
    <x v="10"/>
    <x v="15"/>
    <x v="0"/>
    <x v="3"/>
    <x v="0"/>
    <x v="8"/>
    <x v="39"/>
    <x v="1"/>
    <x v="844"/>
    <x v="957"/>
    <x v="956"/>
    <x v="4"/>
  </r>
  <r>
    <x v="958"/>
    <x v="832"/>
    <x v="11"/>
    <x v="12"/>
    <x v="4"/>
    <x v="3"/>
    <x v="14"/>
    <x v="26"/>
    <x v="1"/>
    <x v="9"/>
    <x v="1"/>
    <x v="6"/>
    <x v="391"/>
    <x v="2"/>
    <x v="845"/>
    <x v="958"/>
    <x v="957"/>
    <x v="3"/>
  </r>
  <r>
    <x v="959"/>
    <x v="833"/>
    <x v="7"/>
    <x v="6"/>
    <x v="1"/>
    <x v="1"/>
    <x v="1"/>
    <x v="1"/>
    <x v="0"/>
    <x v="6"/>
    <x v="0"/>
    <x v="6"/>
    <x v="471"/>
    <x v="1"/>
    <x v="846"/>
    <x v="959"/>
    <x v="958"/>
    <x v="2"/>
  </r>
  <r>
    <x v="960"/>
    <x v="834"/>
    <x v="4"/>
    <x v="7"/>
    <x v="2"/>
    <x v="3"/>
    <x v="14"/>
    <x v="36"/>
    <x v="2"/>
    <x v="8"/>
    <x v="2"/>
    <x v="6"/>
    <x v="493"/>
    <x v="2"/>
    <x v="847"/>
    <x v="960"/>
    <x v="959"/>
    <x v="2"/>
  </r>
  <r>
    <x v="961"/>
    <x v="676"/>
    <x v="5"/>
    <x v="10"/>
    <x v="2"/>
    <x v="1"/>
    <x v="1"/>
    <x v="44"/>
    <x v="2"/>
    <x v="8"/>
    <x v="2"/>
    <x v="3"/>
    <x v="268"/>
    <x v="2"/>
    <x v="848"/>
    <x v="961"/>
    <x v="960"/>
    <x v="4"/>
  </r>
  <r>
    <x v="962"/>
    <x v="835"/>
    <x v="3"/>
    <x v="4"/>
    <x v="1"/>
    <x v="1"/>
    <x v="16"/>
    <x v="48"/>
    <x v="2"/>
    <x v="4"/>
    <x v="1"/>
    <x v="4"/>
    <x v="27"/>
    <x v="4"/>
    <x v="849"/>
    <x v="962"/>
    <x v="961"/>
    <x v="3"/>
  </r>
  <r>
    <x v="963"/>
    <x v="836"/>
    <x v="10"/>
    <x v="11"/>
    <x v="2"/>
    <x v="2"/>
    <x v="3"/>
    <x v="28"/>
    <x v="1"/>
    <x v="2"/>
    <x v="2"/>
    <x v="3"/>
    <x v="494"/>
    <x v="0"/>
    <x v="850"/>
    <x v="963"/>
    <x v="962"/>
    <x v="2"/>
  </r>
  <r>
    <x v="964"/>
    <x v="837"/>
    <x v="3"/>
    <x v="3"/>
    <x v="2"/>
    <x v="2"/>
    <x v="7"/>
    <x v="30"/>
    <x v="0"/>
    <x v="11"/>
    <x v="0"/>
    <x v="1"/>
    <x v="495"/>
    <x v="0"/>
    <x v="851"/>
    <x v="964"/>
    <x v="963"/>
    <x v="3"/>
  </r>
  <r>
    <x v="965"/>
    <x v="838"/>
    <x v="11"/>
    <x v="8"/>
    <x v="1"/>
    <x v="2"/>
    <x v="11"/>
    <x v="34"/>
    <x v="1"/>
    <x v="10"/>
    <x v="1"/>
    <x v="4"/>
    <x v="360"/>
    <x v="4"/>
    <x v="852"/>
    <x v="965"/>
    <x v="964"/>
    <x v="0"/>
  </r>
  <r>
    <x v="966"/>
    <x v="839"/>
    <x v="1"/>
    <x v="0"/>
    <x v="0"/>
    <x v="3"/>
    <x v="4"/>
    <x v="16"/>
    <x v="2"/>
    <x v="11"/>
    <x v="1"/>
    <x v="0"/>
    <x v="5"/>
    <x v="3"/>
    <x v="853"/>
    <x v="966"/>
    <x v="965"/>
    <x v="2"/>
  </r>
  <r>
    <x v="967"/>
    <x v="840"/>
    <x v="0"/>
    <x v="7"/>
    <x v="2"/>
    <x v="2"/>
    <x v="3"/>
    <x v="9"/>
    <x v="2"/>
    <x v="7"/>
    <x v="2"/>
    <x v="6"/>
    <x v="166"/>
    <x v="2"/>
    <x v="854"/>
    <x v="967"/>
    <x v="966"/>
    <x v="0"/>
  </r>
  <r>
    <x v="968"/>
    <x v="841"/>
    <x v="0"/>
    <x v="1"/>
    <x v="1"/>
    <x v="4"/>
    <x v="12"/>
    <x v="20"/>
    <x v="2"/>
    <x v="9"/>
    <x v="2"/>
    <x v="2"/>
    <x v="48"/>
    <x v="1"/>
    <x v="130"/>
    <x v="968"/>
    <x v="967"/>
    <x v="2"/>
  </r>
  <r>
    <x v="969"/>
    <x v="842"/>
    <x v="3"/>
    <x v="1"/>
    <x v="1"/>
    <x v="2"/>
    <x v="17"/>
    <x v="39"/>
    <x v="0"/>
    <x v="8"/>
    <x v="1"/>
    <x v="3"/>
    <x v="297"/>
    <x v="0"/>
    <x v="855"/>
    <x v="969"/>
    <x v="968"/>
    <x v="2"/>
  </r>
  <r>
    <x v="970"/>
    <x v="843"/>
    <x v="3"/>
    <x v="8"/>
    <x v="1"/>
    <x v="3"/>
    <x v="8"/>
    <x v="17"/>
    <x v="1"/>
    <x v="7"/>
    <x v="2"/>
    <x v="7"/>
    <x v="1"/>
    <x v="0"/>
    <x v="856"/>
    <x v="970"/>
    <x v="969"/>
    <x v="2"/>
  </r>
  <r>
    <x v="971"/>
    <x v="844"/>
    <x v="2"/>
    <x v="2"/>
    <x v="2"/>
    <x v="1"/>
    <x v="2"/>
    <x v="13"/>
    <x v="0"/>
    <x v="6"/>
    <x v="1"/>
    <x v="1"/>
    <x v="460"/>
    <x v="3"/>
    <x v="857"/>
    <x v="971"/>
    <x v="970"/>
    <x v="3"/>
  </r>
  <r>
    <x v="972"/>
    <x v="845"/>
    <x v="8"/>
    <x v="4"/>
    <x v="1"/>
    <x v="0"/>
    <x v="6"/>
    <x v="11"/>
    <x v="0"/>
    <x v="0"/>
    <x v="2"/>
    <x v="1"/>
    <x v="109"/>
    <x v="2"/>
    <x v="858"/>
    <x v="972"/>
    <x v="971"/>
    <x v="4"/>
  </r>
  <r>
    <x v="973"/>
    <x v="846"/>
    <x v="1"/>
    <x v="2"/>
    <x v="2"/>
    <x v="1"/>
    <x v="2"/>
    <x v="3"/>
    <x v="0"/>
    <x v="9"/>
    <x v="0"/>
    <x v="8"/>
    <x v="20"/>
    <x v="1"/>
    <x v="859"/>
    <x v="973"/>
    <x v="972"/>
    <x v="0"/>
  </r>
  <r>
    <x v="974"/>
    <x v="647"/>
    <x v="3"/>
    <x v="10"/>
    <x v="2"/>
    <x v="2"/>
    <x v="7"/>
    <x v="10"/>
    <x v="2"/>
    <x v="3"/>
    <x v="0"/>
    <x v="6"/>
    <x v="496"/>
    <x v="1"/>
    <x v="860"/>
    <x v="974"/>
    <x v="973"/>
    <x v="1"/>
  </r>
  <r>
    <x v="975"/>
    <x v="847"/>
    <x v="4"/>
    <x v="1"/>
    <x v="1"/>
    <x v="4"/>
    <x v="10"/>
    <x v="15"/>
    <x v="2"/>
    <x v="3"/>
    <x v="1"/>
    <x v="9"/>
    <x v="297"/>
    <x v="4"/>
    <x v="861"/>
    <x v="975"/>
    <x v="974"/>
    <x v="0"/>
  </r>
  <r>
    <x v="976"/>
    <x v="848"/>
    <x v="6"/>
    <x v="9"/>
    <x v="2"/>
    <x v="1"/>
    <x v="5"/>
    <x v="7"/>
    <x v="2"/>
    <x v="5"/>
    <x v="2"/>
    <x v="9"/>
    <x v="497"/>
    <x v="2"/>
    <x v="862"/>
    <x v="976"/>
    <x v="975"/>
    <x v="0"/>
  </r>
  <r>
    <x v="977"/>
    <x v="849"/>
    <x v="0"/>
    <x v="4"/>
    <x v="1"/>
    <x v="0"/>
    <x v="0"/>
    <x v="2"/>
    <x v="1"/>
    <x v="0"/>
    <x v="1"/>
    <x v="4"/>
    <x v="7"/>
    <x v="2"/>
    <x v="843"/>
    <x v="977"/>
    <x v="976"/>
    <x v="2"/>
  </r>
  <r>
    <x v="978"/>
    <x v="850"/>
    <x v="8"/>
    <x v="12"/>
    <x v="4"/>
    <x v="4"/>
    <x v="12"/>
    <x v="23"/>
    <x v="0"/>
    <x v="9"/>
    <x v="0"/>
    <x v="1"/>
    <x v="107"/>
    <x v="1"/>
    <x v="347"/>
    <x v="978"/>
    <x v="977"/>
    <x v="4"/>
  </r>
  <r>
    <x v="979"/>
    <x v="411"/>
    <x v="5"/>
    <x v="12"/>
    <x v="4"/>
    <x v="0"/>
    <x v="6"/>
    <x v="31"/>
    <x v="0"/>
    <x v="1"/>
    <x v="2"/>
    <x v="6"/>
    <x v="498"/>
    <x v="4"/>
    <x v="863"/>
    <x v="979"/>
    <x v="978"/>
    <x v="4"/>
  </r>
  <r>
    <x v="980"/>
    <x v="851"/>
    <x v="7"/>
    <x v="9"/>
    <x v="2"/>
    <x v="0"/>
    <x v="6"/>
    <x v="31"/>
    <x v="2"/>
    <x v="4"/>
    <x v="2"/>
    <x v="5"/>
    <x v="260"/>
    <x v="0"/>
    <x v="2"/>
    <x v="980"/>
    <x v="979"/>
    <x v="2"/>
  </r>
  <r>
    <x v="981"/>
    <x v="852"/>
    <x v="7"/>
    <x v="6"/>
    <x v="4"/>
    <x v="2"/>
    <x v="17"/>
    <x v="52"/>
    <x v="1"/>
    <x v="10"/>
    <x v="1"/>
    <x v="9"/>
    <x v="236"/>
    <x v="1"/>
    <x v="597"/>
    <x v="981"/>
    <x v="980"/>
    <x v="0"/>
  </r>
  <r>
    <x v="982"/>
    <x v="853"/>
    <x v="10"/>
    <x v="3"/>
    <x v="2"/>
    <x v="1"/>
    <x v="16"/>
    <x v="49"/>
    <x v="2"/>
    <x v="9"/>
    <x v="2"/>
    <x v="3"/>
    <x v="499"/>
    <x v="2"/>
    <x v="864"/>
    <x v="982"/>
    <x v="981"/>
    <x v="0"/>
  </r>
  <r>
    <x v="983"/>
    <x v="854"/>
    <x v="0"/>
    <x v="7"/>
    <x v="2"/>
    <x v="0"/>
    <x v="15"/>
    <x v="41"/>
    <x v="1"/>
    <x v="3"/>
    <x v="0"/>
    <x v="5"/>
    <x v="500"/>
    <x v="0"/>
    <x v="865"/>
    <x v="983"/>
    <x v="982"/>
    <x v="4"/>
  </r>
  <r>
    <x v="984"/>
    <x v="654"/>
    <x v="7"/>
    <x v="6"/>
    <x v="0"/>
    <x v="2"/>
    <x v="11"/>
    <x v="37"/>
    <x v="0"/>
    <x v="10"/>
    <x v="2"/>
    <x v="8"/>
    <x v="484"/>
    <x v="1"/>
    <x v="482"/>
    <x v="984"/>
    <x v="983"/>
    <x v="2"/>
  </r>
  <r>
    <x v="985"/>
    <x v="855"/>
    <x v="8"/>
    <x v="1"/>
    <x v="1"/>
    <x v="4"/>
    <x v="12"/>
    <x v="20"/>
    <x v="1"/>
    <x v="5"/>
    <x v="1"/>
    <x v="4"/>
    <x v="197"/>
    <x v="1"/>
    <x v="866"/>
    <x v="985"/>
    <x v="984"/>
    <x v="0"/>
  </r>
  <r>
    <x v="986"/>
    <x v="856"/>
    <x v="6"/>
    <x v="11"/>
    <x v="2"/>
    <x v="2"/>
    <x v="7"/>
    <x v="24"/>
    <x v="1"/>
    <x v="7"/>
    <x v="2"/>
    <x v="8"/>
    <x v="298"/>
    <x v="1"/>
    <x v="867"/>
    <x v="986"/>
    <x v="985"/>
    <x v="1"/>
  </r>
  <r>
    <x v="987"/>
    <x v="857"/>
    <x v="11"/>
    <x v="8"/>
    <x v="1"/>
    <x v="3"/>
    <x v="14"/>
    <x v="40"/>
    <x v="0"/>
    <x v="1"/>
    <x v="2"/>
    <x v="1"/>
    <x v="128"/>
    <x v="4"/>
    <x v="868"/>
    <x v="987"/>
    <x v="986"/>
    <x v="4"/>
  </r>
  <r>
    <x v="988"/>
    <x v="858"/>
    <x v="0"/>
    <x v="5"/>
    <x v="2"/>
    <x v="3"/>
    <x v="4"/>
    <x v="38"/>
    <x v="0"/>
    <x v="0"/>
    <x v="1"/>
    <x v="2"/>
    <x v="326"/>
    <x v="3"/>
    <x v="869"/>
    <x v="988"/>
    <x v="987"/>
    <x v="4"/>
  </r>
  <r>
    <x v="989"/>
    <x v="859"/>
    <x v="11"/>
    <x v="9"/>
    <x v="2"/>
    <x v="3"/>
    <x v="9"/>
    <x v="35"/>
    <x v="1"/>
    <x v="1"/>
    <x v="1"/>
    <x v="9"/>
    <x v="230"/>
    <x v="0"/>
    <x v="870"/>
    <x v="989"/>
    <x v="988"/>
    <x v="1"/>
  </r>
  <r>
    <x v="990"/>
    <x v="860"/>
    <x v="0"/>
    <x v="4"/>
    <x v="1"/>
    <x v="0"/>
    <x v="0"/>
    <x v="0"/>
    <x v="2"/>
    <x v="9"/>
    <x v="0"/>
    <x v="5"/>
    <x v="469"/>
    <x v="3"/>
    <x v="871"/>
    <x v="990"/>
    <x v="989"/>
    <x v="0"/>
  </r>
  <r>
    <x v="991"/>
    <x v="563"/>
    <x v="2"/>
    <x v="0"/>
    <x v="0"/>
    <x v="3"/>
    <x v="8"/>
    <x v="18"/>
    <x v="0"/>
    <x v="9"/>
    <x v="2"/>
    <x v="9"/>
    <x v="138"/>
    <x v="1"/>
    <x v="872"/>
    <x v="991"/>
    <x v="990"/>
    <x v="1"/>
  </r>
  <r>
    <x v="992"/>
    <x v="861"/>
    <x v="4"/>
    <x v="2"/>
    <x v="2"/>
    <x v="4"/>
    <x v="12"/>
    <x v="23"/>
    <x v="0"/>
    <x v="8"/>
    <x v="1"/>
    <x v="2"/>
    <x v="501"/>
    <x v="2"/>
    <x v="873"/>
    <x v="992"/>
    <x v="991"/>
    <x v="1"/>
  </r>
  <r>
    <x v="993"/>
    <x v="862"/>
    <x v="0"/>
    <x v="7"/>
    <x v="2"/>
    <x v="2"/>
    <x v="17"/>
    <x v="39"/>
    <x v="0"/>
    <x v="0"/>
    <x v="2"/>
    <x v="4"/>
    <x v="496"/>
    <x v="3"/>
    <x v="874"/>
    <x v="993"/>
    <x v="992"/>
    <x v="4"/>
  </r>
  <r>
    <x v="994"/>
    <x v="863"/>
    <x v="0"/>
    <x v="2"/>
    <x v="2"/>
    <x v="0"/>
    <x v="0"/>
    <x v="2"/>
    <x v="2"/>
    <x v="2"/>
    <x v="2"/>
    <x v="1"/>
    <x v="502"/>
    <x v="4"/>
    <x v="875"/>
    <x v="994"/>
    <x v="993"/>
    <x v="2"/>
  </r>
  <r>
    <x v="995"/>
    <x v="864"/>
    <x v="2"/>
    <x v="2"/>
    <x v="2"/>
    <x v="0"/>
    <x v="13"/>
    <x v="25"/>
    <x v="2"/>
    <x v="5"/>
    <x v="0"/>
    <x v="9"/>
    <x v="503"/>
    <x v="4"/>
    <x v="876"/>
    <x v="995"/>
    <x v="994"/>
    <x v="1"/>
  </r>
  <r>
    <x v="996"/>
    <x v="865"/>
    <x v="1"/>
    <x v="9"/>
    <x v="2"/>
    <x v="2"/>
    <x v="11"/>
    <x v="19"/>
    <x v="0"/>
    <x v="7"/>
    <x v="2"/>
    <x v="2"/>
    <x v="504"/>
    <x v="4"/>
    <x v="877"/>
    <x v="996"/>
    <x v="995"/>
    <x v="4"/>
  </r>
  <r>
    <x v="997"/>
    <x v="866"/>
    <x v="7"/>
    <x v="2"/>
    <x v="2"/>
    <x v="2"/>
    <x v="3"/>
    <x v="28"/>
    <x v="1"/>
    <x v="5"/>
    <x v="0"/>
    <x v="0"/>
    <x v="195"/>
    <x v="0"/>
    <x v="878"/>
    <x v="997"/>
    <x v="996"/>
    <x v="1"/>
  </r>
  <r>
    <x v="998"/>
    <x v="867"/>
    <x v="7"/>
    <x v="7"/>
    <x v="2"/>
    <x v="3"/>
    <x v="8"/>
    <x v="18"/>
    <x v="0"/>
    <x v="10"/>
    <x v="0"/>
    <x v="8"/>
    <x v="283"/>
    <x v="4"/>
    <x v="879"/>
    <x v="998"/>
    <x v="997"/>
    <x v="1"/>
  </r>
  <r>
    <x v="999"/>
    <x v="868"/>
    <x v="9"/>
    <x v="12"/>
    <x v="4"/>
    <x v="4"/>
    <x v="12"/>
    <x v="23"/>
    <x v="2"/>
    <x v="5"/>
    <x v="1"/>
    <x v="0"/>
    <x v="204"/>
    <x v="1"/>
    <x v="341"/>
    <x v="999"/>
    <x v="99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4:C5" firstHeaderRow="1" firstDataRow="1" firstDataCol="0"/>
  <pivotFields count="18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3" showAll="0">
      <items count="870">
        <item x="463"/>
        <item x="846"/>
        <item x="681"/>
        <item x="535"/>
        <item x="60"/>
        <item x="593"/>
        <item x="740"/>
        <item x="460"/>
        <item x="294"/>
        <item x="1"/>
        <item x="314"/>
        <item x="541"/>
        <item x="202"/>
        <item x="730"/>
        <item x="738"/>
        <item x="788"/>
        <item x="753"/>
        <item x="544"/>
        <item x="668"/>
        <item x="839"/>
        <item x="127"/>
        <item x="167"/>
        <item x="426"/>
        <item x="353"/>
        <item x="157"/>
        <item x="173"/>
        <item x="770"/>
        <item x="98"/>
        <item x="244"/>
        <item x="309"/>
        <item x="713"/>
        <item x="205"/>
        <item x="394"/>
        <item x="284"/>
        <item x="443"/>
        <item x="594"/>
        <item x="452"/>
        <item x="233"/>
        <item x="145"/>
        <item x="503"/>
        <item x="112"/>
        <item x="349"/>
        <item x="623"/>
        <item x="5"/>
        <item x="436"/>
        <item x="449"/>
        <item x="31"/>
        <item x="429"/>
        <item x="56"/>
        <item x="263"/>
        <item x="332"/>
        <item x="250"/>
        <item x="658"/>
        <item x="478"/>
        <item x="781"/>
        <item x="780"/>
        <item x="558"/>
        <item x="225"/>
        <item x="734"/>
        <item x="58"/>
        <item x="257"/>
        <item x="397"/>
        <item x="651"/>
        <item x="446"/>
        <item x="739"/>
        <item x="38"/>
        <item x="570"/>
        <item x="674"/>
        <item x="678"/>
        <item x="363"/>
        <item x="64"/>
        <item x="50"/>
        <item x="650"/>
        <item x="259"/>
        <item x="94"/>
        <item x="42"/>
        <item x="842"/>
        <item x="136"/>
        <item x="416"/>
        <item x="340"/>
        <item x="652"/>
        <item x="362"/>
        <item x="230"/>
        <item x="796"/>
        <item x="827"/>
        <item x="445"/>
        <item x="71"/>
        <item x="573"/>
        <item x="237"/>
        <item x="274"/>
        <item x="341"/>
        <item x="849"/>
        <item x="319"/>
        <item x="840"/>
        <item x="755"/>
        <item x="7"/>
        <item x="74"/>
        <item x="241"/>
        <item x="597"/>
        <item x="571"/>
        <item x="741"/>
        <item x="80"/>
        <item x="361"/>
        <item x="239"/>
        <item x="763"/>
        <item x="572"/>
        <item x="454"/>
        <item x="260"/>
        <item x="812"/>
        <item x="860"/>
        <item x="771"/>
        <item x="621"/>
        <item x="243"/>
        <item x="425"/>
        <item x="302"/>
        <item x="862"/>
        <item x="841"/>
        <item x="369"/>
        <item x="404"/>
        <item x="473"/>
        <item x="692"/>
        <item x="620"/>
        <item x="635"/>
        <item x="427"/>
        <item x="670"/>
        <item x="291"/>
        <item x="356"/>
        <item x="727"/>
        <item x="156"/>
        <item x="728"/>
        <item x="59"/>
        <item x="660"/>
        <item x="502"/>
        <item x="608"/>
        <item x="715"/>
        <item x="154"/>
        <item x="851"/>
        <item x="686"/>
        <item x="547"/>
        <item x="750"/>
        <item x="810"/>
        <item x="866"/>
        <item x="227"/>
        <item x="415"/>
        <item x="368"/>
        <item x="474"/>
        <item x="435"/>
        <item x="613"/>
        <item x="55"/>
        <item x="461"/>
        <item x="702"/>
        <item x="663"/>
        <item x="639"/>
        <item x="717"/>
        <item x="430"/>
        <item x="277"/>
        <item x="457"/>
        <item x="467"/>
        <item x="774"/>
        <item x="856"/>
        <item x="604"/>
        <item x="704"/>
        <item x="297"/>
        <item x="689"/>
        <item x="95"/>
        <item x="49"/>
        <item x="464"/>
        <item x="761"/>
        <item x="45"/>
        <item x="61"/>
        <item x="335"/>
        <item x="207"/>
        <item x="582"/>
        <item x="308"/>
        <item x="602"/>
        <item x="596"/>
        <item x="823"/>
        <item x="428"/>
        <item x="165"/>
        <item x="666"/>
        <item x="848"/>
        <item x="364"/>
        <item x="766"/>
        <item x="414"/>
        <item x="705"/>
        <item x="684"/>
        <item x="79"/>
        <item x="568"/>
        <item x="591"/>
        <item x="661"/>
        <item x="69"/>
        <item x="347"/>
        <item x="703"/>
        <item x="822"/>
        <item x="342"/>
        <item x="270"/>
        <item x="527"/>
        <item x="521"/>
        <item x="399"/>
        <item x="269"/>
        <item x="820"/>
        <item x="808"/>
        <item x="105"/>
        <item x="479"/>
        <item x="134"/>
        <item x="486"/>
        <item x="749"/>
        <item x="378"/>
        <item x="376"/>
        <item x="707"/>
        <item x="492"/>
        <item x="328"/>
        <item x="804"/>
        <item x="690"/>
        <item x="86"/>
        <item x="281"/>
        <item x="236"/>
        <item x="616"/>
        <item x="737"/>
        <item x="516"/>
        <item x="301"/>
        <item x="627"/>
        <item x="410"/>
        <item x="197"/>
        <item x="107"/>
        <item x="359"/>
        <item x="603"/>
        <item x="310"/>
        <item x="262"/>
        <item x="272"/>
        <item x="529"/>
        <item x="557"/>
        <item x="667"/>
        <item x="861"/>
        <item x="282"/>
        <item x="444"/>
        <item x="760"/>
        <item x="712"/>
        <item x="137"/>
        <item x="148"/>
        <item x="792"/>
        <item x="66"/>
        <item x="407"/>
        <item x="756"/>
        <item x="857"/>
        <item x="176"/>
        <item x="510"/>
        <item x="488"/>
        <item x="221"/>
        <item x="609"/>
        <item x="395"/>
        <item x="343"/>
        <item x="396"/>
        <item x="574"/>
        <item x="706"/>
        <item x="54"/>
        <item x="195"/>
        <item x="838"/>
        <item x="859"/>
        <item x="631"/>
        <item x="789"/>
        <item x="605"/>
        <item x="231"/>
        <item x="182"/>
        <item x="628"/>
        <item x="653"/>
        <item x="642"/>
        <item x="567"/>
        <item x="352"/>
        <item x="336"/>
        <item x="240"/>
        <item x="24"/>
        <item x="806"/>
        <item x="638"/>
        <item x="142"/>
        <item x="279"/>
        <item x="581"/>
        <item x="471"/>
        <item x="480"/>
        <item x="592"/>
        <item x="665"/>
        <item x="267"/>
        <item x="424"/>
        <item x="485"/>
        <item x="276"/>
        <item x="106"/>
        <item x="864"/>
        <item x="190"/>
        <item x="374"/>
        <item x="380"/>
        <item x="483"/>
        <item x="500"/>
        <item x="174"/>
        <item x="214"/>
        <item x="48"/>
        <item x="767"/>
        <item x="283"/>
        <item x="847"/>
        <item x="62"/>
        <item x="186"/>
        <item x="590"/>
        <item x="579"/>
        <item x="15"/>
        <item x="800"/>
        <item x="828"/>
        <item x="512"/>
        <item x="273"/>
        <item x="138"/>
        <item x="412"/>
        <item x="4"/>
        <item x="9"/>
        <item x="311"/>
        <item x="709"/>
        <item x="313"/>
        <item x="409"/>
        <item x="817"/>
        <item x="813"/>
        <item x="293"/>
        <item x="832"/>
        <item x="185"/>
        <item x="805"/>
        <item x="496"/>
        <item x="522"/>
        <item x="216"/>
        <item x="625"/>
        <item x="458"/>
        <item x="589"/>
        <item x="724"/>
        <item x="693"/>
        <item x="456"/>
        <item x="144"/>
        <item x="179"/>
        <item x="537"/>
        <item x="664"/>
        <item x="344"/>
        <item x="299"/>
        <item x="633"/>
        <item x="618"/>
        <item x="726"/>
        <item x="815"/>
        <item x="700"/>
        <item x="83"/>
        <item x="504"/>
        <item x="526"/>
        <item x="489"/>
        <item x="401"/>
        <item x="814"/>
        <item x="247"/>
        <item x="475"/>
        <item x="531"/>
        <item x="192"/>
        <item x="23"/>
        <item x="354"/>
        <item x="122"/>
        <item x="868"/>
        <item x="711"/>
        <item x="324"/>
        <item x="204"/>
        <item x="434"/>
        <item x="769"/>
        <item x="114"/>
        <item x="556"/>
        <item x="256"/>
        <item x="534"/>
        <item x="109"/>
        <item x="494"/>
        <item x="89"/>
        <item x="152"/>
        <item x="200"/>
        <item x="773"/>
        <item x="536"/>
        <item x="679"/>
        <item x="784"/>
        <item x="509"/>
        <item x="826"/>
        <item x="809"/>
        <item x="382"/>
        <item x="470"/>
        <item x="733"/>
        <item x="524"/>
        <item x="39"/>
        <item x="63"/>
        <item x="358"/>
        <item x="555"/>
        <item x="543"/>
        <item x="300"/>
        <item x="682"/>
        <item x="306"/>
        <item x="224"/>
        <item x="41"/>
        <item x="119"/>
        <item x="765"/>
        <item x="562"/>
        <item x="392"/>
        <item x="491"/>
        <item x="217"/>
        <item x="160"/>
        <item x="447"/>
        <item x="104"/>
        <item x="578"/>
        <item x="791"/>
        <item x="261"/>
        <item x="836"/>
        <item x="559"/>
        <item x="220"/>
        <item x="824"/>
        <item x="600"/>
        <item x="853"/>
        <item x="235"/>
        <item x="296"/>
        <item x="44"/>
        <item x="552"/>
        <item x="545"/>
        <item x="388"/>
        <item x="289"/>
        <item x="747"/>
        <item x="218"/>
        <item x="701"/>
        <item x="469"/>
        <item x="169"/>
        <item x="360"/>
        <item x="391"/>
        <item x="655"/>
        <item x="271"/>
        <item x="525"/>
        <item x="698"/>
        <item x="331"/>
        <item x="212"/>
        <item x="81"/>
        <item x="103"/>
        <item x="607"/>
        <item x="188"/>
        <item x="264"/>
        <item x="453"/>
        <item x="742"/>
        <item x="845"/>
        <item x="163"/>
        <item x="811"/>
        <item x="153"/>
        <item x="736"/>
        <item x="708"/>
        <item x="21"/>
        <item x="17"/>
        <item x="648"/>
        <item x="166"/>
        <item x="423"/>
        <item x="433"/>
        <item x="748"/>
        <item x="829"/>
        <item x="694"/>
        <item x="637"/>
        <item x="797"/>
        <item x="43"/>
        <item x="387"/>
        <item x="268"/>
        <item x="67"/>
        <item x="722"/>
        <item x="852"/>
        <item x="158"/>
        <item x="75"/>
        <item x="70"/>
        <item x="288"/>
        <item x="833"/>
        <item x="367"/>
        <item x="778"/>
        <item x="252"/>
        <item x="175"/>
        <item x="304"/>
        <item x="830"/>
        <item x="450"/>
        <item x="164"/>
        <item x="764"/>
        <item x="643"/>
        <item x="348"/>
        <item x="209"/>
        <item x="511"/>
        <item x="10"/>
        <item x="222"/>
        <item x="161"/>
        <item x="29"/>
        <item x="121"/>
        <item x="646"/>
        <item x="683"/>
        <item x="355"/>
        <item x="398"/>
        <item x="515"/>
        <item x="234"/>
        <item x="657"/>
        <item x="125"/>
        <item x="584"/>
        <item x="208"/>
        <item x="76"/>
        <item x="180"/>
        <item x="626"/>
        <item x="818"/>
        <item x="357"/>
        <item x="588"/>
        <item x="287"/>
        <item x="280"/>
        <item x="775"/>
        <item x="57"/>
        <item x="799"/>
        <item x="19"/>
        <item x="232"/>
        <item x="405"/>
        <item x="614"/>
        <item x="238"/>
        <item x="575"/>
        <item x="533"/>
        <item x="669"/>
        <item x="381"/>
        <item x="659"/>
        <item x="194"/>
        <item x="146"/>
        <item x="551"/>
        <item x="448"/>
        <item x="499"/>
        <item x="47"/>
        <item x="321"/>
        <item x="333"/>
        <item x="6"/>
        <item x="844"/>
        <item x="691"/>
        <item x="131"/>
        <item x="680"/>
        <item x="13"/>
        <item x="34"/>
        <item x="636"/>
        <item x="777"/>
        <item x="576"/>
        <item x="254"/>
        <item x="246"/>
        <item x="85"/>
        <item x="513"/>
        <item x="586"/>
        <item x="553"/>
        <item x="37"/>
        <item x="505"/>
        <item x="497"/>
        <item x="834"/>
        <item x="501"/>
        <item x="569"/>
        <item x="745"/>
        <item x="87"/>
        <item x="772"/>
        <item x="632"/>
        <item x="419"/>
        <item x="312"/>
        <item x="484"/>
        <item x="126"/>
        <item x="743"/>
        <item x="370"/>
        <item x="517"/>
        <item x="801"/>
        <item x="482"/>
        <item x="542"/>
        <item x="487"/>
        <item x="723"/>
        <item x="386"/>
        <item x="601"/>
        <item x="290"/>
        <item x="468"/>
        <item x="675"/>
        <item x="539"/>
        <item x="477"/>
        <item x="226"/>
        <item x="393"/>
        <item x="402"/>
        <item x="93"/>
        <item x="215"/>
        <item x="84"/>
        <item x="606"/>
        <item x="400"/>
        <item x="519"/>
        <item x="100"/>
        <item x="110"/>
        <item x="339"/>
        <item x="518"/>
        <item x="720"/>
        <item x="139"/>
        <item x="731"/>
        <item x="821"/>
        <item x="564"/>
        <item x="73"/>
        <item x="656"/>
        <item x="794"/>
        <item x="699"/>
        <item x="390"/>
        <item x="441"/>
        <item x="323"/>
        <item x="530"/>
        <item x="735"/>
        <item x="170"/>
        <item x="191"/>
        <item x="520"/>
        <item x="617"/>
        <item x="406"/>
        <item x="345"/>
        <item x="320"/>
        <item x="803"/>
        <item x="253"/>
        <item x="265"/>
        <item x="649"/>
        <item x="798"/>
        <item x="719"/>
        <item x="687"/>
        <item x="550"/>
        <item x="20"/>
        <item x="850"/>
        <item x="65"/>
        <item x="523"/>
        <item x="51"/>
        <item x="802"/>
        <item x="130"/>
        <item x="140"/>
        <item x="286"/>
        <item x="375"/>
        <item x="384"/>
        <item x="132"/>
        <item x="451"/>
        <item x="27"/>
        <item x="595"/>
        <item x="442"/>
        <item x="786"/>
        <item x="26"/>
        <item x="566"/>
        <item x="68"/>
        <item x="816"/>
        <item x="472"/>
        <item x="385"/>
        <item x="338"/>
        <item x="258"/>
        <item x="583"/>
        <item x="305"/>
        <item x="783"/>
        <item x="421"/>
        <item x="560"/>
        <item x="752"/>
        <item x="622"/>
        <item x="193"/>
        <item x="696"/>
        <item x="865"/>
        <item x="315"/>
        <item x="718"/>
        <item x="99"/>
        <item x="757"/>
        <item x="508"/>
        <item x="439"/>
        <item x="28"/>
        <item x="540"/>
        <item x="211"/>
        <item x="379"/>
        <item x="337"/>
        <item x="629"/>
        <item x="124"/>
        <item x="143"/>
        <item x="346"/>
        <item x="754"/>
        <item x="619"/>
        <item x="0"/>
        <item x="548"/>
        <item x="418"/>
        <item x="549"/>
        <item x="561"/>
        <item x="327"/>
        <item x="831"/>
        <item x="481"/>
        <item x="255"/>
        <item x="688"/>
        <item x="495"/>
        <item x="662"/>
        <item x="77"/>
        <item x="611"/>
        <item x="867"/>
        <item x="672"/>
        <item x="721"/>
        <item x="417"/>
        <item x="785"/>
        <item x="459"/>
        <item x="776"/>
        <item x="554"/>
        <item x="565"/>
        <item x="710"/>
        <item x="598"/>
        <item x="599"/>
        <item x="90"/>
        <item x="168"/>
        <item x="12"/>
        <item x="610"/>
        <item x="266"/>
        <item x="825"/>
        <item x="438"/>
        <item x="30"/>
        <item x="135"/>
        <item x="538"/>
        <item x="53"/>
        <item x="177"/>
        <item x="455"/>
        <item x="807"/>
        <item x="108"/>
        <item x="744"/>
        <item x="476"/>
        <item x="714"/>
        <item x="350"/>
        <item x="685"/>
        <item x="779"/>
        <item x="695"/>
        <item x="147"/>
        <item x="580"/>
        <item x="181"/>
        <item x="506"/>
        <item x="371"/>
        <item x="507"/>
        <item x="630"/>
        <item x="585"/>
        <item x="782"/>
        <item x="615"/>
        <item x="206"/>
        <item x="187"/>
        <item x="843"/>
        <item x="729"/>
        <item x="612"/>
        <item x="141"/>
        <item x="329"/>
        <item x="278"/>
        <item x="372"/>
        <item x="577"/>
        <item x="835"/>
        <item x="837"/>
        <item x="440"/>
        <item x="644"/>
        <item x="725"/>
        <item x="14"/>
        <item x="641"/>
        <item x="196"/>
        <item x="854"/>
        <item x="88"/>
        <item x="716"/>
        <item x="795"/>
        <item x="422"/>
        <item x="863"/>
        <item x="624"/>
        <item x="546"/>
        <item x="462"/>
        <item x="116"/>
        <item x="697"/>
        <item x="97"/>
        <item x="242"/>
        <item x="101"/>
        <item x="162"/>
        <item x="330"/>
        <item x="117"/>
        <item x="322"/>
        <item x="150"/>
        <item x="33"/>
        <item x="466"/>
        <item x="408"/>
        <item x="184"/>
        <item x="431"/>
        <item x="128"/>
        <item x="102"/>
        <item x="758"/>
        <item x="298"/>
        <item x="178"/>
        <item x="248"/>
        <item x="120"/>
        <item x="532"/>
        <item x="389"/>
        <item x="133"/>
        <item x="759"/>
        <item x="498"/>
        <item x="22"/>
        <item x="11"/>
        <item x="78"/>
        <item x="229"/>
        <item x="113"/>
        <item x="203"/>
        <item x="787"/>
        <item x="171"/>
        <item x="490"/>
        <item x="149"/>
        <item x="411"/>
        <item x="292"/>
        <item x="52"/>
        <item x="493"/>
        <item x="40"/>
        <item x="377"/>
        <item x="129"/>
        <item x="111"/>
        <item x="676"/>
        <item x="514"/>
        <item x="198"/>
        <item x="18"/>
        <item x="317"/>
        <item x="213"/>
        <item x="295"/>
        <item x="123"/>
        <item x="326"/>
        <item x="228"/>
        <item x="647"/>
        <item x="32"/>
        <item x="155"/>
        <item x="465"/>
        <item x="793"/>
        <item x="96"/>
        <item x="115"/>
        <item x="189"/>
        <item x="92"/>
        <item x="159"/>
        <item x="201"/>
        <item x="316"/>
        <item x="671"/>
        <item x="403"/>
        <item x="3"/>
        <item x="36"/>
        <item x="210"/>
        <item x="199"/>
        <item x="303"/>
        <item x="334"/>
        <item x="366"/>
        <item x="307"/>
        <item x="858"/>
        <item x="91"/>
        <item x="8"/>
        <item x="151"/>
        <item x="172"/>
        <item x="654"/>
        <item x="413"/>
        <item x="275"/>
        <item x="790"/>
        <item x="72"/>
        <item x="325"/>
        <item x="25"/>
        <item x="373"/>
        <item x="318"/>
        <item x="563"/>
        <item x="528"/>
        <item x="183"/>
        <item x="16"/>
        <item x="2"/>
        <item x="245"/>
        <item x="437"/>
        <item x="855"/>
        <item x="118"/>
        <item x="223"/>
        <item x="219"/>
        <item x="673"/>
        <item x="249"/>
        <item x="285"/>
        <item x="587"/>
        <item x="640"/>
        <item x="732"/>
        <item x="35"/>
        <item x="746"/>
        <item x="432"/>
        <item x="751"/>
        <item x="46"/>
        <item x="677"/>
        <item x="634"/>
        <item x="251"/>
        <item x="82"/>
        <item x="420"/>
        <item x="645"/>
        <item x="351"/>
        <item x="762"/>
        <item x="365"/>
        <item x="819"/>
        <item x="383"/>
        <item x="768"/>
        <item t="default"/>
      </items>
    </pivotField>
    <pivotField compact="0" showAll="0">
      <items count="13">
        <item x="1"/>
        <item x="5"/>
        <item x="3"/>
        <item x="0"/>
        <item x="7"/>
        <item x="6"/>
        <item x="2"/>
        <item x="4"/>
        <item x="11"/>
        <item x="9"/>
        <item x="10"/>
        <item x="8"/>
        <item t="default"/>
      </items>
    </pivotField>
    <pivotField compact="0" showAll="0">
      <items count="14">
        <item x="3"/>
        <item x="1"/>
        <item x="8"/>
        <item x="11"/>
        <item x="2"/>
        <item x="4"/>
        <item x="5"/>
        <item x="0"/>
        <item x="7"/>
        <item x="12"/>
        <item x="6"/>
        <item x="9"/>
        <item x="10"/>
        <item t="default"/>
      </items>
    </pivotField>
    <pivotField compact="0" showAll="0">
      <items count="7">
        <item x="1"/>
        <item x="5"/>
        <item x="2"/>
        <item x="3"/>
        <item x="0"/>
        <item x="4"/>
        <item t="default"/>
      </items>
    </pivotField>
    <pivotField compact="0" showAll="0">
      <items count="6">
        <item x="4"/>
        <item x="0"/>
        <item x="3"/>
        <item x="1"/>
        <item x="2"/>
        <item t="default"/>
      </items>
    </pivotField>
    <pivotField compact="0" showAll="0">
      <items count="19">
        <item x="6"/>
        <item x="12"/>
        <item x="4"/>
        <item x="17"/>
        <item x="7"/>
        <item x="9"/>
        <item x="0"/>
        <item x="16"/>
        <item x="1"/>
        <item x="10"/>
        <item x="3"/>
        <item x="15"/>
        <item x="14"/>
        <item x="11"/>
        <item x="2"/>
        <item x="5"/>
        <item x="8"/>
        <item x="13"/>
        <item t="default"/>
      </items>
    </pivotField>
    <pivotField compact="0" showAll="0">
      <items count="54">
        <item x="30"/>
        <item x="36"/>
        <item x="49"/>
        <item x="21"/>
        <item x="27"/>
        <item x="32"/>
        <item x="20"/>
        <item x="3"/>
        <item x="13"/>
        <item x="41"/>
        <item x="2"/>
        <item x="22"/>
        <item x="14"/>
        <item x="11"/>
        <item x="16"/>
        <item x="15"/>
        <item x="51"/>
        <item x="50"/>
        <item x="37"/>
        <item x="40"/>
        <item x="43"/>
        <item x="34"/>
        <item x="17"/>
        <item x="1"/>
        <item x="29"/>
        <item x="44"/>
        <item x="12"/>
        <item x="26"/>
        <item x="47"/>
        <item x="33"/>
        <item x="42"/>
        <item x="28"/>
        <item x="31"/>
        <item x="48"/>
        <item x="9"/>
        <item x="38"/>
        <item x="45"/>
        <item x="6"/>
        <item x="39"/>
        <item x="35"/>
        <item x="8"/>
        <item x="5"/>
        <item x="23"/>
        <item x="0"/>
        <item x="46"/>
        <item x="25"/>
        <item x="10"/>
        <item x="4"/>
        <item x="19"/>
        <item x="24"/>
        <item x="18"/>
        <item x="52"/>
        <item x="7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4">
        <item x="7"/>
        <item x="5"/>
        <item m="1" x="12"/>
        <item x="8"/>
        <item x="9"/>
        <item x="2"/>
        <item x="3"/>
        <item x="4"/>
        <item x="1"/>
        <item x="10"/>
        <item x="6"/>
        <item x="0"/>
        <item x="1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1"/>
        <item x="9"/>
        <item x="7"/>
        <item x="2"/>
        <item x="0"/>
        <item x="4"/>
        <item x="8"/>
        <item x="5"/>
        <item x="6"/>
        <item x="3"/>
        <item t="default"/>
      </items>
    </pivotField>
    <pivotField compact="0" showAll="0">
      <items count="506">
        <item x="469"/>
        <item x="169"/>
        <item x="347"/>
        <item x="8"/>
        <item x="160"/>
        <item x="27"/>
        <item x="194"/>
        <item x="24"/>
        <item x="67"/>
        <item x="122"/>
        <item x="41"/>
        <item x="220"/>
        <item x="15"/>
        <item x="94"/>
        <item x="12"/>
        <item x="47"/>
        <item x="87"/>
        <item x="115"/>
        <item x="154"/>
        <item x="176"/>
        <item x="175"/>
        <item x="109"/>
        <item x="89"/>
        <item x="7"/>
        <item x="186"/>
        <item x="48"/>
        <item x="55"/>
        <item x="125"/>
        <item x="236"/>
        <item x="128"/>
        <item x="157"/>
        <item x="21"/>
        <item x="149"/>
        <item x="468"/>
        <item x="74"/>
        <item x="254"/>
        <item x="308"/>
        <item x="1"/>
        <item x="174"/>
        <item x="360"/>
        <item x="273"/>
        <item x="393"/>
        <item x="202"/>
        <item x="349"/>
        <item x="96"/>
        <item x="151"/>
        <item x="293"/>
        <item x="477"/>
        <item x="155"/>
        <item x="332"/>
        <item x="107"/>
        <item x="171"/>
        <item x="412"/>
        <item x="198"/>
        <item x="204"/>
        <item x="429"/>
        <item x="133"/>
        <item x="452"/>
        <item x="34"/>
        <item x="471"/>
        <item x="181"/>
        <item x="148"/>
        <item x="156"/>
        <item x="297"/>
        <item x="345"/>
        <item x="404"/>
        <item x="397"/>
        <item x="37"/>
        <item x="306"/>
        <item x="371"/>
        <item x="179"/>
        <item x="378"/>
        <item x="237"/>
        <item x="216"/>
        <item x="103"/>
        <item x="45"/>
        <item x="486"/>
        <item x="235"/>
        <item x="0"/>
        <item x="407"/>
        <item x="239"/>
        <item x="9"/>
        <item x="344"/>
        <item x="73"/>
        <item x="140"/>
        <item x="5"/>
        <item x="310"/>
        <item x="211"/>
        <item x="386"/>
        <item x="197"/>
        <item x="244"/>
        <item x="340"/>
        <item x="138"/>
        <item x="370"/>
        <item x="313"/>
        <item x="375"/>
        <item x="403"/>
        <item x="99"/>
        <item x="44"/>
        <item x="38"/>
        <item x="188"/>
        <item x="177"/>
        <item x="260"/>
        <item x="146"/>
        <item x="504"/>
        <item x="86"/>
        <item x="488"/>
        <item x="30"/>
        <item x="304"/>
        <item x="389"/>
        <item x="17"/>
        <item x="492"/>
        <item x="326"/>
        <item x="185"/>
        <item x="295"/>
        <item x="274"/>
        <item x="400"/>
        <item x="143"/>
        <item x="234"/>
        <item x="4"/>
        <item x="153"/>
        <item x="391"/>
        <item x="168"/>
        <item x="484"/>
        <item x="212"/>
        <item x="173"/>
        <item x="82"/>
        <item x="317"/>
        <item x="263"/>
        <item x="262"/>
        <item x="66"/>
        <item x="416"/>
        <item x="14"/>
        <item x="56"/>
        <item x="242"/>
        <item x="250"/>
        <item x="167"/>
        <item x="479"/>
        <item x="29"/>
        <item x="435"/>
        <item x="36"/>
        <item x="368"/>
        <item x="294"/>
        <item x="31"/>
        <item x="230"/>
        <item x="342"/>
        <item x="70"/>
        <item x="305"/>
        <item x="223"/>
        <item x="460"/>
        <item x="35"/>
        <item x="241"/>
        <item x="444"/>
        <item x="421"/>
        <item x="319"/>
        <item x="458"/>
        <item x="137"/>
        <item x="97"/>
        <item x="170"/>
        <item x="445"/>
        <item x="502"/>
        <item x="485"/>
        <item x="430"/>
        <item x="159"/>
        <item x="51"/>
        <item x="164"/>
        <item x="284"/>
        <item x="162"/>
        <item x="418"/>
        <item x="78"/>
        <item x="13"/>
        <item x="446"/>
        <item x="106"/>
        <item x="255"/>
        <item x="192"/>
        <item x="321"/>
        <item x="224"/>
        <item x="110"/>
        <item x="95"/>
        <item x="10"/>
        <item x="68"/>
        <item x="258"/>
        <item x="362"/>
        <item x="180"/>
        <item x="11"/>
        <item x="6"/>
        <item x="203"/>
        <item x="79"/>
        <item x="302"/>
        <item x="134"/>
        <item x="49"/>
        <item x="498"/>
        <item x="42"/>
        <item x="209"/>
        <item x="336"/>
        <item x="57"/>
        <item x="178"/>
        <item x="251"/>
        <item x="2"/>
        <item x="69"/>
        <item x="121"/>
        <item x="63"/>
        <item x="127"/>
        <item x="474"/>
        <item x="491"/>
        <item x="90"/>
        <item x="187"/>
        <item x="353"/>
        <item x="62"/>
        <item x="75"/>
        <item x="195"/>
        <item x="131"/>
        <item x="350"/>
        <item x="189"/>
        <item x="266"/>
        <item x="324"/>
        <item x="503"/>
        <item x="59"/>
        <item x="39"/>
        <item x="247"/>
        <item x="451"/>
        <item x="314"/>
        <item x="415"/>
        <item x="249"/>
        <item x="118"/>
        <item x="253"/>
        <item x="91"/>
        <item x="40"/>
        <item x="422"/>
        <item x="105"/>
        <item x="22"/>
        <item x="401"/>
        <item x="496"/>
        <item x="409"/>
        <item x="165"/>
        <item x="501"/>
        <item x="226"/>
        <item x="58"/>
        <item x="64"/>
        <item x="264"/>
        <item x="184"/>
        <item x="312"/>
        <item x="473"/>
        <item x="328"/>
        <item x="20"/>
        <item x="139"/>
        <item x="269"/>
        <item x="172"/>
        <item x="81"/>
        <item x="358"/>
        <item x="225"/>
        <item x="163"/>
        <item x="233"/>
        <item x="299"/>
        <item x="141"/>
        <item x="357"/>
        <item x="261"/>
        <item x="286"/>
        <item x="277"/>
        <item x="272"/>
        <item x="18"/>
        <item x="490"/>
        <item x="19"/>
        <item x="440"/>
        <item x="316"/>
        <item x="405"/>
        <item x="3"/>
        <item x="278"/>
        <item x="320"/>
        <item x="330"/>
        <item x="52"/>
        <item x="32"/>
        <item x="354"/>
        <item x="447"/>
        <item x="116"/>
        <item x="413"/>
        <item x="455"/>
        <item x="135"/>
        <item x="426"/>
        <item x="442"/>
        <item x="275"/>
        <item x="193"/>
        <item x="46"/>
        <item x="351"/>
        <item x="228"/>
        <item x="112"/>
        <item x="379"/>
        <item x="363"/>
        <item x="428"/>
        <item x="245"/>
        <item x="80"/>
        <item x="43"/>
        <item x="207"/>
        <item x="129"/>
        <item x="142"/>
        <item x="436"/>
        <item x="72"/>
        <item x="475"/>
        <item x="166"/>
        <item x="331"/>
        <item x="439"/>
        <item x="390"/>
        <item x="92"/>
        <item x="120"/>
        <item x="229"/>
        <item x="145"/>
        <item x="248"/>
        <item x="16"/>
        <item x="54"/>
        <item x="252"/>
        <item x="408"/>
        <item x="392"/>
        <item x="497"/>
        <item x="259"/>
        <item x="500"/>
        <item x="218"/>
        <item x="402"/>
        <item x="382"/>
        <item x="470"/>
        <item x="132"/>
        <item x="271"/>
        <item x="423"/>
        <item x="201"/>
        <item x="365"/>
        <item x="489"/>
        <item x="267"/>
        <item x="307"/>
        <item x="217"/>
        <item x="76"/>
        <item x="493"/>
        <item x="487"/>
        <item x="366"/>
        <item x="399"/>
        <item x="182"/>
        <item x="411"/>
        <item x="454"/>
        <item x="300"/>
        <item x="459"/>
        <item x="287"/>
        <item x="309"/>
        <item x="433"/>
        <item x="60"/>
        <item x="123"/>
        <item x="472"/>
        <item x="377"/>
        <item x="291"/>
        <item x="124"/>
        <item x="158"/>
        <item x="256"/>
        <item x="374"/>
        <item x="104"/>
        <item x="303"/>
        <item x="355"/>
        <item x="199"/>
        <item x="361"/>
        <item x="323"/>
        <item x="467"/>
        <item x="246"/>
        <item x="108"/>
        <item x="419"/>
        <item x="333"/>
        <item x="499"/>
        <item x="144"/>
        <item x="191"/>
        <item x="456"/>
        <item x="61"/>
        <item x="283"/>
        <item x="33"/>
        <item x="315"/>
        <item x="77"/>
        <item x="221"/>
        <item x="98"/>
        <item x="88"/>
        <item x="114"/>
        <item x="281"/>
        <item x="334"/>
        <item x="214"/>
        <item x="376"/>
        <item x="231"/>
        <item x="453"/>
        <item x="130"/>
        <item x="384"/>
        <item x="464"/>
        <item x="414"/>
        <item x="26"/>
        <item x="238"/>
        <item x="476"/>
        <item x="410"/>
        <item x="478"/>
        <item x="126"/>
        <item x="462"/>
        <item x="136"/>
        <item x="213"/>
        <item x="210"/>
        <item x="417"/>
        <item x="257"/>
        <item x="449"/>
        <item x="425"/>
        <item x="101"/>
        <item x="343"/>
        <item x="84"/>
        <item x="406"/>
        <item x="222"/>
        <item x="388"/>
        <item x="232"/>
        <item x="292"/>
        <item x="285"/>
        <item x="147"/>
        <item x="219"/>
        <item x="369"/>
        <item x="50"/>
        <item x="372"/>
        <item x="268"/>
        <item x="296"/>
        <item x="339"/>
        <item x="443"/>
        <item x="65"/>
        <item x="270"/>
        <item x="318"/>
        <item x="398"/>
        <item x="71"/>
        <item x="356"/>
        <item x="282"/>
        <item x="196"/>
        <item x="337"/>
        <item x="288"/>
        <item x="190"/>
        <item x="483"/>
        <item x="329"/>
        <item x="117"/>
        <item x="463"/>
        <item x="373"/>
        <item x="431"/>
        <item x="280"/>
        <item x="85"/>
        <item x="364"/>
        <item x="465"/>
        <item x="394"/>
        <item x="215"/>
        <item x="396"/>
        <item x="289"/>
        <item x="53"/>
        <item x="311"/>
        <item x="466"/>
        <item x="28"/>
        <item x="279"/>
        <item x="367"/>
        <item x="338"/>
        <item x="298"/>
        <item x="395"/>
        <item x="432"/>
        <item x="227"/>
        <item x="240"/>
        <item x="265"/>
        <item x="111"/>
        <item x="23"/>
        <item x="438"/>
        <item x="100"/>
        <item x="276"/>
        <item x="102"/>
        <item x="380"/>
        <item x="450"/>
        <item x="480"/>
        <item x="301"/>
        <item x="152"/>
        <item x="206"/>
        <item x="383"/>
        <item x="381"/>
        <item x="387"/>
        <item x="83"/>
        <item x="327"/>
        <item x="359"/>
        <item x="208"/>
        <item x="385"/>
        <item x="113"/>
        <item x="448"/>
        <item x="482"/>
        <item x="322"/>
        <item x="420"/>
        <item x="481"/>
        <item x="348"/>
        <item x="119"/>
        <item x="243"/>
        <item x="441"/>
        <item x="200"/>
        <item x="494"/>
        <item x="457"/>
        <item x="352"/>
        <item x="93"/>
        <item x="424"/>
        <item x="325"/>
        <item x="335"/>
        <item x="150"/>
        <item x="346"/>
        <item x="205"/>
        <item x="437"/>
        <item x="161"/>
        <item x="25"/>
        <item x="290"/>
        <item x="495"/>
        <item x="341"/>
        <item x="434"/>
        <item x="183"/>
        <item x="461"/>
        <item x="427"/>
        <item t="default"/>
      </items>
    </pivotField>
    <pivotField compact="0" showAll="0">
      <items count="6">
        <item x="0"/>
        <item x="4"/>
        <item x="1"/>
        <item x="2"/>
        <item x="3"/>
        <item t="default"/>
      </items>
    </pivotField>
    <pivotField dataField="1" compact="0" showAll="0">
      <items count="881">
        <item x="774"/>
        <item x="556"/>
        <item x="447"/>
        <item x="97"/>
        <item x="444"/>
        <item x="654"/>
        <item x="557"/>
        <item x="828"/>
        <item x="515"/>
        <item x="254"/>
        <item x="203"/>
        <item x="771"/>
        <item x="123"/>
        <item x="320"/>
        <item x="13"/>
        <item x="820"/>
        <item x="8"/>
        <item x="858"/>
        <item x="577"/>
        <item x="108"/>
        <item x="412"/>
        <item x="804"/>
        <item x="208"/>
        <item x="590"/>
        <item x="677"/>
        <item x="825"/>
        <item x="700"/>
        <item x="871"/>
        <item x="572"/>
        <item x="434"/>
        <item x="698"/>
        <item x="868"/>
        <item x="448"/>
        <item x="1"/>
        <item x="827"/>
        <item x="45"/>
        <item x="782"/>
        <item x="547"/>
        <item x="288"/>
        <item x="508"/>
        <item x="124"/>
        <item x="231"/>
        <item x="744"/>
        <item x="672"/>
        <item x="99"/>
        <item x="186"/>
        <item x="183"/>
        <item x="651"/>
        <item x="347"/>
        <item x="736"/>
        <item x="637"/>
        <item x="188"/>
        <item x="230"/>
        <item x="62"/>
        <item x="38"/>
        <item x="773"/>
        <item x="849"/>
        <item x="221"/>
        <item x="797"/>
        <item x="597"/>
        <item x="422"/>
        <item x="241"/>
        <item x="31"/>
        <item x="496"/>
        <item x="796"/>
        <item x="753"/>
        <item x="387"/>
        <item x="10"/>
        <item x="338"/>
        <item x="506"/>
        <item x="466"/>
        <item x="391"/>
        <item x="249"/>
        <item x="780"/>
        <item x="394"/>
        <item x="245"/>
        <item x="653"/>
        <item x="747"/>
        <item x="46"/>
        <item x="259"/>
        <item x="185"/>
        <item x="28"/>
        <item x="105"/>
        <item x="494"/>
        <item x="500"/>
        <item x="569"/>
        <item x="767"/>
        <item x="22"/>
        <item x="76"/>
        <item x="366"/>
        <item x="499"/>
        <item x="82"/>
        <item x="53"/>
        <item x="205"/>
        <item x="333"/>
        <item x="497"/>
        <item x="701"/>
        <item x="291"/>
        <item x="96"/>
        <item x="184"/>
        <item x="568"/>
        <item x="129"/>
        <item x="234"/>
        <item x="749"/>
        <item x="143"/>
        <item x="130"/>
        <item x="669"/>
        <item x="127"/>
        <item x="19"/>
        <item x="673"/>
        <item x="21"/>
        <item x="34"/>
        <item x="312"/>
        <item x="591"/>
        <item x="363"/>
        <item x="413"/>
        <item x="800"/>
        <item x="63"/>
        <item x="346"/>
        <item x="639"/>
        <item x="579"/>
        <item x="720"/>
        <item x="640"/>
        <item x="273"/>
        <item x="155"/>
        <item x="856"/>
        <item x="666"/>
        <item x="792"/>
        <item x="593"/>
        <item x="318"/>
        <item x="552"/>
        <item x="583"/>
        <item x="17"/>
        <item x="861"/>
        <item x="778"/>
        <item x="471"/>
        <item x="843"/>
        <item x="301"/>
        <item x="565"/>
        <item x="321"/>
        <item x="411"/>
        <item x="115"/>
        <item x="857"/>
        <item x="757"/>
        <item x="813"/>
        <item x="562"/>
        <item x="163"/>
        <item x="293"/>
        <item x="257"/>
        <item x="711"/>
        <item x="150"/>
        <item x="488"/>
        <item x="199"/>
        <item x="178"/>
        <item x="483"/>
        <item x="160"/>
        <item x="256"/>
        <item x="233"/>
        <item x="835"/>
        <item x="89"/>
        <item x="634"/>
        <item x="685"/>
        <item x="769"/>
        <item x="136"/>
        <item x="476"/>
        <item x="261"/>
        <item x="431"/>
        <item x="821"/>
        <item x="754"/>
        <item x="126"/>
        <item x="511"/>
        <item x="54"/>
        <item x="875"/>
        <item x="587"/>
        <item x="490"/>
        <item x="322"/>
        <item x="314"/>
        <item x="872"/>
        <item x="691"/>
        <item x="50"/>
        <item x="582"/>
        <item x="840"/>
        <item x="277"/>
        <item x="834"/>
        <item x="212"/>
        <item x="7"/>
        <item x="627"/>
        <item x="176"/>
        <item x="491"/>
        <item x="693"/>
        <item x="606"/>
        <item x="770"/>
        <item x="71"/>
        <item x="216"/>
        <item x="674"/>
        <item x="284"/>
        <item x="100"/>
        <item x="286"/>
        <item x="549"/>
        <item x="432"/>
        <item x="462"/>
        <item x="479"/>
        <item x="83"/>
        <item x="173"/>
        <item x="107"/>
        <item x="756"/>
        <item x="139"/>
        <item x="72"/>
        <item x="335"/>
        <item x="280"/>
        <item x="235"/>
        <item x="852"/>
        <item x="518"/>
        <item x="730"/>
        <item x="215"/>
        <item x="9"/>
        <item x="223"/>
        <item x="403"/>
        <item x="148"/>
        <item x="25"/>
        <item x="830"/>
        <item x="316"/>
        <item x="632"/>
        <item x="340"/>
        <item x="370"/>
        <item x="570"/>
        <item x="341"/>
        <item x="604"/>
        <item x="417"/>
        <item x="74"/>
        <item x="357"/>
        <item x="375"/>
        <item x="247"/>
        <item x="836"/>
        <item x="761"/>
        <item x="61"/>
        <item x="648"/>
        <item x="826"/>
        <item x="307"/>
        <item x="833"/>
        <item x="791"/>
        <item x="158"/>
        <item x="554"/>
        <item x="650"/>
        <item x="468"/>
        <item x="35"/>
        <item x="449"/>
        <item x="302"/>
        <item x="427"/>
        <item x="344"/>
        <item x="167"/>
        <item x="200"/>
        <item x="658"/>
        <item x="237"/>
        <item x="624"/>
        <item x="699"/>
        <item x="210"/>
        <item x="528"/>
        <item x="367"/>
        <item x="870"/>
        <item x="423"/>
        <item x="194"/>
        <item x="298"/>
        <item x="705"/>
        <item x="229"/>
        <item x="243"/>
        <item x="336"/>
        <item x="52"/>
        <item x="814"/>
        <item x="132"/>
        <item x="601"/>
        <item x="161"/>
        <item x="662"/>
        <item x="51"/>
        <item x="602"/>
        <item x="272"/>
        <item x="120"/>
        <item x="324"/>
        <item x="788"/>
        <item x="368"/>
        <item x="197"/>
        <item x="702"/>
        <item x="169"/>
        <item x="477"/>
        <item x="211"/>
        <item x="351"/>
        <item x="724"/>
        <item x="162"/>
        <item x="404"/>
        <item x="625"/>
        <item x="805"/>
        <item x="853"/>
        <item x="180"/>
        <item x="741"/>
        <item x="536"/>
        <item x="222"/>
        <item x="271"/>
        <item x="503"/>
        <item x="551"/>
        <item x="869"/>
        <item x="313"/>
        <item x="529"/>
        <item x="64"/>
        <item x="85"/>
        <item x="251"/>
        <item x="786"/>
        <item x="684"/>
        <item x="655"/>
        <item x="612"/>
        <item x="610"/>
        <item x="156"/>
        <item x="121"/>
        <item x="686"/>
        <item x="112"/>
        <item x="0"/>
        <item x="877"/>
        <item x="456"/>
        <item x="763"/>
        <item x="236"/>
        <item x="623"/>
        <item x="67"/>
        <item x="24"/>
        <item x="304"/>
        <item x="801"/>
        <item x="841"/>
        <item x="206"/>
        <item x="122"/>
        <item x="501"/>
        <item x="818"/>
        <item x="546"/>
        <item x="876"/>
        <item x="209"/>
        <item x="709"/>
        <item x="187"/>
        <item x="153"/>
        <item x="694"/>
        <item x="710"/>
        <item x="846"/>
        <item x="558"/>
        <item x="217"/>
        <item x="816"/>
        <item x="372"/>
        <item x="839"/>
        <item x="356"/>
        <item x="102"/>
        <item x="111"/>
        <item x="177"/>
        <item x="135"/>
        <item x="682"/>
        <item x="837"/>
        <item x="660"/>
        <item x="16"/>
        <item x="866"/>
        <item x="454"/>
        <item x="37"/>
        <item x="401"/>
        <item x="386"/>
        <item x="802"/>
        <item x="524"/>
        <item x="352"/>
        <item x="459"/>
        <item x="452"/>
        <item x="342"/>
        <item x="665"/>
        <item x="30"/>
        <item x="219"/>
        <item x="369"/>
        <item x="349"/>
        <item x="688"/>
        <item x="309"/>
        <item x="246"/>
        <item x="576"/>
        <item x="250"/>
        <item x="543"/>
        <item x="65"/>
        <item x="103"/>
        <item x="533"/>
        <item x="564"/>
        <item x="636"/>
        <item x="289"/>
        <item x="575"/>
        <item x="823"/>
        <item x="278"/>
        <item x="109"/>
        <item x="631"/>
        <item x="39"/>
        <item x="620"/>
        <item x="42"/>
        <item x="498"/>
        <item x="740"/>
        <item x="433"/>
        <item x="538"/>
        <item x="408"/>
        <item x="49"/>
        <item x="192"/>
        <item x="803"/>
        <item x="426"/>
        <item x="706"/>
        <item x="149"/>
        <item x="164"/>
        <item x="117"/>
        <item x="862"/>
        <item x="689"/>
        <item x="224"/>
        <item x="855"/>
        <item x="381"/>
        <item x="5"/>
        <item x="395"/>
        <item x="151"/>
        <item x="509"/>
        <item x="598"/>
        <item x="60"/>
        <item x="292"/>
        <item x="523"/>
        <item x="798"/>
        <item x="717"/>
        <item x="4"/>
        <item x="141"/>
        <item x="41"/>
        <item x="299"/>
        <item x="822"/>
        <item x="618"/>
        <item x="104"/>
        <item x="614"/>
        <item x="128"/>
        <item x="628"/>
        <item x="465"/>
        <item x="154"/>
        <item x="486"/>
        <item x="443"/>
        <item x="548"/>
        <item x="819"/>
        <item x="657"/>
        <item x="40"/>
        <item x="766"/>
        <item x="649"/>
        <item x="267"/>
        <item x="611"/>
        <item x="751"/>
        <item x="824"/>
        <item x="420"/>
        <item x="748"/>
        <item x="319"/>
        <item x="263"/>
        <item x="268"/>
        <item x="253"/>
        <item x="641"/>
        <item x="166"/>
        <item x="310"/>
        <item x="48"/>
        <item x="716"/>
        <item x="482"/>
        <item x="629"/>
        <item x="755"/>
        <item x="463"/>
        <item x="415"/>
        <item x="218"/>
        <item x="474"/>
        <item x="2"/>
        <item x="676"/>
        <item x="170"/>
        <item x="873"/>
        <item x="20"/>
        <item x="428"/>
        <item x="400"/>
        <item x="270"/>
        <item x="713"/>
        <item x="159"/>
        <item x="851"/>
        <item x="79"/>
        <item x="707"/>
        <item x="190"/>
        <item x="585"/>
        <item x="390"/>
        <item x="240"/>
        <item x="787"/>
        <item x="409"/>
        <item x="207"/>
        <item x="202"/>
        <item x="438"/>
        <item x="812"/>
        <item x="308"/>
        <item x="393"/>
        <item x="535"/>
        <item x="78"/>
        <item x="421"/>
        <item x="630"/>
        <item x="142"/>
        <item x="544"/>
        <item x="106"/>
        <item x="110"/>
        <item x="845"/>
        <item x="101"/>
        <item x="779"/>
        <item x="220"/>
        <item x="125"/>
        <item x="559"/>
        <item x="439"/>
        <item x="214"/>
        <item x="573"/>
        <item x="520"/>
        <item x="182"/>
        <item x="644"/>
        <item x="55"/>
        <item x="295"/>
        <item x="315"/>
        <item x="66"/>
        <item x="329"/>
        <item x="692"/>
        <item x="14"/>
        <item x="147"/>
        <item x="98"/>
        <item x="785"/>
        <item x="294"/>
        <item x="429"/>
        <item x="829"/>
        <item x="57"/>
        <item x="838"/>
        <item x="708"/>
        <item x="842"/>
        <item x="172"/>
        <item x="385"/>
        <item x="510"/>
        <item x="201"/>
        <item x="777"/>
        <item x="493"/>
        <item x="534"/>
        <item x="379"/>
        <item x="281"/>
        <item x="525"/>
        <item x="407"/>
        <item x="638"/>
        <item x="287"/>
        <item x="878"/>
        <item x="446"/>
        <item x="242"/>
        <item x="36"/>
        <item x="305"/>
        <item x="742"/>
        <item x="697"/>
        <item x="15"/>
        <item x="605"/>
        <item x="608"/>
        <item x="726"/>
        <item x="668"/>
        <item x="600"/>
        <item x="874"/>
        <item x="88"/>
        <item x="619"/>
        <item x="727"/>
        <item x="137"/>
        <item x="191"/>
        <item x="643"/>
        <item x="642"/>
        <item x="365"/>
        <item x="92"/>
        <item x="436"/>
        <item x="531"/>
        <item x="282"/>
        <item x="371"/>
        <item x="350"/>
        <item x="425"/>
        <item x="260"/>
        <item x="809"/>
        <item x="521"/>
        <item x="33"/>
        <item x="719"/>
        <item x="831"/>
        <item x="364"/>
        <item x="337"/>
        <item x="539"/>
        <item x="430"/>
        <item x="343"/>
        <item x="380"/>
        <item x="330"/>
        <item x="679"/>
        <item x="77"/>
        <item x="687"/>
        <item x="464"/>
        <item x="81"/>
        <item x="781"/>
        <item x="355"/>
        <item x="578"/>
        <item x="43"/>
        <item x="722"/>
        <item x="165"/>
        <item x="94"/>
        <item x="26"/>
        <item x="47"/>
        <item x="119"/>
        <item x="844"/>
        <item x="663"/>
        <item x="171"/>
        <item x="723"/>
        <item x="440"/>
        <item x="12"/>
        <item x="189"/>
        <item x="144"/>
        <item x="784"/>
        <item x="478"/>
        <item x="472"/>
        <item x="517"/>
        <item x="596"/>
        <item x="553"/>
        <item x="232"/>
        <item x="715"/>
        <item x="225"/>
        <item x="458"/>
        <item x="228"/>
        <item x="815"/>
        <item x="776"/>
        <item x="238"/>
        <item x="675"/>
        <item x="704"/>
        <item x="392"/>
        <item x="810"/>
        <item x="56"/>
        <item x="728"/>
        <item x="84"/>
        <item x="326"/>
        <item x="90"/>
        <item x="213"/>
        <item x="18"/>
        <item x="118"/>
        <item x="519"/>
        <item x="262"/>
        <item x="859"/>
        <item x="360"/>
        <item x="264"/>
        <item x="331"/>
        <item x="609"/>
        <item x="114"/>
        <item x="603"/>
        <item x="504"/>
        <item x="327"/>
        <item x="175"/>
        <item x="738"/>
        <item x="729"/>
        <item x="306"/>
        <item x="195"/>
        <item x="157"/>
        <item x="87"/>
        <item x="599"/>
        <item x="863"/>
        <item x="373"/>
        <item x="550"/>
        <item x="759"/>
        <item x="560"/>
        <item x="745"/>
        <item x="6"/>
        <item x="680"/>
        <item x="734"/>
        <item x="671"/>
        <item x="419"/>
        <item x="339"/>
        <item x="374"/>
        <item x="11"/>
        <item x="328"/>
        <item x="311"/>
        <item x="174"/>
        <item x="714"/>
        <item x="811"/>
        <item x="615"/>
        <item x="645"/>
        <item x="790"/>
        <item x="752"/>
        <item x="563"/>
        <item x="376"/>
        <item x="198"/>
        <item x="75"/>
        <item x="806"/>
        <item x="678"/>
        <item x="44"/>
        <item x="750"/>
        <item x="860"/>
        <item x="762"/>
        <item x="334"/>
        <item x="735"/>
        <item x="204"/>
        <item x="484"/>
        <item x="406"/>
        <item x="789"/>
        <item x="594"/>
        <item x="325"/>
        <item x="703"/>
        <item x="457"/>
        <item x="70"/>
        <item x="168"/>
        <item x="377"/>
        <item x="453"/>
        <item x="571"/>
        <item x="332"/>
        <item x="91"/>
        <item x="276"/>
        <item x="794"/>
        <item x="475"/>
        <item x="768"/>
        <item x="469"/>
        <item x="621"/>
        <item x="737"/>
        <item x="616"/>
        <item x="647"/>
        <item x="580"/>
        <item x="473"/>
        <item x="513"/>
        <item x="526"/>
        <item x="424"/>
        <item x="661"/>
        <item x="512"/>
        <item x="275"/>
        <item x="196"/>
        <item x="303"/>
        <item x="502"/>
        <item x="258"/>
        <item x="586"/>
        <item x="537"/>
        <item x="540"/>
        <item x="775"/>
        <item x="58"/>
        <item x="664"/>
        <item x="252"/>
        <item x="290"/>
        <item x="179"/>
        <item x="505"/>
        <item x="239"/>
        <item x="656"/>
        <item x="23"/>
        <item x="764"/>
        <item x="348"/>
        <item x="353"/>
        <item x="832"/>
        <item x="389"/>
        <item x="384"/>
        <item x="266"/>
        <item x="542"/>
        <item x="514"/>
        <item x="29"/>
        <item x="396"/>
        <item x="733"/>
        <item x="416"/>
        <item x="255"/>
        <item x="323"/>
        <item x="854"/>
        <item x="3"/>
        <item x="441"/>
        <item x="541"/>
        <item x="244"/>
        <item x="760"/>
        <item x="455"/>
        <item x="248"/>
        <item x="279"/>
        <item x="283"/>
        <item x="725"/>
        <item x="626"/>
        <item x="410"/>
        <item x="345"/>
        <item x="80"/>
        <item x="93"/>
        <item x="445"/>
        <item x="362"/>
        <item x="361"/>
        <item x="865"/>
        <item x="696"/>
        <item x="652"/>
        <item x="68"/>
        <item x="86"/>
        <item x="588"/>
        <item x="227"/>
        <item x="772"/>
        <item x="437"/>
        <item x="450"/>
        <item x="532"/>
        <item x="133"/>
        <item x="847"/>
        <item x="516"/>
        <item x="765"/>
        <item x="297"/>
        <item x="617"/>
        <item x="383"/>
        <item x="116"/>
        <item x="495"/>
        <item x="134"/>
        <item x="879"/>
        <item x="581"/>
        <item x="460"/>
        <item x="492"/>
        <item x="635"/>
        <item x="746"/>
        <item x="793"/>
        <item x="681"/>
        <item x="300"/>
        <item x="265"/>
        <item x="555"/>
        <item x="527"/>
        <item x="507"/>
        <item x="567"/>
        <item x="152"/>
        <item x="743"/>
        <item x="584"/>
        <item x="731"/>
        <item x="595"/>
        <item x="451"/>
        <item x="659"/>
        <item x="817"/>
        <item x="470"/>
        <item x="138"/>
        <item x="758"/>
        <item x="382"/>
        <item x="435"/>
        <item x="480"/>
        <item x="269"/>
        <item x="145"/>
        <item x="354"/>
        <item x="69"/>
        <item x="405"/>
        <item x="461"/>
        <item x="27"/>
        <item x="795"/>
        <item x="358"/>
        <item x="867"/>
        <item x="113"/>
        <item x="285"/>
        <item x="808"/>
        <item x="418"/>
        <item x="566"/>
        <item x="274"/>
        <item x="864"/>
        <item x="489"/>
        <item x="732"/>
        <item x="485"/>
        <item x="592"/>
        <item x="561"/>
        <item x="487"/>
        <item x="414"/>
        <item x="667"/>
        <item x="695"/>
        <item x="589"/>
        <item x="442"/>
        <item x="712"/>
        <item x="59"/>
        <item x="622"/>
        <item x="522"/>
        <item x="131"/>
        <item x="402"/>
        <item x="613"/>
        <item x="388"/>
        <item x="481"/>
        <item x="848"/>
        <item x="467"/>
        <item x="95"/>
        <item x="73"/>
        <item x="646"/>
        <item x="721"/>
        <item x="633"/>
        <item x="783"/>
        <item x="296"/>
        <item x="574"/>
        <item x="807"/>
        <item x="181"/>
        <item x="799"/>
        <item x="739"/>
        <item x="146"/>
        <item x="397"/>
        <item x="226"/>
        <item x="683"/>
        <item x="378"/>
        <item x="545"/>
        <item x="359"/>
        <item x="140"/>
        <item x="530"/>
        <item x="317"/>
        <item x="398"/>
        <item x="32"/>
        <item x="690"/>
        <item x="718"/>
        <item x="607"/>
        <item x="193"/>
        <item x="399"/>
        <item x="850"/>
        <item x="670"/>
        <item t="default"/>
      </items>
    </pivotField>
    <pivotField compact="0" showAll="0">
      <items count="1001">
        <item x="873"/>
        <item x="605"/>
        <item x="868"/>
        <item x="482"/>
        <item x="201"/>
        <item x="478"/>
        <item x="606"/>
        <item x="99"/>
        <item x="937"/>
        <item x="880"/>
        <item x="720"/>
        <item x="265"/>
        <item x="556"/>
        <item x="213"/>
        <item x="162"/>
        <item x="646"/>
        <item x="339"/>
        <item x="869"/>
        <item x="13"/>
        <item x="127"/>
        <item x="928"/>
        <item x="8"/>
        <item x="112"/>
        <item x="227"/>
        <item x="972"/>
        <item x="817"/>
        <item x="628"/>
        <item x="912"/>
        <item x="439"/>
        <item x="296"/>
        <item x="781"/>
        <item x="948"/>
        <item x="641"/>
        <item x="218"/>
        <item x="752"/>
        <item x="783"/>
        <item x="987"/>
        <item x="934"/>
        <item x="623"/>
        <item x="990"/>
        <item x="464"/>
        <item x="882"/>
        <item x="483"/>
        <item x="1"/>
        <item x="301"/>
        <item x="128"/>
        <item x="594"/>
        <item x="955"/>
        <item x="936"/>
        <item x="839"/>
        <item x="496"/>
        <item x="45"/>
        <item x="242"/>
        <item x="747"/>
        <item x="101"/>
        <item x="779"/>
        <item x="549"/>
        <item x="578"/>
        <item x="190"/>
        <item x="978"/>
        <item x="829"/>
        <item x="38"/>
        <item x="210"/>
        <item x="796"/>
        <item x="193"/>
        <item x="441"/>
        <item x="981"/>
        <item x="716"/>
        <item x="232"/>
        <item x="872"/>
        <item x="700"/>
        <item x="31"/>
        <item x="547"/>
        <item x="63"/>
        <item x="901"/>
        <item x="252"/>
        <item x="619"/>
        <item x="850"/>
        <item x="367"/>
        <item x="195"/>
        <item x="652"/>
        <item x="962"/>
        <item x="450"/>
        <item x="814"/>
        <item x="241"/>
        <item x="357"/>
        <item x="409"/>
        <item x="664"/>
        <item x="546"/>
        <item x="589"/>
        <item x="715"/>
        <item x="503"/>
        <item x="719"/>
        <item x="535"/>
        <item x="746"/>
        <item x="723"/>
        <item x="10"/>
        <item x="336"/>
        <item x="900"/>
        <item x="416"/>
        <item x="879"/>
        <item x="192"/>
        <item x="270"/>
        <item x="260"/>
        <item x="842"/>
        <item x="109"/>
        <item x="413"/>
        <item x="763"/>
        <item x="185"/>
        <item x="28"/>
        <item x="687"/>
        <item x="22"/>
        <item x="256"/>
        <item x="540"/>
        <item x="471"/>
        <item x="864"/>
        <item x="333"/>
        <item x="620"/>
        <item x="46"/>
        <item x="576"/>
        <item x="352"/>
        <item x="533"/>
        <item x="131"/>
        <item x="648"/>
        <item x="784"/>
        <item x="83"/>
        <item x="537"/>
        <item x="725"/>
        <item x="910"/>
        <item x="845"/>
        <item x="968"/>
        <item x="54"/>
        <item x="97"/>
        <item x="683"/>
        <item x="539"/>
        <item x="77"/>
        <item x="215"/>
        <item x="191"/>
        <item x="440"/>
        <item x="150"/>
        <item x="495"/>
        <item x="64"/>
        <item x="765"/>
        <item x="387"/>
        <item x="133"/>
        <item x="147"/>
        <item x="890"/>
        <item x="739"/>
        <item x="245"/>
        <item x="618"/>
        <item x="905"/>
        <item x="630"/>
        <item x="467"/>
        <item x="532"/>
        <item x="432"/>
        <item x="134"/>
        <item x="305"/>
        <item x="98"/>
        <item x="702"/>
        <item x="19"/>
        <item x="970"/>
        <item x="481"/>
        <item x="645"/>
        <item x="743"/>
        <item x="384"/>
        <item x="536"/>
        <item x="601"/>
        <item x="284"/>
        <item x="160"/>
        <item x="457"/>
        <item x="329"/>
        <item x="366"/>
        <item x="748"/>
        <item x="196"/>
        <item x="21"/>
        <item x="34"/>
        <item x="740"/>
        <item x="808"/>
        <item x="509"/>
        <item x="642"/>
        <item x="611"/>
        <item x="119"/>
        <item x="309"/>
        <item x="169"/>
        <item x="854"/>
        <item x="902"/>
        <item x="971"/>
        <item x="317"/>
        <item x="975"/>
        <item x="895"/>
        <item x="704"/>
        <item x="877"/>
        <item x="438"/>
        <item x="977"/>
        <item x="17"/>
        <item x="634"/>
        <item x="337"/>
        <item x="184"/>
        <item x="166"/>
        <item x="505"/>
        <item x="896"/>
        <item x="871"/>
        <item x="921"/>
        <item x="795"/>
        <item x="244"/>
        <item x="208"/>
        <item x="665"/>
        <item x="615"/>
        <item x="155"/>
        <item x="521"/>
        <item x="340"/>
        <item x="552"/>
        <item x="267"/>
        <item x="272"/>
        <item x="130"/>
        <item x="956"/>
        <item x="103"/>
        <item x="331"/>
        <item x="140"/>
        <item x="268"/>
        <item x="851"/>
        <item x="731"/>
        <item x="341"/>
        <item x="866"/>
        <item x="944"/>
        <item x="304"/>
        <item x="929"/>
        <item x="514"/>
        <item x="526"/>
        <item x="697"/>
        <item x="50"/>
        <item x="90"/>
        <item x="994"/>
        <item x="774"/>
        <item x="952"/>
        <item x="72"/>
        <item x="308"/>
        <item x="108"/>
        <item x="943"/>
        <item x="991"/>
        <item x="461"/>
        <item x="764"/>
        <item x="772"/>
        <item x="182"/>
        <item x="775"/>
        <item x="638"/>
        <item x="289"/>
        <item x="55"/>
        <item x="787"/>
        <item x="7"/>
        <item x="102"/>
        <item x="529"/>
        <item x="596"/>
        <item x="732"/>
        <item x="528"/>
        <item x="222"/>
        <item x="633"/>
        <item x="84"/>
        <item x="179"/>
        <item x="690"/>
        <item x="499"/>
        <item x="815"/>
        <item x="226"/>
        <item x="299"/>
        <item x="354"/>
        <item x="867"/>
        <item x="143"/>
        <item x="718"/>
        <item x="965"/>
        <item x="153"/>
        <item x="749"/>
        <item x="9"/>
        <item x="475"/>
        <item x="661"/>
        <item x="798"/>
        <item x="25"/>
        <item x="429"/>
        <item x="297"/>
        <item x="858"/>
        <item x="695"/>
        <item x="999"/>
        <item x="823"/>
        <item x="462"/>
        <item x="258"/>
        <item x="234"/>
        <item x="392"/>
        <item x="560"/>
        <item x="714"/>
        <item x="811"/>
        <item x="517"/>
        <item x="292"/>
        <item x="621"/>
        <item x="328"/>
        <item x="73"/>
        <item x="359"/>
        <item x="377"/>
        <item x="853"/>
        <item x="111"/>
        <item x="426"/>
        <item x="603"/>
        <item x="945"/>
        <item x="246"/>
        <item x="62"/>
        <item x="769"/>
        <item x="75"/>
        <item x="939"/>
        <item x="225"/>
        <item x="942"/>
        <item x="484"/>
        <item x="164"/>
        <item x="35"/>
        <item x="728"/>
        <item x="334"/>
        <item x="477"/>
        <item x="989"/>
        <item x="428"/>
        <item x="360"/>
        <item x="906"/>
        <item x="682"/>
        <item x="397"/>
        <item x="220"/>
        <item x="445"/>
        <item x="451"/>
        <item x="935"/>
        <item x="782"/>
        <item x="894"/>
        <item x="173"/>
        <item x="659"/>
        <item x="318"/>
        <item x="288"/>
        <item x="686"/>
        <item x="455"/>
        <item x="323"/>
        <item x="283"/>
        <item x="167"/>
        <item x="209"/>
        <item x="712"/>
        <item x="515"/>
        <item x="52"/>
        <item x="203"/>
        <item x="168"/>
        <item x="389"/>
        <item x="506"/>
        <item x="206"/>
        <item x="248"/>
        <item x="889"/>
        <item x="570"/>
        <item x="891"/>
        <item x="656"/>
        <item x="124"/>
        <item x="363"/>
        <item x="51"/>
        <item x="966"/>
        <item x="951"/>
        <item x="760"/>
        <item x="371"/>
        <item x="887"/>
        <item x="789"/>
        <item x="430"/>
        <item x="421"/>
        <item x="262"/>
        <item x="240"/>
        <item x="922"/>
        <item x="735"/>
        <item x="314"/>
        <item x="282"/>
        <item x="355"/>
        <item x="343"/>
        <item x="254"/>
        <item x="657"/>
        <item x="221"/>
        <item x="946"/>
        <item x="573"/>
        <item x="0"/>
        <item x="643"/>
        <item x="187"/>
        <item x="848"/>
        <item x="813"/>
        <item x="390"/>
        <item x="688"/>
        <item x="785"/>
        <item x="860"/>
        <item x="543"/>
        <item x="996"/>
        <item x="491"/>
        <item x="247"/>
        <item x="233"/>
        <item x="136"/>
        <item x="703"/>
        <item x="836"/>
        <item x="126"/>
        <item x="330"/>
        <item x="762"/>
        <item x="571"/>
        <item x="926"/>
        <item x="988"/>
        <item x="175"/>
        <item x="541"/>
        <item x="675"/>
        <item x="907"/>
        <item x="913"/>
        <item x="581"/>
        <item x="598"/>
        <item x="365"/>
        <item x="194"/>
        <item x="685"/>
        <item x="228"/>
        <item x="125"/>
        <item x="86"/>
        <item x="115"/>
        <item x="721"/>
        <item x="183"/>
        <item x="68"/>
        <item x="776"/>
        <item x="116"/>
        <item x="607"/>
        <item x="161"/>
        <item x="216"/>
        <item x="766"/>
        <item x="65"/>
        <item x="995"/>
        <item x="908"/>
        <item x="753"/>
        <item x="24"/>
        <item x="671"/>
        <item x="668"/>
        <item x="953"/>
        <item x="320"/>
        <item x="361"/>
        <item x="16"/>
        <item x="768"/>
        <item x="37"/>
        <item x="105"/>
        <item x="833"/>
        <item x="425"/>
        <item x="158"/>
        <item x="794"/>
        <item x="325"/>
        <item x="566"/>
        <item x="947"/>
        <item x="408"/>
        <item x="559"/>
        <item x="219"/>
        <item x="577"/>
        <item x="30"/>
        <item x="680"/>
        <item x="793"/>
        <item x="593"/>
        <item x="924"/>
        <item x="113"/>
        <item x="106"/>
        <item x="290"/>
        <item x="257"/>
        <item x="959"/>
        <item x="376"/>
        <item x="626"/>
        <item x="950"/>
        <item x="770"/>
        <item x="759"/>
        <item x="372"/>
        <item x="394"/>
        <item x="230"/>
        <item x="302"/>
        <item x="200"/>
        <item x="139"/>
        <item x="985"/>
        <item x="494"/>
        <item x="487"/>
        <item x="489"/>
        <item x="42"/>
        <item x="454"/>
        <item x="733"/>
        <item x="66"/>
        <item x="583"/>
        <item x="39"/>
        <item x="418"/>
        <item x="435"/>
        <item x="4"/>
        <item x="931"/>
        <item x="738"/>
        <item x="261"/>
        <item x="911"/>
        <item x="170"/>
        <item x="790"/>
        <item x="538"/>
        <item x="391"/>
        <item x="41"/>
        <item x="614"/>
        <item x="235"/>
        <item x="61"/>
        <item x="369"/>
        <item x="590"/>
        <item x="49"/>
        <item x="694"/>
        <item x="653"/>
        <item x="315"/>
        <item x="627"/>
        <item x="417"/>
        <item x="121"/>
        <item x="885"/>
        <item x="278"/>
        <item x="595"/>
        <item x="713"/>
        <item x="154"/>
        <item x="699"/>
        <item x="5"/>
        <item x="903"/>
        <item x="463"/>
        <item x="565"/>
        <item x="306"/>
        <item x="863"/>
        <item x="502"/>
        <item x="835"/>
        <item x="156"/>
        <item x="673"/>
        <item x="132"/>
        <item x="976"/>
        <item x="847"/>
        <item x="338"/>
        <item x="403"/>
        <item x="969"/>
        <item x="524"/>
        <item x="820"/>
        <item x="159"/>
        <item x="909"/>
        <item x="460"/>
        <item x="932"/>
        <item x="930"/>
        <item x="726"/>
        <item x="326"/>
        <item x="550"/>
        <item x="40"/>
        <item x="980"/>
        <item x="512"/>
        <item x="107"/>
        <item x="145"/>
        <item x="172"/>
        <item x="678"/>
        <item x="727"/>
        <item x="805"/>
        <item x="424"/>
        <item x="799"/>
        <item x="691"/>
        <item x="443"/>
        <item x="852"/>
        <item x="927"/>
        <item x="844"/>
        <item x="198"/>
        <item x="448"/>
        <item x="692"/>
        <item x="476"/>
        <item x="670"/>
        <item x="984"/>
        <item x="933"/>
        <item x="229"/>
        <item x="612"/>
        <item x="520"/>
        <item x="449"/>
        <item x="379"/>
        <item x="264"/>
        <item x="591"/>
        <item x="412"/>
        <item x="958"/>
        <item x="500"/>
        <item x="104"/>
        <item x="281"/>
        <item x="992"/>
        <item x="48"/>
        <item x="279"/>
        <item x="79"/>
        <item x="2"/>
        <item x="751"/>
        <item x="470"/>
        <item x="110"/>
        <item x="938"/>
        <item x="129"/>
        <item x="436"/>
        <item x="274"/>
        <item x="415"/>
        <item x="705"/>
        <item x="165"/>
        <item x="212"/>
        <item x="964"/>
        <item x="176"/>
        <item x="804"/>
        <item x="562"/>
        <item x="20"/>
        <item x="332"/>
        <item x="920"/>
        <item x="324"/>
        <item x="800"/>
        <item x="469"/>
        <item x="14"/>
        <item x="307"/>
        <item x="791"/>
        <item x="80"/>
        <item x="580"/>
        <item x="458"/>
        <item x="456"/>
        <item x="348"/>
        <item x="407"/>
        <item x="888"/>
        <item x="693"/>
        <item x="224"/>
        <item x="251"/>
        <item x="146"/>
        <item x="878"/>
        <item x="231"/>
        <item x="551"/>
        <item x="579"/>
        <item x="480"/>
        <item x="624"/>
        <item x="217"/>
        <item x="401"/>
        <item x="756"/>
        <item x="730"/>
        <item x="100"/>
        <item x="636"/>
        <item x="310"/>
        <item x="818"/>
        <item x="708"/>
        <item x="56"/>
        <item x="58"/>
        <item x="321"/>
        <item x="608"/>
        <item x="388"/>
        <item x="67"/>
        <item x="189"/>
        <item x="114"/>
        <item x="792"/>
        <item x="434"/>
        <item x="211"/>
        <item x="152"/>
        <item x="701"/>
        <item x="679"/>
        <item x="311"/>
        <item x="662"/>
        <item x="954"/>
        <item x="876"/>
        <item x="940"/>
        <item x="386"/>
        <item x="370"/>
        <item x="178"/>
        <item x="773"/>
        <item x="15"/>
        <item x="886"/>
        <item x="722"/>
        <item x="780"/>
        <item x="660"/>
        <item x="402"/>
        <item x="453"/>
        <item x="949"/>
        <item x="531"/>
        <item x="706"/>
        <item x="356"/>
        <item x="997"/>
        <item x="655"/>
        <item x="349"/>
        <item x="78"/>
        <item x="89"/>
        <item x="253"/>
        <item x="567"/>
        <item x="843"/>
        <item x="293"/>
        <item x="563"/>
        <item x="385"/>
        <item x="459"/>
        <item x="742"/>
        <item x="466"/>
        <item x="141"/>
        <item x="47"/>
        <item x="271"/>
        <item x="294"/>
        <item x="300"/>
        <item x="36"/>
        <item x="837"/>
        <item x="199"/>
        <item x="197"/>
        <item x="917"/>
        <item x="600"/>
        <item x="993"/>
        <item x="393"/>
        <item x="651"/>
        <item x="43"/>
        <item x="807"/>
        <item x="819"/>
        <item x="666"/>
        <item x="375"/>
        <item x="574"/>
        <item x="602"/>
        <item x="236"/>
        <item x="584"/>
        <item x="345"/>
        <item x="707"/>
        <item x="91"/>
        <item x="510"/>
        <item x="881"/>
        <item x="501"/>
        <item x="875"/>
        <item x="93"/>
        <item x="33"/>
        <item x="85"/>
        <item x="669"/>
        <item x="810"/>
        <item x="918"/>
        <item x="322"/>
        <item x="755"/>
        <item x="88"/>
        <item x="831"/>
        <item x="362"/>
        <item x="472"/>
        <item x="973"/>
        <item x="979"/>
        <item x="118"/>
        <item x="6"/>
        <item x="856"/>
        <item x="767"/>
        <item x="122"/>
        <item x="26"/>
        <item x="171"/>
        <item x="53"/>
        <item x="18"/>
        <item x="123"/>
        <item x="884"/>
        <item x="346"/>
        <item x="658"/>
        <item x="239"/>
        <item x="821"/>
        <item x="223"/>
        <item x="82"/>
        <item x="12"/>
        <item x="629"/>
        <item x="757"/>
        <item x="347"/>
        <item x="586"/>
        <item x="834"/>
        <item x="674"/>
        <item x="654"/>
        <item x="750"/>
        <item x="736"/>
        <item x="803"/>
        <item x="95"/>
        <item x="561"/>
        <item x="273"/>
        <item x="395"/>
        <item x="181"/>
        <item x="148"/>
        <item x="275"/>
        <item x="243"/>
        <item x="544"/>
        <item x="350"/>
        <item x="163"/>
        <item x="516"/>
        <item x="788"/>
        <item x="597"/>
        <item x="812"/>
        <item x="745"/>
        <item x="493"/>
        <item x="840"/>
        <item x="177"/>
        <item x="957"/>
        <item x="249"/>
        <item x="558"/>
        <item x="923"/>
        <item x="849"/>
        <item x="893"/>
        <item x="919"/>
        <item x="414"/>
        <item x="859"/>
        <item x="214"/>
        <item x="57"/>
        <item x="44"/>
        <item x="827"/>
        <item x="667"/>
        <item x="381"/>
        <item x="822"/>
        <item x="846"/>
        <item x="522"/>
        <item x="204"/>
        <item x="709"/>
        <item x="914"/>
        <item x="609"/>
        <item x="180"/>
        <item x="433"/>
        <item x="351"/>
        <item x="676"/>
        <item x="647"/>
        <item x="507"/>
        <item x="801"/>
        <item x="207"/>
        <item x="974"/>
        <item x="358"/>
        <item x="398"/>
        <item x="396"/>
        <item x="327"/>
        <item x="92"/>
        <item x="649"/>
        <item x="892"/>
        <item x="447"/>
        <item x="11"/>
        <item x="174"/>
        <item x="205"/>
        <item x="754"/>
        <item x="585"/>
        <item x="711"/>
        <item x="287"/>
        <item x="874"/>
        <item x="622"/>
        <item x="513"/>
        <item x="613"/>
        <item x="488"/>
        <item x="59"/>
        <item x="76"/>
        <item x="71"/>
        <item x="828"/>
        <item x="277"/>
        <item x="511"/>
        <item x="399"/>
        <item x="269"/>
        <item x="830"/>
        <item x="555"/>
        <item x="411"/>
        <item x="353"/>
        <item x="587"/>
        <item x="255"/>
        <item x="631"/>
        <item x="786"/>
        <item x="250"/>
        <item x="344"/>
        <item x="492"/>
        <item x="553"/>
        <item x="599"/>
        <item x="898"/>
        <item x="186"/>
        <item x="802"/>
        <item x="865"/>
        <item x="681"/>
        <item x="861"/>
        <item x="368"/>
        <item x="582"/>
        <item x="554"/>
        <item x="23"/>
        <item x="266"/>
        <item x="29"/>
        <item x="303"/>
        <item x="319"/>
        <item x="545"/>
        <item x="364"/>
        <item x="857"/>
        <item x="452"/>
        <item x="3"/>
        <item x="637"/>
        <item x="542"/>
        <item x="286"/>
        <item x="568"/>
        <item x="490"/>
        <item x="734"/>
        <item x="69"/>
        <item x="419"/>
        <item x="778"/>
        <item x="737"/>
        <item x="485"/>
        <item x="87"/>
        <item x="263"/>
        <item x="588"/>
        <item x="291"/>
        <item x="870"/>
        <item x="468"/>
        <item x="342"/>
        <item x="724"/>
        <item x="473"/>
        <item x="967"/>
        <item x="295"/>
        <item x="983"/>
        <item x="444"/>
        <item x="405"/>
        <item x="373"/>
        <item x="826"/>
        <item x="406"/>
        <item x="717"/>
        <item x="534"/>
        <item x="81"/>
        <item x="941"/>
        <item x="94"/>
        <item x="313"/>
        <item x="238"/>
        <item x="479"/>
        <item x="120"/>
        <item x="639"/>
        <item x="816"/>
        <item x="259"/>
        <item x="689"/>
        <item x="569"/>
        <item x="437"/>
        <item x="635"/>
        <item x="897"/>
        <item x="575"/>
        <item x="383"/>
        <item x="137"/>
        <item x="138"/>
        <item x="382"/>
        <item x="998"/>
        <item x="862"/>
        <item x="925"/>
        <item x="404"/>
        <item x="486"/>
        <item x="518"/>
        <item x="960"/>
        <item x="899"/>
        <item x="465"/>
        <item x="841"/>
        <item x="557"/>
        <item x="27"/>
        <item x="497"/>
        <item x="498"/>
        <item x="280"/>
        <item x="374"/>
        <item x="632"/>
        <item x="604"/>
        <item x="149"/>
        <item x="316"/>
        <item x="677"/>
        <item x="508"/>
        <item x="698"/>
        <item x="378"/>
        <item x="758"/>
        <item x="530"/>
        <item x="157"/>
        <item x="142"/>
        <item x="525"/>
        <item x="617"/>
        <item x="276"/>
        <item x="650"/>
        <item x="825"/>
        <item x="285"/>
        <item x="982"/>
        <item x="548"/>
        <item x="442"/>
        <item x="298"/>
        <item x="523"/>
        <item x="729"/>
        <item x="838"/>
        <item x="916"/>
        <item x="777"/>
        <item x="986"/>
        <item x="616"/>
        <item x="672"/>
        <item x="961"/>
        <item x="135"/>
        <item x="824"/>
        <item x="610"/>
        <item x="70"/>
        <item x="644"/>
        <item x="60"/>
        <item x="74"/>
        <item x="504"/>
        <item x="855"/>
        <item x="809"/>
        <item x="431"/>
        <item x="117"/>
        <item x="527"/>
        <item x="446"/>
        <item x="915"/>
        <item x="684"/>
        <item x="741"/>
        <item x="797"/>
        <item x="420"/>
        <item x="427"/>
        <item x="710"/>
        <item x="410"/>
        <item x="474"/>
        <item x="832"/>
        <item x="151"/>
        <item x="519"/>
        <item x="696"/>
        <item x="380"/>
        <item x="640"/>
        <item x="572"/>
        <item x="564"/>
        <item x="237"/>
        <item x="761"/>
        <item x="96"/>
        <item x="32"/>
        <item x="806"/>
        <item x="904"/>
        <item x="625"/>
        <item x="312"/>
        <item x="883"/>
        <item x="771"/>
        <item x="422"/>
        <item x="400"/>
        <item x="188"/>
        <item x="423"/>
        <item x="144"/>
        <item x="592"/>
        <item x="335"/>
        <item x="663"/>
        <item x="963"/>
        <item x="202"/>
        <item x="744"/>
        <item t="default"/>
      </items>
    </pivotField>
    <pivotField compact="0" showAll="0">
      <items count="1000">
        <item x="872"/>
        <item x="605"/>
        <item x="99"/>
        <item x="719"/>
        <item x="482"/>
        <item x="646"/>
        <item x="556"/>
        <item x="478"/>
        <item x="867"/>
        <item x="201"/>
        <item x="127"/>
        <item x="227"/>
        <item x="868"/>
        <item x="606"/>
        <item x="628"/>
        <item x="13"/>
        <item x="971"/>
        <item x="936"/>
        <item x="927"/>
        <item x="816"/>
        <item x="8"/>
        <item x="879"/>
        <item x="265"/>
        <item x="112"/>
        <item x="213"/>
        <item x="933"/>
        <item x="162"/>
        <item x="339"/>
        <item x="45"/>
        <item x="464"/>
        <item x="496"/>
        <item x="989"/>
        <item x="782"/>
        <item x="218"/>
        <item x="483"/>
        <item x="751"/>
        <item x="947"/>
        <item x="623"/>
        <item x="641"/>
        <item x="439"/>
        <item x="441"/>
        <item x="549"/>
        <item x="296"/>
        <item x="241"/>
        <item x="210"/>
        <item x="911"/>
        <item x="367"/>
        <item x="547"/>
        <item x="778"/>
        <item x="986"/>
        <item x="589"/>
        <item x="195"/>
        <item x="935"/>
        <item x="193"/>
        <item x="715"/>
        <item x="899"/>
        <item x="1"/>
        <item x="413"/>
        <item x="961"/>
        <item x="242"/>
        <item x="535"/>
        <item x="578"/>
        <item x="780"/>
        <item x="594"/>
        <item x="746"/>
        <item x="699"/>
        <item x="10"/>
        <item x="190"/>
        <item x="101"/>
        <item x="828"/>
        <item x="450"/>
        <item x="63"/>
        <item x="838"/>
        <item x="46"/>
        <item x="954"/>
        <item x="977"/>
        <item x="881"/>
        <item x="260"/>
        <item x="652"/>
        <item x="301"/>
        <item x="619"/>
        <item x="256"/>
        <item x="128"/>
        <item x="871"/>
        <item x="738"/>
        <item x="387"/>
        <item x="533"/>
        <item x="409"/>
        <item x="38"/>
        <item x="252"/>
        <item x="900"/>
        <item x="232"/>
        <item x="305"/>
        <item x="687"/>
        <item x="98"/>
        <item x="336"/>
        <item x="722"/>
        <item x="878"/>
        <item x="795"/>
        <item x="747"/>
        <item x="503"/>
        <item x="21"/>
        <item x="980"/>
        <item x="532"/>
        <item x="77"/>
        <item x="642"/>
        <item x="34"/>
        <item x="714"/>
        <item x="546"/>
        <item x="185"/>
        <item x="357"/>
        <item x="196"/>
        <item x="539"/>
        <item x="495"/>
        <item x="742"/>
        <item x="150"/>
        <item x="31"/>
        <item x="28"/>
        <item x="457"/>
        <item x="849"/>
        <item x="664"/>
        <item x="416"/>
        <item x="703"/>
        <item x="618"/>
        <item x="215"/>
        <item x="955"/>
        <item x="467"/>
        <item x="841"/>
        <item x="620"/>
        <item x="54"/>
        <item x="329"/>
        <item x="813"/>
        <item x="83"/>
        <item x="540"/>
        <item x="764"/>
        <item x="648"/>
        <item x="526"/>
        <item x="724"/>
        <item x="133"/>
        <item x="134"/>
        <item x="270"/>
        <item x="901"/>
        <item x="863"/>
        <item x="245"/>
        <item x="894"/>
        <item x="192"/>
        <item x="109"/>
        <item x="337"/>
        <item x="384"/>
        <item x="108"/>
        <item x="191"/>
        <item x="19"/>
        <item x="537"/>
        <item x="615"/>
        <item x="718"/>
        <item x="763"/>
        <item x="889"/>
        <item x="576"/>
        <item x="97"/>
        <item x="147"/>
        <item x="340"/>
        <item x="366"/>
        <item x="352"/>
        <item x="745"/>
        <item x="665"/>
        <item x="807"/>
        <item x="22"/>
        <item x="333"/>
        <item x="762"/>
        <item x="783"/>
        <item x="634"/>
        <item x="17"/>
        <item x="268"/>
        <item x="528"/>
        <item x="432"/>
        <item x="471"/>
        <item x="90"/>
        <item x="308"/>
        <item x="683"/>
        <item x="739"/>
        <item x="461"/>
        <item x="844"/>
        <item x="876"/>
        <item x="870"/>
        <item x="661"/>
        <item x="696"/>
        <item x="967"/>
        <item x="974"/>
        <item x="976"/>
        <item x="160"/>
        <item x="284"/>
        <item x="904"/>
        <item x="730"/>
        <item x="55"/>
        <item x="943"/>
        <item x="920"/>
        <item x="297"/>
        <item x="701"/>
        <item x="774"/>
        <item x="438"/>
        <item x="155"/>
        <item x="633"/>
        <item x="131"/>
        <item x="517"/>
        <item x="317"/>
        <item x="638"/>
        <item x="462"/>
        <item x="909"/>
        <item x="64"/>
        <item x="905"/>
        <item x="429"/>
        <item x="440"/>
        <item x="509"/>
        <item x="630"/>
        <item x="866"/>
        <item x="969"/>
        <item x="645"/>
        <item x="514"/>
        <item x="505"/>
        <item x="521"/>
        <item x="428"/>
        <item x="794"/>
        <item x="601"/>
        <item x="970"/>
        <item x="111"/>
        <item x="690"/>
        <item x="748"/>
        <item x="659"/>
        <item x="865"/>
        <item x="246"/>
        <item x="426"/>
        <item x="208"/>
        <item x="119"/>
        <item x="928"/>
        <item x="267"/>
        <item x="481"/>
        <item x="852"/>
        <item x="853"/>
        <item x="506"/>
        <item x="993"/>
        <item x="222"/>
        <item x="363"/>
        <item x="682"/>
        <item x="225"/>
        <item x="73"/>
        <item x="169"/>
        <item x="895"/>
        <item x="309"/>
        <item x="445"/>
        <item x="184"/>
        <item x="611"/>
        <item x="536"/>
        <item x="140"/>
        <item x="771"/>
        <item x="226"/>
        <item x="711"/>
        <item x="990"/>
        <item x="166"/>
        <item x="244"/>
        <item x="334"/>
        <item x="299"/>
        <item x="292"/>
        <item x="850"/>
        <item x="360"/>
        <item x="397"/>
        <item x="289"/>
        <item x="272"/>
        <item x="938"/>
        <item x="7"/>
        <item x="560"/>
        <item x="529"/>
        <item x="323"/>
        <item x="136"/>
        <item x="130"/>
        <item x="248"/>
        <item x="50"/>
        <item x="797"/>
        <item x="822"/>
        <item x="328"/>
        <item x="552"/>
        <item x="942"/>
        <item x="182"/>
        <item x="103"/>
        <item x="499"/>
        <item x="314"/>
        <item x="951"/>
        <item x="65"/>
        <item x="234"/>
        <item x="341"/>
        <item x="786"/>
        <item x="175"/>
        <item x="75"/>
        <item x="331"/>
        <item x="934"/>
        <item x="675"/>
        <item x="84"/>
        <item x="143"/>
        <item x="893"/>
        <item x="209"/>
        <item x="254"/>
        <item x="596"/>
        <item x="455"/>
        <item x="102"/>
        <item x="359"/>
        <item x="354"/>
        <item x="964"/>
        <item x="304"/>
        <item x="355"/>
        <item x="179"/>
        <item x="318"/>
        <item x="671"/>
        <item x="668"/>
        <item x="25"/>
        <item x="621"/>
        <item x="475"/>
        <item x="773"/>
        <item x="392"/>
        <item x="72"/>
        <item x="945"/>
        <item x="9"/>
        <item x="784"/>
        <item x="377"/>
        <item x="912"/>
        <item x="570"/>
        <item x="390"/>
        <item x="240"/>
        <item x="573"/>
        <item x="694"/>
        <item x="173"/>
        <item x="832"/>
        <item x="593"/>
        <item x="581"/>
        <item x="788"/>
        <item x="153"/>
        <item x="998"/>
        <item x="944"/>
        <item x="86"/>
        <item x="288"/>
        <item x="921"/>
        <item x="941"/>
        <item x="394"/>
        <item x="657"/>
        <item x="389"/>
        <item x="164"/>
        <item x="62"/>
        <item x="792"/>
        <item x="258"/>
        <item x="734"/>
        <item x="598"/>
        <item x="35"/>
        <item x="958"/>
        <item x="343"/>
        <item x="731"/>
        <item x="814"/>
        <item x="835"/>
        <item x="161"/>
        <item x="732"/>
        <item x="484"/>
        <item x="219"/>
        <item x="686"/>
        <item x="812"/>
        <item x="720"/>
        <item x="203"/>
        <item x="139"/>
        <item x="768"/>
        <item x="717"/>
        <item x="688"/>
        <item x="765"/>
        <item x="781"/>
        <item x="233"/>
        <item x="752"/>
        <item x="603"/>
        <item x="987"/>
        <item x="984"/>
        <item x="949"/>
        <item x="477"/>
        <item x="421"/>
        <item x="727"/>
        <item x="221"/>
        <item x="116"/>
        <item x="330"/>
        <item x="376"/>
        <item x="220"/>
        <item x="571"/>
        <item x="857"/>
        <item x="187"/>
        <item x="24"/>
        <item x="656"/>
        <item x="543"/>
        <item x="713"/>
        <item x="489"/>
        <item x="320"/>
        <item x="51"/>
        <item x="758"/>
        <item x="834"/>
        <item x="627"/>
        <item x="698"/>
        <item x="369"/>
        <item x="810"/>
        <item x="125"/>
        <item x="52"/>
        <item x="737"/>
        <item x="923"/>
        <item x="952"/>
        <item x="124"/>
        <item x="451"/>
        <item x="847"/>
        <item x="550"/>
        <item x="890"/>
        <item x="68"/>
        <item x="158"/>
        <item x="391"/>
        <item x="804"/>
        <item x="371"/>
        <item x="761"/>
        <item x="430"/>
        <item x="888"/>
        <item x="988"/>
        <item x="643"/>
        <item x="206"/>
        <item x="282"/>
        <item x="793"/>
        <item x="167"/>
        <item x="494"/>
        <item x="798"/>
        <item x="372"/>
        <item x="487"/>
        <item x="463"/>
        <item x="216"/>
        <item x="932"/>
        <item x="590"/>
        <item x="968"/>
        <item x="702"/>
        <item x="965"/>
        <item x="685"/>
        <item x="975"/>
        <item x="283"/>
        <item x="403"/>
        <item x="994"/>
        <item x="476"/>
        <item x="145"/>
        <item x="691"/>
        <item x="261"/>
        <item x="168"/>
        <item x="274"/>
        <item x="515"/>
        <item x="678"/>
        <item x="230"/>
        <item x="950"/>
        <item x="759"/>
        <item x="614"/>
        <item x="704"/>
        <item x="693"/>
        <item x="262"/>
        <item x="995"/>
        <item x="803"/>
        <item x="107"/>
        <item x="491"/>
        <item x="926"/>
        <item x="886"/>
        <item x="156"/>
        <item x="105"/>
        <item x="946"/>
        <item x="729"/>
        <item x="247"/>
        <item x="859"/>
        <item x="66"/>
        <item x="775"/>
        <item x="929"/>
        <item x="0"/>
        <item x="906"/>
        <item x="636"/>
        <item x="930"/>
        <item x="279"/>
        <item x="194"/>
        <item x="541"/>
        <item x="154"/>
        <item x="607"/>
        <item x="126"/>
        <item x="925"/>
        <item x="408"/>
        <item x="257"/>
        <item x="306"/>
        <item x="559"/>
        <item x="39"/>
        <item x="425"/>
        <item x="16"/>
        <item x="566"/>
        <item x="302"/>
        <item x="37"/>
        <item x="565"/>
        <item x="538"/>
        <item x="49"/>
        <item x="670"/>
        <item x="365"/>
        <item x="5"/>
        <item x="884"/>
        <item x="456"/>
        <item x="121"/>
        <item x="228"/>
        <item x="264"/>
        <item x="30"/>
        <item x="42"/>
        <item x="48"/>
        <item x="217"/>
        <item x="159"/>
        <item x="183"/>
        <item x="626"/>
        <item x="583"/>
        <item x="417"/>
        <item x="524"/>
        <item x="132"/>
        <item x="115"/>
        <item x="435"/>
        <item x="673"/>
        <item x="251"/>
        <item x="910"/>
        <item x="106"/>
        <item x="176"/>
        <item x="902"/>
        <item x="448"/>
        <item x="725"/>
        <item x="40"/>
        <item x="789"/>
        <item x="300"/>
        <item x="307"/>
        <item x="948"/>
        <item x="235"/>
        <item x="907"/>
        <item x="80"/>
        <item x="114"/>
        <item x="290"/>
        <item x="20"/>
        <item x="170"/>
        <item x="790"/>
        <item x="325"/>
        <item x="799"/>
        <item x="843"/>
        <item x="767"/>
        <item x="361"/>
        <item x="885"/>
        <item x="772"/>
        <item x="113"/>
        <item x="36"/>
        <item x="666"/>
        <item x="502"/>
        <item x="388"/>
        <item x="454"/>
        <item x="887"/>
        <item x="819"/>
        <item x="200"/>
        <item x="653"/>
        <item x="836"/>
        <item x="612"/>
        <item x="2"/>
        <item x="577"/>
        <item x="293"/>
        <item x="500"/>
        <item x="61"/>
        <item x="93"/>
        <item x="963"/>
        <item x="669"/>
        <item x="520"/>
        <item x="311"/>
        <item x="750"/>
        <item x="706"/>
        <item x="680"/>
        <item x="82"/>
        <item x="165"/>
        <item x="983"/>
        <item x="567"/>
        <item x="379"/>
        <item x="418"/>
        <item x="362"/>
        <item x="608"/>
        <item x="991"/>
        <item x="315"/>
        <item x="992"/>
        <item x="189"/>
        <item x="818"/>
        <item x="931"/>
        <item x="769"/>
        <item x="146"/>
        <item x="956"/>
        <item x="629"/>
        <item x="229"/>
        <item x="862"/>
        <item x="692"/>
        <item x="41"/>
        <item x="253"/>
        <item x="469"/>
        <item x="586"/>
        <item x="172"/>
        <item x="95"/>
        <item x="152"/>
        <item x="33"/>
        <item x="531"/>
        <item x="67"/>
        <item x="846"/>
        <item x="726"/>
        <item x="4"/>
        <item x="281"/>
        <item x="877"/>
        <item x="580"/>
        <item x="178"/>
        <item x="996"/>
        <item x="953"/>
        <item x="177"/>
        <item x="460"/>
        <item x="56"/>
        <item x="595"/>
        <item x="851"/>
        <item x="755"/>
        <item x="766"/>
        <item x="231"/>
        <item x="707"/>
        <item x="324"/>
        <item x="908"/>
        <item x="919"/>
        <item x="57"/>
        <item x="754"/>
        <item x="414"/>
        <item x="741"/>
        <item x="436"/>
        <item x="624"/>
        <item x="338"/>
        <item x="212"/>
        <item x="199"/>
        <item x="326"/>
        <item x="443"/>
        <item x="712"/>
        <item x="811"/>
        <item x="558"/>
        <item x="574"/>
        <item x="278"/>
        <item x="791"/>
        <item x="875"/>
        <item x="224"/>
        <item x="412"/>
        <item x="141"/>
        <item x="310"/>
        <item x="415"/>
        <item x="100"/>
        <item x="53"/>
        <item x="58"/>
        <item x="516"/>
        <item x="512"/>
        <item x="171"/>
        <item x="393"/>
        <item x="979"/>
        <item x="922"/>
        <item x="211"/>
        <item x="148"/>
        <item x="89"/>
        <item x="198"/>
        <item x="662"/>
        <item x="735"/>
        <item x="110"/>
        <item x="655"/>
        <item x="493"/>
        <item x="806"/>
        <item x="243"/>
        <item x="249"/>
        <item x="584"/>
        <item x="79"/>
        <item x="348"/>
        <item x="294"/>
        <item x="916"/>
        <item x="424"/>
        <item x="779"/>
        <item x="381"/>
        <item x="447"/>
        <item x="562"/>
        <item x="466"/>
        <item x="11"/>
        <item x="76"/>
        <item x="660"/>
        <item x="14"/>
        <item x="271"/>
        <item x="667"/>
        <item x="787"/>
        <item x="458"/>
        <item x="501"/>
        <item x="332"/>
        <item x="129"/>
        <item x="12"/>
        <item x="15"/>
        <item x="591"/>
        <item x="104"/>
        <item x="26"/>
        <item x="809"/>
        <item x="434"/>
        <item x="880"/>
        <item x="123"/>
        <item x="957"/>
        <item x="449"/>
        <item x="470"/>
        <item x="551"/>
        <item x="700"/>
        <item x="613"/>
        <item x="802"/>
        <item x="353"/>
        <item x="396"/>
        <item x="821"/>
        <item x="563"/>
        <item x="705"/>
        <item x="568"/>
        <item x="204"/>
        <item x="649"/>
        <item x="385"/>
        <item x="407"/>
        <item x="749"/>
        <item x="358"/>
        <item x="401"/>
        <item x="883"/>
        <item x="327"/>
        <item x="842"/>
        <item x="579"/>
        <item x="344"/>
        <item x="321"/>
        <item x="937"/>
        <item x="459"/>
        <item x="733"/>
        <item x="609"/>
        <item x="375"/>
        <item x="239"/>
        <item x="480"/>
        <item x="472"/>
        <item x="452"/>
        <item x="492"/>
        <item x="681"/>
        <item x="679"/>
        <item x="453"/>
        <item x="820"/>
        <item x="785"/>
        <item x="864"/>
        <item x="356"/>
        <item x="940"/>
        <item x="386"/>
        <item x="286"/>
        <item x="43"/>
        <item x="263"/>
        <item x="561"/>
        <item x="259"/>
        <item x="753"/>
        <item x="817"/>
        <item x="223"/>
        <item x="827"/>
        <item x="897"/>
        <item x="273"/>
        <item x="800"/>
        <item x="554"/>
        <item x="542"/>
        <item x="370"/>
        <item x="826"/>
        <item x="349"/>
        <item x="723"/>
        <item x="437"/>
        <item x="637"/>
        <item x="180"/>
        <item x="350"/>
        <item x="275"/>
        <item x="721"/>
        <item x="78"/>
        <item x="736"/>
        <item x="373"/>
        <item x="398"/>
        <item x="406"/>
        <item x="402"/>
        <item x="939"/>
        <item x="544"/>
        <item x="207"/>
        <item x="917"/>
        <item x="18"/>
        <item x="825"/>
        <item x="319"/>
        <item x="689"/>
        <item x="510"/>
        <item x="181"/>
        <item x="815"/>
        <item x="163"/>
        <item x="399"/>
        <item x="833"/>
        <item x="444"/>
        <item x="122"/>
        <item x="874"/>
        <item x="85"/>
        <item x="71"/>
        <item x="47"/>
        <item x="677"/>
        <item x="597"/>
        <item x="708"/>
        <item x="602"/>
        <item x="839"/>
        <item x="582"/>
        <item x="197"/>
        <item x="651"/>
        <item x="236"/>
        <item x="658"/>
        <item x="382"/>
        <item x="972"/>
        <item x="395"/>
        <item x="654"/>
        <item x="346"/>
        <item x="744"/>
        <item x="303"/>
        <item x="918"/>
        <item x="488"/>
        <item x="345"/>
        <item x="966"/>
        <item x="118"/>
        <item x="91"/>
        <item x="600"/>
        <item x="545"/>
        <item x="829"/>
        <item x="631"/>
        <item x="383"/>
        <item x="588"/>
        <item x="973"/>
        <item x="913"/>
        <item x="823"/>
        <item x="622"/>
        <item x="891"/>
        <item x="830"/>
        <item x="892"/>
        <item x="553"/>
        <item x="342"/>
        <item x="756"/>
        <item x="473"/>
        <item x="174"/>
        <item x="801"/>
        <item x="530"/>
        <item x="513"/>
        <item x="848"/>
        <item x="845"/>
        <item x="322"/>
        <item x="287"/>
        <item x="978"/>
        <item x="88"/>
        <item x="23"/>
        <item x="44"/>
        <item x="854"/>
        <item x="855"/>
        <item x="419"/>
        <item x="557"/>
        <item x="347"/>
        <item x="511"/>
        <item x="295"/>
        <item x="6"/>
        <item x="647"/>
        <item x="431"/>
        <item x="860"/>
        <item x="433"/>
        <item x="959"/>
        <item x="92"/>
        <item x="674"/>
        <item x="186"/>
        <item x="522"/>
        <item x="858"/>
        <item x="479"/>
        <item x="81"/>
        <item x="368"/>
        <item x="697"/>
        <item x="837"/>
        <item x="710"/>
        <item x="269"/>
        <item x="29"/>
        <item x="94"/>
        <item x="250"/>
        <item x="575"/>
        <item x="861"/>
        <item x="214"/>
        <item x="276"/>
        <item x="291"/>
        <item x="3"/>
        <item x="640"/>
        <item x="548"/>
        <item x="351"/>
        <item x="757"/>
        <item x="446"/>
        <item x="137"/>
        <item x="117"/>
        <item x="632"/>
        <item x="266"/>
        <item x="639"/>
        <item x="490"/>
        <item x="507"/>
        <item x="728"/>
        <item x="856"/>
        <item x="497"/>
        <item x="676"/>
        <item x="617"/>
        <item x="70"/>
        <item x="59"/>
        <item x="205"/>
        <item x="316"/>
        <item x="650"/>
        <item x="585"/>
        <item x="873"/>
        <item x="238"/>
        <item x="527"/>
        <item x="716"/>
        <item x="157"/>
        <item x="474"/>
        <item x="982"/>
        <item x="997"/>
        <item x="411"/>
        <item x="840"/>
        <item x="599"/>
        <item x="555"/>
        <item x="138"/>
        <item x="364"/>
        <item x="740"/>
        <item x="277"/>
        <item x="564"/>
        <item x="604"/>
        <item x="96"/>
        <item x="587"/>
        <item x="255"/>
        <item x="985"/>
        <item x="777"/>
        <item x="120"/>
        <item x="142"/>
        <item x="188"/>
        <item x="882"/>
        <item x="796"/>
        <item x="313"/>
        <item x="87"/>
        <item x="869"/>
        <item x="69"/>
        <item x="468"/>
        <item x="616"/>
        <item x="644"/>
        <item x="592"/>
        <item x="915"/>
        <item x="896"/>
        <item x="335"/>
        <item x="312"/>
        <item x="485"/>
        <item x="508"/>
        <item x="625"/>
        <item x="405"/>
        <item x="610"/>
        <item x="663"/>
        <item x="298"/>
        <item x="410"/>
        <item x="534"/>
        <item x="519"/>
        <item x="427"/>
        <item x="486"/>
        <item x="523"/>
        <item x="285"/>
        <item x="924"/>
        <item x="903"/>
        <item x="569"/>
        <item x="981"/>
        <item x="149"/>
        <item x="378"/>
        <item x="635"/>
        <item x="60"/>
        <item x="684"/>
        <item x="824"/>
        <item x="280"/>
        <item x="695"/>
        <item x="374"/>
        <item x="709"/>
        <item x="465"/>
        <item x="400"/>
        <item x="776"/>
        <item x="404"/>
        <item x="518"/>
        <item x="498"/>
        <item x="525"/>
        <item x="442"/>
        <item x="27"/>
        <item x="144"/>
        <item x="898"/>
        <item x="237"/>
        <item x="151"/>
        <item x="504"/>
        <item x="202"/>
        <item x="831"/>
        <item x="760"/>
        <item x="135"/>
        <item x="672"/>
        <item x="422"/>
        <item x="808"/>
        <item x="74"/>
        <item x="960"/>
        <item x="770"/>
        <item x="914"/>
        <item x="420"/>
        <item x="572"/>
        <item x="32"/>
        <item x="380"/>
        <item x="805"/>
        <item x="743"/>
        <item x="423"/>
        <item x="962"/>
        <item t="default"/>
      </items>
    </pivotField>
    <pivotField compact="0" showAll="0">
      <items count="6">
        <item x="4"/>
        <item x="1"/>
        <item x="2"/>
        <item x="0"/>
        <item x="3"/>
        <item t="default"/>
      </items>
    </pivotField>
  </pivotFields>
  <dataFields count="1">
    <dataField name="Sum of Sales" fld="14" baseField="0" baseItem="0"/>
  </dataFields>
  <formats count="7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4:G5" firstHeaderRow="1" firstDataRow="1" firstDataCol="0"/>
  <pivotFields count="18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3" showAll="0">
      <items count="870">
        <item x="463"/>
        <item x="846"/>
        <item x="681"/>
        <item x="535"/>
        <item x="60"/>
        <item x="593"/>
        <item x="740"/>
        <item x="460"/>
        <item x="294"/>
        <item x="1"/>
        <item x="314"/>
        <item x="541"/>
        <item x="202"/>
        <item x="730"/>
        <item x="738"/>
        <item x="788"/>
        <item x="753"/>
        <item x="544"/>
        <item x="668"/>
        <item x="839"/>
        <item x="127"/>
        <item x="167"/>
        <item x="426"/>
        <item x="353"/>
        <item x="157"/>
        <item x="173"/>
        <item x="770"/>
        <item x="98"/>
        <item x="244"/>
        <item x="309"/>
        <item x="713"/>
        <item x="205"/>
        <item x="394"/>
        <item x="284"/>
        <item x="443"/>
        <item x="594"/>
        <item x="452"/>
        <item x="233"/>
        <item x="145"/>
        <item x="503"/>
        <item x="112"/>
        <item x="349"/>
        <item x="623"/>
        <item x="5"/>
        <item x="436"/>
        <item x="449"/>
        <item x="31"/>
        <item x="429"/>
        <item x="56"/>
        <item x="263"/>
        <item x="332"/>
        <item x="250"/>
        <item x="658"/>
        <item x="478"/>
        <item x="781"/>
        <item x="780"/>
        <item x="558"/>
        <item x="225"/>
        <item x="734"/>
        <item x="58"/>
        <item x="257"/>
        <item x="397"/>
        <item x="651"/>
        <item x="446"/>
        <item x="739"/>
        <item x="38"/>
        <item x="570"/>
        <item x="674"/>
        <item x="678"/>
        <item x="363"/>
        <item x="64"/>
        <item x="50"/>
        <item x="650"/>
        <item x="259"/>
        <item x="94"/>
        <item x="42"/>
        <item x="842"/>
        <item x="136"/>
        <item x="416"/>
        <item x="340"/>
        <item x="652"/>
        <item x="362"/>
        <item x="230"/>
        <item x="796"/>
        <item x="827"/>
        <item x="445"/>
        <item x="71"/>
        <item x="573"/>
        <item x="237"/>
        <item x="274"/>
        <item x="341"/>
        <item x="849"/>
        <item x="319"/>
        <item x="840"/>
        <item x="755"/>
        <item x="7"/>
        <item x="74"/>
        <item x="241"/>
        <item x="597"/>
        <item x="571"/>
        <item x="741"/>
        <item x="80"/>
        <item x="361"/>
        <item x="239"/>
        <item x="763"/>
        <item x="572"/>
        <item x="454"/>
        <item x="260"/>
        <item x="812"/>
        <item x="860"/>
        <item x="771"/>
        <item x="621"/>
        <item x="243"/>
        <item x="425"/>
        <item x="302"/>
        <item x="862"/>
        <item x="841"/>
        <item x="369"/>
        <item x="404"/>
        <item x="473"/>
        <item x="692"/>
        <item x="620"/>
        <item x="635"/>
        <item x="427"/>
        <item x="670"/>
        <item x="291"/>
        <item x="356"/>
        <item x="727"/>
        <item x="156"/>
        <item x="728"/>
        <item x="59"/>
        <item x="660"/>
        <item x="502"/>
        <item x="608"/>
        <item x="715"/>
        <item x="154"/>
        <item x="851"/>
        <item x="686"/>
        <item x="547"/>
        <item x="750"/>
        <item x="810"/>
        <item x="866"/>
        <item x="227"/>
        <item x="415"/>
        <item x="368"/>
        <item x="474"/>
        <item x="435"/>
        <item x="613"/>
        <item x="55"/>
        <item x="461"/>
        <item x="702"/>
        <item x="663"/>
        <item x="639"/>
        <item x="717"/>
        <item x="430"/>
        <item x="277"/>
        <item x="457"/>
        <item x="467"/>
        <item x="774"/>
        <item x="856"/>
        <item x="604"/>
        <item x="704"/>
        <item x="297"/>
        <item x="689"/>
        <item x="95"/>
        <item x="49"/>
        <item x="464"/>
        <item x="761"/>
        <item x="45"/>
        <item x="61"/>
        <item x="335"/>
        <item x="207"/>
        <item x="582"/>
        <item x="308"/>
        <item x="602"/>
        <item x="596"/>
        <item x="823"/>
        <item x="428"/>
        <item x="165"/>
        <item x="666"/>
        <item x="848"/>
        <item x="364"/>
        <item x="766"/>
        <item x="414"/>
        <item x="705"/>
        <item x="684"/>
        <item x="79"/>
        <item x="568"/>
        <item x="591"/>
        <item x="661"/>
        <item x="69"/>
        <item x="347"/>
        <item x="703"/>
        <item x="822"/>
        <item x="342"/>
        <item x="270"/>
        <item x="527"/>
        <item x="521"/>
        <item x="399"/>
        <item x="269"/>
        <item x="820"/>
        <item x="808"/>
        <item x="105"/>
        <item x="479"/>
        <item x="134"/>
        <item x="486"/>
        <item x="749"/>
        <item x="378"/>
        <item x="376"/>
        <item x="707"/>
        <item x="492"/>
        <item x="328"/>
        <item x="804"/>
        <item x="690"/>
        <item x="86"/>
        <item x="281"/>
        <item x="236"/>
        <item x="616"/>
        <item x="737"/>
        <item x="516"/>
        <item x="301"/>
        <item x="627"/>
        <item x="410"/>
        <item x="197"/>
        <item x="107"/>
        <item x="359"/>
        <item x="603"/>
        <item x="310"/>
        <item x="262"/>
        <item x="272"/>
        <item x="529"/>
        <item x="557"/>
        <item x="667"/>
        <item x="861"/>
        <item x="282"/>
        <item x="444"/>
        <item x="760"/>
        <item x="712"/>
        <item x="137"/>
        <item x="148"/>
        <item x="792"/>
        <item x="66"/>
        <item x="407"/>
        <item x="756"/>
        <item x="857"/>
        <item x="176"/>
        <item x="510"/>
        <item x="488"/>
        <item x="221"/>
        <item x="609"/>
        <item x="395"/>
        <item x="343"/>
        <item x="396"/>
        <item x="574"/>
        <item x="706"/>
        <item x="54"/>
        <item x="195"/>
        <item x="838"/>
        <item x="859"/>
        <item x="631"/>
        <item x="789"/>
        <item x="605"/>
        <item x="231"/>
        <item x="182"/>
        <item x="628"/>
        <item x="653"/>
        <item x="642"/>
        <item x="567"/>
        <item x="352"/>
        <item x="336"/>
        <item x="240"/>
        <item x="24"/>
        <item x="806"/>
        <item x="638"/>
        <item x="142"/>
        <item x="279"/>
        <item x="581"/>
        <item x="471"/>
        <item x="480"/>
        <item x="592"/>
        <item x="665"/>
        <item x="267"/>
        <item x="424"/>
        <item x="485"/>
        <item x="276"/>
        <item x="106"/>
        <item x="864"/>
        <item x="190"/>
        <item x="374"/>
        <item x="380"/>
        <item x="483"/>
        <item x="500"/>
        <item x="174"/>
        <item x="214"/>
        <item x="48"/>
        <item x="767"/>
        <item x="283"/>
        <item x="847"/>
        <item x="62"/>
        <item x="186"/>
        <item x="590"/>
        <item x="579"/>
        <item x="15"/>
        <item x="800"/>
        <item x="828"/>
        <item x="512"/>
        <item x="273"/>
        <item x="138"/>
        <item x="412"/>
        <item x="4"/>
        <item x="9"/>
        <item x="311"/>
        <item x="709"/>
        <item x="313"/>
        <item x="409"/>
        <item x="817"/>
        <item x="813"/>
        <item x="293"/>
        <item x="832"/>
        <item x="185"/>
        <item x="805"/>
        <item x="496"/>
        <item x="522"/>
        <item x="216"/>
        <item x="625"/>
        <item x="458"/>
        <item x="589"/>
        <item x="724"/>
        <item x="693"/>
        <item x="456"/>
        <item x="144"/>
        <item x="179"/>
        <item x="537"/>
        <item x="664"/>
        <item x="344"/>
        <item x="299"/>
        <item x="633"/>
        <item x="618"/>
        <item x="726"/>
        <item x="815"/>
        <item x="700"/>
        <item x="83"/>
        <item x="504"/>
        <item x="526"/>
        <item x="489"/>
        <item x="401"/>
        <item x="814"/>
        <item x="247"/>
        <item x="475"/>
        <item x="531"/>
        <item x="192"/>
        <item x="23"/>
        <item x="354"/>
        <item x="122"/>
        <item x="868"/>
        <item x="711"/>
        <item x="324"/>
        <item x="204"/>
        <item x="434"/>
        <item x="769"/>
        <item x="114"/>
        <item x="556"/>
        <item x="256"/>
        <item x="534"/>
        <item x="109"/>
        <item x="494"/>
        <item x="89"/>
        <item x="152"/>
        <item x="200"/>
        <item x="773"/>
        <item x="536"/>
        <item x="679"/>
        <item x="784"/>
        <item x="509"/>
        <item x="826"/>
        <item x="809"/>
        <item x="382"/>
        <item x="470"/>
        <item x="733"/>
        <item x="524"/>
        <item x="39"/>
        <item x="63"/>
        <item x="358"/>
        <item x="555"/>
        <item x="543"/>
        <item x="300"/>
        <item x="682"/>
        <item x="306"/>
        <item x="224"/>
        <item x="41"/>
        <item x="119"/>
        <item x="765"/>
        <item x="562"/>
        <item x="392"/>
        <item x="491"/>
        <item x="217"/>
        <item x="160"/>
        <item x="447"/>
        <item x="104"/>
        <item x="578"/>
        <item x="791"/>
        <item x="261"/>
        <item x="836"/>
        <item x="559"/>
        <item x="220"/>
        <item x="824"/>
        <item x="600"/>
        <item x="853"/>
        <item x="235"/>
        <item x="296"/>
        <item x="44"/>
        <item x="552"/>
        <item x="545"/>
        <item x="388"/>
        <item x="289"/>
        <item x="747"/>
        <item x="218"/>
        <item x="701"/>
        <item x="469"/>
        <item x="169"/>
        <item x="360"/>
        <item x="391"/>
        <item x="655"/>
        <item x="271"/>
        <item x="525"/>
        <item x="698"/>
        <item x="331"/>
        <item x="212"/>
        <item x="81"/>
        <item x="103"/>
        <item x="607"/>
        <item x="188"/>
        <item x="264"/>
        <item x="453"/>
        <item x="742"/>
        <item x="845"/>
        <item x="163"/>
        <item x="811"/>
        <item x="153"/>
        <item x="736"/>
        <item x="708"/>
        <item x="21"/>
        <item x="17"/>
        <item x="648"/>
        <item x="166"/>
        <item x="423"/>
        <item x="433"/>
        <item x="748"/>
        <item x="829"/>
        <item x="694"/>
        <item x="637"/>
        <item x="797"/>
        <item x="43"/>
        <item x="387"/>
        <item x="268"/>
        <item x="67"/>
        <item x="722"/>
        <item x="852"/>
        <item x="158"/>
        <item x="75"/>
        <item x="70"/>
        <item x="288"/>
        <item x="833"/>
        <item x="367"/>
        <item x="778"/>
        <item x="252"/>
        <item x="175"/>
        <item x="304"/>
        <item x="830"/>
        <item x="450"/>
        <item x="164"/>
        <item x="764"/>
        <item x="643"/>
        <item x="348"/>
        <item x="209"/>
        <item x="511"/>
        <item x="10"/>
        <item x="222"/>
        <item x="161"/>
        <item x="29"/>
        <item x="121"/>
        <item x="646"/>
        <item x="683"/>
        <item x="355"/>
        <item x="398"/>
        <item x="515"/>
        <item x="234"/>
        <item x="657"/>
        <item x="125"/>
        <item x="584"/>
        <item x="208"/>
        <item x="76"/>
        <item x="180"/>
        <item x="626"/>
        <item x="818"/>
        <item x="357"/>
        <item x="588"/>
        <item x="287"/>
        <item x="280"/>
        <item x="775"/>
        <item x="57"/>
        <item x="799"/>
        <item x="19"/>
        <item x="232"/>
        <item x="405"/>
        <item x="614"/>
        <item x="238"/>
        <item x="575"/>
        <item x="533"/>
        <item x="669"/>
        <item x="381"/>
        <item x="659"/>
        <item x="194"/>
        <item x="146"/>
        <item x="551"/>
        <item x="448"/>
        <item x="499"/>
        <item x="47"/>
        <item x="321"/>
        <item x="333"/>
        <item x="6"/>
        <item x="844"/>
        <item x="691"/>
        <item x="131"/>
        <item x="680"/>
        <item x="13"/>
        <item x="34"/>
        <item x="636"/>
        <item x="777"/>
        <item x="576"/>
        <item x="254"/>
        <item x="246"/>
        <item x="85"/>
        <item x="513"/>
        <item x="586"/>
        <item x="553"/>
        <item x="37"/>
        <item x="505"/>
        <item x="497"/>
        <item x="834"/>
        <item x="501"/>
        <item x="569"/>
        <item x="745"/>
        <item x="87"/>
        <item x="772"/>
        <item x="632"/>
        <item x="419"/>
        <item x="312"/>
        <item x="484"/>
        <item x="126"/>
        <item x="743"/>
        <item x="370"/>
        <item x="517"/>
        <item x="801"/>
        <item x="482"/>
        <item x="542"/>
        <item x="487"/>
        <item x="723"/>
        <item x="386"/>
        <item x="601"/>
        <item x="290"/>
        <item x="468"/>
        <item x="675"/>
        <item x="539"/>
        <item x="477"/>
        <item x="226"/>
        <item x="393"/>
        <item x="402"/>
        <item x="93"/>
        <item x="215"/>
        <item x="84"/>
        <item x="606"/>
        <item x="400"/>
        <item x="519"/>
        <item x="100"/>
        <item x="110"/>
        <item x="339"/>
        <item x="518"/>
        <item x="720"/>
        <item x="139"/>
        <item x="731"/>
        <item x="821"/>
        <item x="564"/>
        <item x="73"/>
        <item x="656"/>
        <item x="794"/>
        <item x="699"/>
        <item x="390"/>
        <item x="441"/>
        <item x="323"/>
        <item x="530"/>
        <item x="735"/>
        <item x="170"/>
        <item x="191"/>
        <item x="520"/>
        <item x="617"/>
        <item x="406"/>
        <item x="345"/>
        <item x="320"/>
        <item x="803"/>
        <item x="253"/>
        <item x="265"/>
        <item x="649"/>
        <item x="798"/>
        <item x="719"/>
        <item x="687"/>
        <item x="550"/>
        <item x="20"/>
        <item x="850"/>
        <item x="65"/>
        <item x="523"/>
        <item x="51"/>
        <item x="802"/>
        <item x="130"/>
        <item x="140"/>
        <item x="286"/>
        <item x="375"/>
        <item x="384"/>
        <item x="132"/>
        <item x="451"/>
        <item x="27"/>
        <item x="595"/>
        <item x="442"/>
        <item x="786"/>
        <item x="26"/>
        <item x="566"/>
        <item x="68"/>
        <item x="816"/>
        <item x="472"/>
        <item x="385"/>
        <item x="338"/>
        <item x="258"/>
        <item x="583"/>
        <item x="305"/>
        <item x="783"/>
        <item x="421"/>
        <item x="560"/>
        <item x="752"/>
        <item x="622"/>
        <item x="193"/>
        <item x="696"/>
        <item x="865"/>
        <item x="315"/>
        <item x="718"/>
        <item x="99"/>
        <item x="757"/>
        <item x="508"/>
        <item x="439"/>
        <item x="28"/>
        <item x="540"/>
        <item x="211"/>
        <item x="379"/>
        <item x="337"/>
        <item x="629"/>
        <item x="124"/>
        <item x="143"/>
        <item x="346"/>
        <item x="754"/>
        <item x="619"/>
        <item x="0"/>
        <item x="548"/>
        <item x="418"/>
        <item x="549"/>
        <item x="561"/>
        <item x="327"/>
        <item x="831"/>
        <item x="481"/>
        <item x="255"/>
        <item x="688"/>
        <item x="495"/>
        <item x="662"/>
        <item x="77"/>
        <item x="611"/>
        <item x="867"/>
        <item x="672"/>
        <item x="721"/>
        <item x="417"/>
        <item x="785"/>
        <item x="459"/>
        <item x="776"/>
        <item x="554"/>
        <item x="565"/>
        <item x="710"/>
        <item x="598"/>
        <item x="599"/>
        <item x="90"/>
        <item x="168"/>
        <item x="12"/>
        <item x="610"/>
        <item x="266"/>
        <item x="825"/>
        <item x="438"/>
        <item x="30"/>
        <item x="135"/>
        <item x="538"/>
        <item x="53"/>
        <item x="177"/>
        <item x="455"/>
        <item x="807"/>
        <item x="108"/>
        <item x="744"/>
        <item x="476"/>
        <item x="714"/>
        <item x="350"/>
        <item x="685"/>
        <item x="779"/>
        <item x="695"/>
        <item x="147"/>
        <item x="580"/>
        <item x="181"/>
        <item x="506"/>
        <item x="371"/>
        <item x="507"/>
        <item x="630"/>
        <item x="585"/>
        <item x="782"/>
        <item x="615"/>
        <item x="206"/>
        <item x="187"/>
        <item x="843"/>
        <item x="729"/>
        <item x="612"/>
        <item x="141"/>
        <item x="329"/>
        <item x="278"/>
        <item x="372"/>
        <item x="577"/>
        <item x="835"/>
        <item x="837"/>
        <item x="440"/>
        <item x="644"/>
        <item x="725"/>
        <item x="14"/>
        <item x="641"/>
        <item x="196"/>
        <item x="854"/>
        <item x="88"/>
        <item x="716"/>
        <item x="795"/>
        <item x="422"/>
        <item x="863"/>
        <item x="624"/>
        <item x="546"/>
        <item x="462"/>
        <item x="116"/>
        <item x="697"/>
        <item x="97"/>
        <item x="242"/>
        <item x="101"/>
        <item x="162"/>
        <item x="330"/>
        <item x="117"/>
        <item x="322"/>
        <item x="150"/>
        <item x="33"/>
        <item x="466"/>
        <item x="408"/>
        <item x="184"/>
        <item x="431"/>
        <item x="128"/>
        <item x="102"/>
        <item x="758"/>
        <item x="298"/>
        <item x="178"/>
        <item x="248"/>
        <item x="120"/>
        <item x="532"/>
        <item x="389"/>
        <item x="133"/>
        <item x="759"/>
        <item x="498"/>
        <item x="22"/>
        <item x="11"/>
        <item x="78"/>
        <item x="229"/>
        <item x="113"/>
        <item x="203"/>
        <item x="787"/>
        <item x="171"/>
        <item x="490"/>
        <item x="149"/>
        <item x="411"/>
        <item x="292"/>
        <item x="52"/>
        <item x="493"/>
        <item x="40"/>
        <item x="377"/>
        <item x="129"/>
        <item x="111"/>
        <item x="676"/>
        <item x="514"/>
        <item x="198"/>
        <item x="18"/>
        <item x="317"/>
        <item x="213"/>
        <item x="295"/>
        <item x="123"/>
        <item x="326"/>
        <item x="228"/>
        <item x="647"/>
        <item x="32"/>
        <item x="155"/>
        <item x="465"/>
        <item x="793"/>
        <item x="96"/>
        <item x="115"/>
        <item x="189"/>
        <item x="92"/>
        <item x="159"/>
        <item x="201"/>
        <item x="316"/>
        <item x="671"/>
        <item x="403"/>
        <item x="3"/>
        <item x="36"/>
        <item x="210"/>
        <item x="199"/>
        <item x="303"/>
        <item x="334"/>
        <item x="366"/>
        <item x="307"/>
        <item x="858"/>
        <item x="91"/>
        <item x="8"/>
        <item x="151"/>
        <item x="172"/>
        <item x="654"/>
        <item x="413"/>
        <item x="275"/>
        <item x="790"/>
        <item x="72"/>
        <item x="325"/>
        <item x="25"/>
        <item x="373"/>
        <item x="318"/>
        <item x="563"/>
        <item x="528"/>
        <item x="183"/>
        <item x="16"/>
        <item x="2"/>
        <item x="245"/>
        <item x="437"/>
        <item x="855"/>
        <item x="118"/>
        <item x="223"/>
        <item x="219"/>
        <item x="673"/>
        <item x="249"/>
        <item x="285"/>
        <item x="587"/>
        <item x="640"/>
        <item x="732"/>
        <item x="35"/>
        <item x="746"/>
        <item x="432"/>
        <item x="751"/>
        <item x="46"/>
        <item x="677"/>
        <item x="634"/>
        <item x="251"/>
        <item x="82"/>
        <item x="420"/>
        <item x="645"/>
        <item x="351"/>
        <item x="762"/>
        <item x="365"/>
        <item x="819"/>
        <item x="383"/>
        <item x="768"/>
        <item t="default"/>
      </items>
    </pivotField>
    <pivotField compact="0" showAll="0">
      <items count="13">
        <item x="1"/>
        <item x="5"/>
        <item x="3"/>
        <item x="0"/>
        <item x="7"/>
        <item x="6"/>
        <item x="2"/>
        <item x="4"/>
        <item x="11"/>
        <item x="9"/>
        <item x="10"/>
        <item x="8"/>
        <item t="default"/>
      </items>
    </pivotField>
    <pivotField compact="0" showAll="0">
      <items count="14">
        <item x="3"/>
        <item x="1"/>
        <item x="8"/>
        <item x="11"/>
        <item x="2"/>
        <item x="4"/>
        <item x="5"/>
        <item x="0"/>
        <item x="7"/>
        <item x="12"/>
        <item x="6"/>
        <item x="9"/>
        <item x="10"/>
        <item t="default"/>
      </items>
    </pivotField>
    <pivotField compact="0" showAll="0">
      <items count="7">
        <item x="1"/>
        <item x="5"/>
        <item x="2"/>
        <item x="3"/>
        <item x="0"/>
        <item x="4"/>
        <item t="default"/>
      </items>
    </pivotField>
    <pivotField compact="0" showAll="0">
      <items count="6">
        <item x="4"/>
        <item x="0"/>
        <item x="3"/>
        <item x="1"/>
        <item x="2"/>
        <item t="default"/>
      </items>
    </pivotField>
    <pivotField compact="0" showAll="0">
      <items count="19">
        <item x="6"/>
        <item x="12"/>
        <item x="4"/>
        <item x="17"/>
        <item x="7"/>
        <item x="9"/>
        <item x="0"/>
        <item x="16"/>
        <item x="1"/>
        <item x="10"/>
        <item x="3"/>
        <item x="15"/>
        <item x="14"/>
        <item x="11"/>
        <item x="2"/>
        <item x="5"/>
        <item x="8"/>
        <item x="13"/>
        <item t="default"/>
      </items>
    </pivotField>
    <pivotField compact="0" showAll="0">
      <items count="54">
        <item x="30"/>
        <item x="36"/>
        <item x="49"/>
        <item x="21"/>
        <item x="27"/>
        <item x="32"/>
        <item x="20"/>
        <item x="3"/>
        <item x="13"/>
        <item x="41"/>
        <item x="2"/>
        <item x="22"/>
        <item x="14"/>
        <item x="11"/>
        <item x="16"/>
        <item x="15"/>
        <item x="51"/>
        <item x="50"/>
        <item x="37"/>
        <item x="40"/>
        <item x="43"/>
        <item x="34"/>
        <item x="17"/>
        <item x="1"/>
        <item x="29"/>
        <item x="44"/>
        <item x="12"/>
        <item x="26"/>
        <item x="47"/>
        <item x="33"/>
        <item x="42"/>
        <item x="28"/>
        <item x="31"/>
        <item x="48"/>
        <item x="9"/>
        <item x="38"/>
        <item x="45"/>
        <item x="6"/>
        <item x="39"/>
        <item x="35"/>
        <item x="8"/>
        <item x="5"/>
        <item x="23"/>
        <item x="0"/>
        <item x="46"/>
        <item x="25"/>
        <item x="10"/>
        <item x="4"/>
        <item x="19"/>
        <item x="24"/>
        <item x="18"/>
        <item x="52"/>
        <item x="7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4">
        <item x="7"/>
        <item x="5"/>
        <item m="1" x="12"/>
        <item x="8"/>
        <item x="9"/>
        <item x="2"/>
        <item x="3"/>
        <item x="4"/>
        <item x="1"/>
        <item x="10"/>
        <item x="6"/>
        <item x="0"/>
        <item x="1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1"/>
        <item x="9"/>
        <item x="7"/>
        <item x="2"/>
        <item x="0"/>
        <item x="4"/>
        <item x="8"/>
        <item x="5"/>
        <item x="6"/>
        <item x="3"/>
        <item t="default"/>
      </items>
    </pivotField>
    <pivotField compact="0" showAll="0">
      <items count="506">
        <item x="469"/>
        <item x="169"/>
        <item x="347"/>
        <item x="8"/>
        <item x="160"/>
        <item x="27"/>
        <item x="194"/>
        <item x="24"/>
        <item x="67"/>
        <item x="122"/>
        <item x="41"/>
        <item x="220"/>
        <item x="15"/>
        <item x="94"/>
        <item x="12"/>
        <item x="47"/>
        <item x="87"/>
        <item x="115"/>
        <item x="154"/>
        <item x="176"/>
        <item x="175"/>
        <item x="109"/>
        <item x="89"/>
        <item x="7"/>
        <item x="186"/>
        <item x="48"/>
        <item x="55"/>
        <item x="125"/>
        <item x="236"/>
        <item x="128"/>
        <item x="157"/>
        <item x="21"/>
        <item x="149"/>
        <item x="468"/>
        <item x="74"/>
        <item x="254"/>
        <item x="308"/>
        <item x="1"/>
        <item x="174"/>
        <item x="360"/>
        <item x="273"/>
        <item x="393"/>
        <item x="202"/>
        <item x="349"/>
        <item x="96"/>
        <item x="151"/>
        <item x="293"/>
        <item x="477"/>
        <item x="155"/>
        <item x="332"/>
        <item x="107"/>
        <item x="171"/>
        <item x="412"/>
        <item x="198"/>
        <item x="204"/>
        <item x="429"/>
        <item x="133"/>
        <item x="452"/>
        <item x="34"/>
        <item x="471"/>
        <item x="181"/>
        <item x="148"/>
        <item x="156"/>
        <item x="297"/>
        <item x="345"/>
        <item x="404"/>
        <item x="397"/>
        <item x="37"/>
        <item x="306"/>
        <item x="371"/>
        <item x="179"/>
        <item x="378"/>
        <item x="237"/>
        <item x="216"/>
        <item x="103"/>
        <item x="45"/>
        <item x="486"/>
        <item x="235"/>
        <item x="0"/>
        <item x="407"/>
        <item x="239"/>
        <item x="9"/>
        <item x="344"/>
        <item x="73"/>
        <item x="140"/>
        <item x="5"/>
        <item x="310"/>
        <item x="211"/>
        <item x="386"/>
        <item x="197"/>
        <item x="244"/>
        <item x="340"/>
        <item x="138"/>
        <item x="370"/>
        <item x="313"/>
        <item x="375"/>
        <item x="403"/>
        <item x="99"/>
        <item x="44"/>
        <item x="38"/>
        <item x="188"/>
        <item x="177"/>
        <item x="260"/>
        <item x="146"/>
        <item x="504"/>
        <item x="86"/>
        <item x="488"/>
        <item x="30"/>
        <item x="304"/>
        <item x="389"/>
        <item x="17"/>
        <item x="492"/>
        <item x="326"/>
        <item x="185"/>
        <item x="295"/>
        <item x="274"/>
        <item x="400"/>
        <item x="143"/>
        <item x="234"/>
        <item x="4"/>
        <item x="153"/>
        <item x="391"/>
        <item x="168"/>
        <item x="484"/>
        <item x="212"/>
        <item x="173"/>
        <item x="82"/>
        <item x="317"/>
        <item x="263"/>
        <item x="262"/>
        <item x="66"/>
        <item x="416"/>
        <item x="14"/>
        <item x="56"/>
        <item x="242"/>
        <item x="250"/>
        <item x="167"/>
        <item x="479"/>
        <item x="29"/>
        <item x="435"/>
        <item x="36"/>
        <item x="368"/>
        <item x="294"/>
        <item x="31"/>
        <item x="230"/>
        <item x="342"/>
        <item x="70"/>
        <item x="305"/>
        <item x="223"/>
        <item x="460"/>
        <item x="35"/>
        <item x="241"/>
        <item x="444"/>
        <item x="421"/>
        <item x="319"/>
        <item x="458"/>
        <item x="137"/>
        <item x="97"/>
        <item x="170"/>
        <item x="445"/>
        <item x="502"/>
        <item x="485"/>
        <item x="430"/>
        <item x="159"/>
        <item x="51"/>
        <item x="164"/>
        <item x="284"/>
        <item x="162"/>
        <item x="418"/>
        <item x="78"/>
        <item x="13"/>
        <item x="446"/>
        <item x="106"/>
        <item x="255"/>
        <item x="192"/>
        <item x="321"/>
        <item x="224"/>
        <item x="110"/>
        <item x="95"/>
        <item x="10"/>
        <item x="68"/>
        <item x="258"/>
        <item x="362"/>
        <item x="180"/>
        <item x="11"/>
        <item x="6"/>
        <item x="203"/>
        <item x="79"/>
        <item x="302"/>
        <item x="134"/>
        <item x="49"/>
        <item x="498"/>
        <item x="42"/>
        <item x="209"/>
        <item x="336"/>
        <item x="57"/>
        <item x="178"/>
        <item x="251"/>
        <item x="2"/>
        <item x="69"/>
        <item x="121"/>
        <item x="63"/>
        <item x="127"/>
        <item x="474"/>
        <item x="491"/>
        <item x="90"/>
        <item x="187"/>
        <item x="353"/>
        <item x="62"/>
        <item x="75"/>
        <item x="195"/>
        <item x="131"/>
        <item x="350"/>
        <item x="189"/>
        <item x="266"/>
        <item x="324"/>
        <item x="503"/>
        <item x="59"/>
        <item x="39"/>
        <item x="247"/>
        <item x="451"/>
        <item x="314"/>
        <item x="415"/>
        <item x="249"/>
        <item x="118"/>
        <item x="253"/>
        <item x="91"/>
        <item x="40"/>
        <item x="422"/>
        <item x="105"/>
        <item x="22"/>
        <item x="401"/>
        <item x="496"/>
        <item x="409"/>
        <item x="165"/>
        <item x="501"/>
        <item x="226"/>
        <item x="58"/>
        <item x="64"/>
        <item x="264"/>
        <item x="184"/>
        <item x="312"/>
        <item x="473"/>
        <item x="328"/>
        <item x="20"/>
        <item x="139"/>
        <item x="269"/>
        <item x="172"/>
        <item x="81"/>
        <item x="358"/>
        <item x="225"/>
        <item x="163"/>
        <item x="233"/>
        <item x="299"/>
        <item x="141"/>
        <item x="357"/>
        <item x="261"/>
        <item x="286"/>
        <item x="277"/>
        <item x="272"/>
        <item x="18"/>
        <item x="490"/>
        <item x="19"/>
        <item x="440"/>
        <item x="316"/>
        <item x="405"/>
        <item x="3"/>
        <item x="278"/>
        <item x="320"/>
        <item x="330"/>
        <item x="52"/>
        <item x="32"/>
        <item x="354"/>
        <item x="447"/>
        <item x="116"/>
        <item x="413"/>
        <item x="455"/>
        <item x="135"/>
        <item x="426"/>
        <item x="442"/>
        <item x="275"/>
        <item x="193"/>
        <item x="46"/>
        <item x="351"/>
        <item x="228"/>
        <item x="112"/>
        <item x="379"/>
        <item x="363"/>
        <item x="428"/>
        <item x="245"/>
        <item x="80"/>
        <item x="43"/>
        <item x="207"/>
        <item x="129"/>
        <item x="142"/>
        <item x="436"/>
        <item x="72"/>
        <item x="475"/>
        <item x="166"/>
        <item x="331"/>
        <item x="439"/>
        <item x="390"/>
        <item x="92"/>
        <item x="120"/>
        <item x="229"/>
        <item x="145"/>
        <item x="248"/>
        <item x="16"/>
        <item x="54"/>
        <item x="252"/>
        <item x="408"/>
        <item x="392"/>
        <item x="497"/>
        <item x="259"/>
        <item x="500"/>
        <item x="218"/>
        <item x="402"/>
        <item x="382"/>
        <item x="470"/>
        <item x="132"/>
        <item x="271"/>
        <item x="423"/>
        <item x="201"/>
        <item x="365"/>
        <item x="489"/>
        <item x="267"/>
        <item x="307"/>
        <item x="217"/>
        <item x="76"/>
        <item x="493"/>
        <item x="487"/>
        <item x="366"/>
        <item x="399"/>
        <item x="182"/>
        <item x="411"/>
        <item x="454"/>
        <item x="300"/>
        <item x="459"/>
        <item x="287"/>
        <item x="309"/>
        <item x="433"/>
        <item x="60"/>
        <item x="123"/>
        <item x="472"/>
        <item x="377"/>
        <item x="291"/>
        <item x="124"/>
        <item x="158"/>
        <item x="256"/>
        <item x="374"/>
        <item x="104"/>
        <item x="303"/>
        <item x="355"/>
        <item x="199"/>
        <item x="361"/>
        <item x="323"/>
        <item x="467"/>
        <item x="246"/>
        <item x="108"/>
        <item x="419"/>
        <item x="333"/>
        <item x="499"/>
        <item x="144"/>
        <item x="191"/>
        <item x="456"/>
        <item x="61"/>
        <item x="283"/>
        <item x="33"/>
        <item x="315"/>
        <item x="77"/>
        <item x="221"/>
        <item x="98"/>
        <item x="88"/>
        <item x="114"/>
        <item x="281"/>
        <item x="334"/>
        <item x="214"/>
        <item x="376"/>
        <item x="231"/>
        <item x="453"/>
        <item x="130"/>
        <item x="384"/>
        <item x="464"/>
        <item x="414"/>
        <item x="26"/>
        <item x="238"/>
        <item x="476"/>
        <item x="410"/>
        <item x="478"/>
        <item x="126"/>
        <item x="462"/>
        <item x="136"/>
        <item x="213"/>
        <item x="210"/>
        <item x="417"/>
        <item x="257"/>
        <item x="449"/>
        <item x="425"/>
        <item x="101"/>
        <item x="343"/>
        <item x="84"/>
        <item x="406"/>
        <item x="222"/>
        <item x="388"/>
        <item x="232"/>
        <item x="292"/>
        <item x="285"/>
        <item x="147"/>
        <item x="219"/>
        <item x="369"/>
        <item x="50"/>
        <item x="372"/>
        <item x="268"/>
        <item x="296"/>
        <item x="339"/>
        <item x="443"/>
        <item x="65"/>
        <item x="270"/>
        <item x="318"/>
        <item x="398"/>
        <item x="71"/>
        <item x="356"/>
        <item x="282"/>
        <item x="196"/>
        <item x="337"/>
        <item x="288"/>
        <item x="190"/>
        <item x="483"/>
        <item x="329"/>
        <item x="117"/>
        <item x="463"/>
        <item x="373"/>
        <item x="431"/>
        <item x="280"/>
        <item x="85"/>
        <item x="364"/>
        <item x="465"/>
        <item x="394"/>
        <item x="215"/>
        <item x="396"/>
        <item x="289"/>
        <item x="53"/>
        <item x="311"/>
        <item x="466"/>
        <item x="28"/>
        <item x="279"/>
        <item x="367"/>
        <item x="338"/>
        <item x="298"/>
        <item x="395"/>
        <item x="432"/>
        <item x="227"/>
        <item x="240"/>
        <item x="265"/>
        <item x="111"/>
        <item x="23"/>
        <item x="438"/>
        <item x="100"/>
        <item x="276"/>
        <item x="102"/>
        <item x="380"/>
        <item x="450"/>
        <item x="480"/>
        <item x="301"/>
        <item x="152"/>
        <item x="206"/>
        <item x="383"/>
        <item x="381"/>
        <item x="387"/>
        <item x="83"/>
        <item x="327"/>
        <item x="359"/>
        <item x="208"/>
        <item x="385"/>
        <item x="113"/>
        <item x="448"/>
        <item x="482"/>
        <item x="322"/>
        <item x="420"/>
        <item x="481"/>
        <item x="348"/>
        <item x="119"/>
        <item x="243"/>
        <item x="441"/>
        <item x="200"/>
        <item x="494"/>
        <item x="457"/>
        <item x="352"/>
        <item x="93"/>
        <item x="424"/>
        <item x="325"/>
        <item x="335"/>
        <item x="150"/>
        <item x="346"/>
        <item x="205"/>
        <item x="437"/>
        <item x="161"/>
        <item x="25"/>
        <item x="290"/>
        <item x="495"/>
        <item x="341"/>
        <item x="434"/>
        <item x="183"/>
        <item x="461"/>
        <item x="427"/>
        <item t="default"/>
      </items>
    </pivotField>
    <pivotField compact="0" showAll="0">
      <items count="6">
        <item x="0"/>
        <item x="4"/>
        <item x="1"/>
        <item x="2"/>
        <item x="3"/>
        <item t="default"/>
      </items>
    </pivotField>
    <pivotField compact="0" showAll="0">
      <items count="881">
        <item x="774"/>
        <item x="556"/>
        <item x="447"/>
        <item x="97"/>
        <item x="444"/>
        <item x="654"/>
        <item x="557"/>
        <item x="828"/>
        <item x="515"/>
        <item x="254"/>
        <item x="203"/>
        <item x="771"/>
        <item x="123"/>
        <item x="320"/>
        <item x="13"/>
        <item x="820"/>
        <item x="8"/>
        <item x="858"/>
        <item x="577"/>
        <item x="108"/>
        <item x="412"/>
        <item x="804"/>
        <item x="208"/>
        <item x="590"/>
        <item x="677"/>
        <item x="825"/>
        <item x="700"/>
        <item x="871"/>
        <item x="572"/>
        <item x="434"/>
        <item x="698"/>
        <item x="868"/>
        <item x="448"/>
        <item x="1"/>
        <item x="827"/>
        <item x="45"/>
        <item x="782"/>
        <item x="547"/>
        <item x="288"/>
        <item x="508"/>
        <item x="124"/>
        <item x="231"/>
        <item x="744"/>
        <item x="672"/>
        <item x="99"/>
        <item x="186"/>
        <item x="183"/>
        <item x="651"/>
        <item x="347"/>
        <item x="736"/>
        <item x="637"/>
        <item x="188"/>
        <item x="230"/>
        <item x="62"/>
        <item x="38"/>
        <item x="773"/>
        <item x="849"/>
        <item x="221"/>
        <item x="797"/>
        <item x="597"/>
        <item x="422"/>
        <item x="241"/>
        <item x="31"/>
        <item x="496"/>
        <item x="796"/>
        <item x="753"/>
        <item x="387"/>
        <item x="10"/>
        <item x="338"/>
        <item x="506"/>
        <item x="466"/>
        <item x="391"/>
        <item x="249"/>
        <item x="780"/>
        <item x="394"/>
        <item x="245"/>
        <item x="653"/>
        <item x="747"/>
        <item x="46"/>
        <item x="259"/>
        <item x="185"/>
        <item x="28"/>
        <item x="105"/>
        <item x="494"/>
        <item x="500"/>
        <item x="569"/>
        <item x="767"/>
        <item x="22"/>
        <item x="76"/>
        <item x="366"/>
        <item x="499"/>
        <item x="82"/>
        <item x="53"/>
        <item x="205"/>
        <item x="333"/>
        <item x="497"/>
        <item x="701"/>
        <item x="291"/>
        <item x="96"/>
        <item x="184"/>
        <item x="568"/>
        <item x="129"/>
        <item x="234"/>
        <item x="749"/>
        <item x="143"/>
        <item x="130"/>
        <item x="669"/>
        <item x="127"/>
        <item x="19"/>
        <item x="673"/>
        <item x="21"/>
        <item x="34"/>
        <item x="312"/>
        <item x="591"/>
        <item x="363"/>
        <item x="413"/>
        <item x="800"/>
        <item x="63"/>
        <item x="346"/>
        <item x="639"/>
        <item x="579"/>
        <item x="720"/>
        <item x="640"/>
        <item x="273"/>
        <item x="155"/>
        <item x="856"/>
        <item x="666"/>
        <item x="792"/>
        <item x="593"/>
        <item x="318"/>
        <item x="552"/>
        <item x="583"/>
        <item x="17"/>
        <item x="861"/>
        <item x="778"/>
        <item x="471"/>
        <item x="843"/>
        <item x="301"/>
        <item x="565"/>
        <item x="321"/>
        <item x="411"/>
        <item x="115"/>
        <item x="857"/>
        <item x="757"/>
        <item x="813"/>
        <item x="562"/>
        <item x="163"/>
        <item x="293"/>
        <item x="257"/>
        <item x="711"/>
        <item x="150"/>
        <item x="488"/>
        <item x="199"/>
        <item x="178"/>
        <item x="483"/>
        <item x="160"/>
        <item x="256"/>
        <item x="233"/>
        <item x="835"/>
        <item x="89"/>
        <item x="634"/>
        <item x="685"/>
        <item x="769"/>
        <item x="136"/>
        <item x="476"/>
        <item x="261"/>
        <item x="431"/>
        <item x="821"/>
        <item x="754"/>
        <item x="126"/>
        <item x="511"/>
        <item x="54"/>
        <item x="875"/>
        <item x="587"/>
        <item x="490"/>
        <item x="322"/>
        <item x="314"/>
        <item x="872"/>
        <item x="691"/>
        <item x="50"/>
        <item x="582"/>
        <item x="840"/>
        <item x="277"/>
        <item x="834"/>
        <item x="212"/>
        <item x="7"/>
        <item x="627"/>
        <item x="176"/>
        <item x="491"/>
        <item x="693"/>
        <item x="606"/>
        <item x="770"/>
        <item x="71"/>
        <item x="216"/>
        <item x="674"/>
        <item x="284"/>
        <item x="100"/>
        <item x="286"/>
        <item x="549"/>
        <item x="432"/>
        <item x="462"/>
        <item x="479"/>
        <item x="83"/>
        <item x="173"/>
        <item x="107"/>
        <item x="756"/>
        <item x="139"/>
        <item x="72"/>
        <item x="335"/>
        <item x="280"/>
        <item x="235"/>
        <item x="852"/>
        <item x="518"/>
        <item x="730"/>
        <item x="215"/>
        <item x="9"/>
        <item x="223"/>
        <item x="403"/>
        <item x="148"/>
        <item x="25"/>
        <item x="830"/>
        <item x="316"/>
        <item x="632"/>
        <item x="340"/>
        <item x="370"/>
        <item x="570"/>
        <item x="341"/>
        <item x="604"/>
        <item x="417"/>
        <item x="74"/>
        <item x="357"/>
        <item x="375"/>
        <item x="247"/>
        <item x="836"/>
        <item x="761"/>
        <item x="61"/>
        <item x="648"/>
        <item x="826"/>
        <item x="307"/>
        <item x="833"/>
        <item x="791"/>
        <item x="158"/>
        <item x="554"/>
        <item x="650"/>
        <item x="468"/>
        <item x="35"/>
        <item x="449"/>
        <item x="302"/>
        <item x="427"/>
        <item x="344"/>
        <item x="167"/>
        <item x="200"/>
        <item x="658"/>
        <item x="237"/>
        <item x="624"/>
        <item x="699"/>
        <item x="210"/>
        <item x="528"/>
        <item x="367"/>
        <item x="870"/>
        <item x="423"/>
        <item x="194"/>
        <item x="298"/>
        <item x="705"/>
        <item x="229"/>
        <item x="243"/>
        <item x="336"/>
        <item x="52"/>
        <item x="814"/>
        <item x="132"/>
        <item x="601"/>
        <item x="161"/>
        <item x="662"/>
        <item x="51"/>
        <item x="602"/>
        <item x="272"/>
        <item x="120"/>
        <item x="324"/>
        <item x="788"/>
        <item x="368"/>
        <item x="197"/>
        <item x="702"/>
        <item x="169"/>
        <item x="477"/>
        <item x="211"/>
        <item x="351"/>
        <item x="724"/>
        <item x="162"/>
        <item x="404"/>
        <item x="625"/>
        <item x="805"/>
        <item x="853"/>
        <item x="180"/>
        <item x="741"/>
        <item x="536"/>
        <item x="222"/>
        <item x="271"/>
        <item x="503"/>
        <item x="551"/>
        <item x="869"/>
        <item x="313"/>
        <item x="529"/>
        <item x="64"/>
        <item x="85"/>
        <item x="251"/>
        <item x="786"/>
        <item x="684"/>
        <item x="655"/>
        <item x="612"/>
        <item x="610"/>
        <item x="156"/>
        <item x="121"/>
        <item x="686"/>
        <item x="112"/>
        <item x="0"/>
        <item x="877"/>
        <item x="456"/>
        <item x="763"/>
        <item x="236"/>
        <item x="623"/>
        <item x="67"/>
        <item x="24"/>
        <item x="304"/>
        <item x="801"/>
        <item x="841"/>
        <item x="206"/>
        <item x="122"/>
        <item x="501"/>
        <item x="818"/>
        <item x="546"/>
        <item x="876"/>
        <item x="209"/>
        <item x="709"/>
        <item x="187"/>
        <item x="153"/>
        <item x="694"/>
        <item x="710"/>
        <item x="846"/>
        <item x="558"/>
        <item x="217"/>
        <item x="816"/>
        <item x="372"/>
        <item x="839"/>
        <item x="356"/>
        <item x="102"/>
        <item x="111"/>
        <item x="177"/>
        <item x="135"/>
        <item x="682"/>
        <item x="837"/>
        <item x="660"/>
        <item x="16"/>
        <item x="866"/>
        <item x="454"/>
        <item x="37"/>
        <item x="401"/>
        <item x="386"/>
        <item x="802"/>
        <item x="524"/>
        <item x="352"/>
        <item x="459"/>
        <item x="452"/>
        <item x="342"/>
        <item x="665"/>
        <item x="30"/>
        <item x="219"/>
        <item x="369"/>
        <item x="349"/>
        <item x="688"/>
        <item x="309"/>
        <item x="246"/>
        <item x="576"/>
        <item x="250"/>
        <item x="543"/>
        <item x="65"/>
        <item x="103"/>
        <item x="533"/>
        <item x="564"/>
        <item x="636"/>
        <item x="289"/>
        <item x="575"/>
        <item x="823"/>
        <item x="278"/>
        <item x="109"/>
        <item x="631"/>
        <item x="39"/>
        <item x="620"/>
        <item x="42"/>
        <item x="498"/>
        <item x="740"/>
        <item x="433"/>
        <item x="538"/>
        <item x="408"/>
        <item x="49"/>
        <item x="192"/>
        <item x="803"/>
        <item x="426"/>
        <item x="706"/>
        <item x="149"/>
        <item x="164"/>
        <item x="117"/>
        <item x="862"/>
        <item x="689"/>
        <item x="224"/>
        <item x="855"/>
        <item x="381"/>
        <item x="5"/>
        <item x="395"/>
        <item x="151"/>
        <item x="509"/>
        <item x="598"/>
        <item x="60"/>
        <item x="292"/>
        <item x="523"/>
        <item x="798"/>
        <item x="717"/>
        <item x="4"/>
        <item x="141"/>
        <item x="41"/>
        <item x="299"/>
        <item x="822"/>
        <item x="618"/>
        <item x="104"/>
        <item x="614"/>
        <item x="128"/>
        <item x="628"/>
        <item x="465"/>
        <item x="154"/>
        <item x="486"/>
        <item x="443"/>
        <item x="548"/>
        <item x="819"/>
        <item x="657"/>
        <item x="40"/>
        <item x="766"/>
        <item x="649"/>
        <item x="267"/>
        <item x="611"/>
        <item x="751"/>
        <item x="824"/>
        <item x="420"/>
        <item x="748"/>
        <item x="319"/>
        <item x="263"/>
        <item x="268"/>
        <item x="253"/>
        <item x="641"/>
        <item x="166"/>
        <item x="310"/>
        <item x="48"/>
        <item x="716"/>
        <item x="482"/>
        <item x="629"/>
        <item x="755"/>
        <item x="463"/>
        <item x="415"/>
        <item x="218"/>
        <item x="474"/>
        <item x="2"/>
        <item x="676"/>
        <item x="170"/>
        <item x="873"/>
        <item x="20"/>
        <item x="428"/>
        <item x="400"/>
        <item x="270"/>
        <item x="713"/>
        <item x="159"/>
        <item x="851"/>
        <item x="79"/>
        <item x="707"/>
        <item x="190"/>
        <item x="585"/>
        <item x="390"/>
        <item x="240"/>
        <item x="787"/>
        <item x="409"/>
        <item x="207"/>
        <item x="202"/>
        <item x="438"/>
        <item x="812"/>
        <item x="308"/>
        <item x="393"/>
        <item x="535"/>
        <item x="78"/>
        <item x="421"/>
        <item x="630"/>
        <item x="142"/>
        <item x="544"/>
        <item x="106"/>
        <item x="110"/>
        <item x="845"/>
        <item x="101"/>
        <item x="779"/>
        <item x="220"/>
        <item x="125"/>
        <item x="559"/>
        <item x="439"/>
        <item x="214"/>
        <item x="573"/>
        <item x="520"/>
        <item x="182"/>
        <item x="644"/>
        <item x="55"/>
        <item x="295"/>
        <item x="315"/>
        <item x="66"/>
        <item x="329"/>
        <item x="692"/>
        <item x="14"/>
        <item x="147"/>
        <item x="98"/>
        <item x="785"/>
        <item x="294"/>
        <item x="429"/>
        <item x="829"/>
        <item x="57"/>
        <item x="838"/>
        <item x="708"/>
        <item x="842"/>
        <item x="172"/>
        <item x="385"/>
        <item x="510"/>
        <item x="201"/>
        <item x="777"/>
        <item x="493"/>
        <item x="534"/>
        <item x="379"/>
        <item x="281"/>
        <item x="525"/>
        <item x="407"/>
        <item x="638"/>
        <item x="287"/>
        <item x="878"/>
        <item x="446"/>
        <item x="242"/>
        <item x="36"/>
        <item x="305"/>
        <item x="742"/>
        <item x="697"/>
        <item x="15"/>
        <item x="605"/>
        <item x="608"/>
        <item x="726"/>
        <item x="668"/>
        <item x="600"/>
        <item x="874"/>
        <item x="88"/>
        <item x="619"/>
        <item x="727"/>
        <item x="137"/>
        <item x="191"/>
        <item x="643"/>
        <item x="642"/>
        <item x="365"/>
        <item x="92"/>
        <item x="436"/>
        <item x="531"/>
        <item x="282"/>
        <item x="371"/>
        <item x="350"/>
        <item x="425"/>
        <item x="260"/>
        <item x="809"/>
        <item x="521"/>
        <item x="33"/>
        <item x="719"/>
        <item x="831"/>
        <item x="364"/>
        <item x="337"/>
        <item x="539"/>
        <item x="430"/>
        <item x="343"/>
        <item x="380"/>
        <item x="330"/>
        <item x="679"/>
        <item x="77"/>
        <item x="687"/>
        <item x="464"/>
        <item x="81"/>
        <item x="781"/>
        <item x="355"/>
        <item x="578"/>
        <item x="43"/>
        <item x="722"/>
        <item x="165"/>
        <item x="94"/>
        <item x="26"/>
        <item x="47"/>
        <item x="119"/>
        <item x="844"/>
        <item x="663"/>
        <item x="171"/>
        <item x="723"/>
        <item x="440"/>
        <item x="12"/>
        <item x="189"/>
        <item x="144"/>
        <item x="784"/>
        <item x="478"/>
        <item x="472"/>
        <item x="517"/>
        <item x="596"/>
        <item x="553"/>
        <item x="232"/>
        <item x="715"/>
        <item x="225"/>
        <item x="458"/>
        <item x="228"/>
        <item x="815"/>
        <item x="776"/>
        <item x="238"/>
        <item x="675"/>
        <item x="704"/>
        <item x="392"/>
        <item x="810"/>
        <item x="56"/>
        <item x="728"/>
        <item x="84"/>
        <item x="326"/>
        <item x="90"/>
        <item x="213"/>
        <item x="18"/>
        <item x="118"/>
        <item x="519"/>
        <item x="262"/>
        <item x="859"/>
        <item x="360"/>
        <item x="264"/>
        <item x="331"/>
        <item x="609"/>
        <item x="114"/>
        <item x="603"/>
        <item x="504"/>
        <item x="327"/>
        <item x="175"/>
        <item x="738"/>
        <item x="729"/>
        <item x="306"/>
        <item x="195"/>
        <item x="157"/>
        <item x="87"/>
        <item x="599"/>
        <item x="863"/>
        <item x="373"/>
        <item x="550"/>
        <item x="759"/>
        <item x="560"/>
        <item x="745"/>
        <item x="6"/>
        <item x="680"/>
        <item x="734"/>
        <item x="671"/>
        <item x="419"/>
        <item x="339"/>
        <item x="374"/>
        <item x="11"/>
        <item x="328"/>
        <item x="311"/>
        <item x="174"/>
        <item x="714"/>
        <item x="811"/>
        <item x="615"/>
        <item x="645"/>
        <item x="790"/>
        <item x="752"/>
        <item x="563"/>
        <item x="376"/>
        <item x="198"/>
        <item x="75"/>
        <item x="806"/>
        <item x="678"/>
        <item x="44"/>
        <item x="750"/>
        <item x="860"/>
        <item x="762"/>
        <item x="334"/>
        <item x="735"/>
        <item x="204"/>
        <item x="484"/>
        <item x="406"/>
        <item x="789"/>
        <item x="594"/>
        <item x="325"/>
        <item x="703"/>
        <item x="457"/>
        <item x="70"/>
        <item x="168"/>
        <item x="377"/>
        <item x="453"/>
        <item x="571"/>
        <item x="332"/>
        <item x="91"/>
        <item x="276"/>
        <item x="794"/>
        <item x="475"/>
        <item x="768"/>
        <item x="469"/>
        <item x="621"/>
        <item x="737"/>
        <item x="616"/>
        <item x="647"/>
        <item x="580"/>
        <item x="473"/>
        <item x="513"/>
        <item x="526"/>
        <item x="424"/>
        <item x="661"/>
        <item x="512"/>
        <item x="275"/>
        <item x="196"/>
        <item x="303"/>
        <item x="502"/>
        <item x="258"/>
        <item x="586"/>
        <item x="537"/>
        <item x="540"/>
        <item x="775"/>
        <item x="58"/>
        <item x="664"/>
        <item x="252"/>
        <item x="290"/>
        <item x="179"/>
        <item x="505"/>
        <item x="239"/>
        <item x="656"/>
        <item x="23"/>
        <item x="764"/>
        <item x="348"/>
        <item x="353"/>
        <item x="832"/>
        <item x="389"/>
        <item x="384"/>
        <item x="266"/>
        <item x="542"/>
        <item x="514"/>
        <item x="29"/>
        <item x="396"/>
        <item x="733"/>
        <item x="416"/>
        <item x="255"/>
        <item x="323"/>
        <item x="854"/>
        <item x="3"/>
        <item x="441"/>
        <item x="541"/>
        <item x="244"/>
        <item x="760"/>
        <item x="455"/>
        <item x="248"/>
        <item x="279"/>
        <item x="283"/>
        <item x="725"/>
        <item x="626"/>
        <item x="410"/>
        <item x="345"/>
        <item x="80"/>
        <item x="93"/>
        <item x="445"/>
        <item x="362"/>
        <item x="361"/>
        <item x="865"/>
        <item x="696"/>
        <item x="652"/>
        <item x="68"/>
        <item x="86"/>
        <item x="588"/>
        <item x="227"/>
        <item x="772"/>
        <item x="437"/>
        <item x="450"/>
        <item x="532"/>
        <item x="133"/>
        <item x="847"/>
        <item x="516"/>
        <item x="765"/>
        <item x="297"/>
        <item x="617"/>
        <item x="383"/>
        <item x="116"/>
        <item x="495"/>
        <item x="134"/>
        <item x="879"/>
        <item x="581"/>
        <item x="460"/>
        <item x="492"/>
        <item x="635"/>
        <item x="746"/>
        <item x="793"/>
        <item x="681"/>
        <item x="300"/>
        <item x="265"/>
        <item x="555"/>
        <item x="527"/>
        <item x="507"/>
        <item x="567"/>
        <item x="152"/>
        <item x="743"/>
        <item x="584"/>
        <item x="731"/>
        <item x="595"/>
        <item x="451"/>
        <item x="659"/>
        <item x="817"/>
        <item x="470"/>
        <item x="138"/>
        <item x="758"/>
        <item x="382"/>
        <item x="435"/>
        <item x="480"/>
        <item x="269"/>
        <item x="145"/>
        <item x="354"/>
        <item x="69"/>
        <item x="405"/>
        <item x="461"/>
        <item x="27"/>
        <item x="795"/>
        <item x="358"/>
        <item x="867"/>
        <item x="113"/>
        <item x="285"/>
        <item x="808"/>
        <item x="418"/>
        <item x="566"/>
        <item x="274"/>
        <item x="864"/>
        <item x="489"/>
        <item x="732"/>
        <item x="485"/>
        <item x="592"/>
        <item x="561"/>
        <item x="487"/>
        <item x="414"/>
        <item x="667"/>
        <item x="695"/>
        <item x="589"/>
        <item x="442"/>
        <item x="712"/>
        <item x="59"/>
        <item x="622"/>
        <item x="522"/>
        <item x="131"/>
        <item x="402"/>
        <item x="613"/>
        <item x="388"/>
        <item x="481"/>
        <item x="848"/>
        <item x="467"/>
        <item x="95"/>
        <item x="73"/>
        <item x="646"/>
        <item x="721"/>
        <item x="633"/>
        <item x="783"/>
        <item x="296"/>
        <item x="574"/>
        <item x="807"/>
        <item x="181"/>
        <item x="799"/>
        <item x="739"/>
        <item x="146"/>
        <item x="397"/>
        <item x="226"/>
        <item x="683"/>
        <item x="378"/>
        <item x="545"/>
        <item x="359"/>
        <item x="140"/>
        <item x="530"/>
        <item x="317"/>
        <item x="398"/>
        <item x="32"/>
        <item x="690"/>
        <item x="718"/>
        <item x="607"/>
        <item x="193"/>
        <item x="399"/>
        <item x="850"/>
        <item x="670"/>
        <item t="default"/>
      </items>
    </pivotField>
    <pivotField compact="0" showAll="0">
      <items count="1001">
        <item x="873"/>
        <item x="605"/>
        <item x="868"/>
        <item x="482"/>
        <item x="201"/>
        <item x="478"/>
        <item x="606"/>
        <item x="99"/>
        <item x="937"/>
        <item x="880"/>
        <item x="720"/>
        <item x="265"/>
        <item x="556"/>
        <item x="213"/>
        <item x="162"/>
        <item x="646"/>
        <item x="339"/>
        <item x="869"/>
        <item x="13"/>
        <item x="127"/>
        <item x="928"/>
        <item x="8"/>
        <item x="112"/>
        <item x="227"/>
        <item x="972"/>
        <item x="817"/>
        <item x="628"/>
        <item x="912"/>
        <item x="439"/>
        <item x="296"/>
        <item x="781"/>
        <item x="948"/>
        <item x="641"/>
        <item x="218"/>
        <item x="752"/>
        <item x="783"/>
        <item x="987"/>
        <item x="934"/>
        <item x="623"/>
        <item x="990"/>
        <item x="464"/>
        <item x="882"/>
        <item x="483"/>
        <item x="1"/>
        <item x="301"/>
        <item x="128"/>
        <item x="594"/>
        <item x="955"/>
        <item x="936"/>
        <item x="839"/>
        <item x="496"/>
        <item x="45"/>
        <item x="242"/>
        <item x="747"/>
        <item x="101"/>
        <item x="779"/>
        <item x="549"/>
        <item x="578"/>
        <item x="190"/>
        <item x="978"/>
        <item x="829"/>
        <item x="38"/>
        <item x="210"/>
        <item x="796"/>
        <item x="193"/>
        <item x="441"/>
        <item x="981"/>
        <item x="716"/>
        <item x="232"/>
        <item x="872"/>
        <item x="700"/>
        <item x="31"/>
        <item x="547"/>
        <item x="63"/>
        <item x="901"/>
        <item x="252"/>
        <item x="619"/>
        <item x="850"/>
        <item x="367"/>
        <item x="195"/>
        <item x="652"/>
        <item x="962"/>
        <item x="450"/>
        <item x="814"/>
        <item x="241"/>
        <item x="357"/>
        <item x="409"/>
        <item x="664"/>
        <item x="546"/>
        <item x="589"/>
        <item x="715"/>
        <item x="503"/>
        <item x="719"/>
        <item x="535"/>
        <item x="746"/>
        <item x="723"/>
        <item x="10"/>
        <item x="336"/>
        <item x="900"/>
        <item x="416"/>
        <item x="879"/>
        <item x="192"/>
        <item x="270"/>
        <item x="260"/>
        <item x="842"/>
        <item x="109"/>
        <item x="413"/>
        <item x="763"/>
        <item x="185"/>
        <item x="28"/>
        <item x="687"/>
        <item x="22"/>
        <item x="256"/>
        <item x="540"/>
        <item x="471"/>
        <item x="864"/>
        <item x="333"/>
        <item x="620"/>
        <item x="46"/>
        <item x="576"/>
        <item x="352"/>
        <item x="533"/>
        <item x="131"/>
        <item x="648"/>
        <item x="784"/>
        <item x="83"/>
        <item x="537"/>
        <item x="725"/>
        <item x="910"/>
        <item x="845"/>
        <item x="968"/>
        <item x="54"/>
        <item x="97"/>
        <item x="683"/>
        <item x="539"/>
        <item x="77"/>
        <item x="215"/>
        <item x="191"/>
        <item x="440"/>
        <item x="150"/>
        <item x="495"/>
        <item x="64"/>
        <item x="765"/>
        <item x="387"/>
        <item x="133"/>
        <item x="147"/>
        <item x="890"/>
        <item x="739"/>
        <item x="245"/>
        <item x="618"/>
        <item x="905"/>
        <item x="630"/>
        <item x="467"/>
        <item x="532"/>
        <item x="432"/>
        <item x="134"/>
        <item x="305"/>
        <item x="98"/>
        <item x="702"/>
        <item x="19"/>
        <item x="970"/>
        <item x="481"/>
        <item x="645"/>
        <item x="743"/>
        <item x="384"/>
        <item x="536"/>
        <item x="601"/>
        <item x="284"/>
        <item x="160"/>
        <item x="457"/>
        <item x="329"/>
        <item x="366"/>
        <item x="748"/>
        <item x="196"/>
        <item x="21"/>
        <item x="34"/>
        <item x="740"/>
        <item x="808"/>
        <item x="509"/>
        <item x="642"/>
        <item x="611"/>
        <item x="119"/>
        <item x="309"/>
        <item x="169"/>
        <item x="854"/>
        <item x="902"/>
        <item x="971"/>
        <item x="317"/>
        <item x="975"/>
        <item x="895"/>
        <item x="704"/>
        <item x="877"/>
        <item x="438"/>
        <item x="977"/>
        <item x="17"/>
        <item x="634"/>
        <item x="337"/>
        <item x="184"/>
        <item x="166"/>
        <item x="505"/>
        <item x="896"/>
        <item x="871"/>
        <item x="921"/>
        <item x="795"/>
        <item x="244"/>
        <item x="208"/>
        <item x="665"/>
        <item x="615"/>
        <item x="155"/>
        <item x="521"/>
        <item x="340"/>
        <item x="552"/>
        <item x="267"/>
        <item x="272"/>
        <item x="130"/>
        <item x="956"/>
        <item x="103"/>
        <item x="331"/>
        <item x="140"/>
        <item x="268"/>
        <item x="851"/>
        <item x="731"/>
        <item x="341"/>
        <item x="866"/>
        <item x="944"/>
        <item x="304"/>
        <item x="929"/>
        <item x="514"/>
        <item x="526"/>
        <item x="697"/>
        <item x="50"/>
        <item x="90"/>
        <item x="994"/>
        <item x="774"/>
        <item x="952"/>
        <item x="72"/>
        <item x="308"/>
        <item x="108"/>
        <item x="943"/>
        <item x="991"/>
        <item x="461"/>
        <item x="764"/>
        <item x="772"/>
        <item x="182"/>
        <item x="775"/>
        <item x="638"/>
        <item x="289"/>
        <item x="55"/>
        <item x="787"/>
        <item x="7"/>
        <item x="102"/>
        <item x="529"/>
        <item x="596"/>
        <item x="732"/>
        <item x="528"/>
        <item x="222"/>
        <item x="633"/>
        <item x="84"/>
        <item x="179"/>
        <item x="690"/>
        <item x="499"/>
        <item x="815"/>
        <item x="226"/>
        <item x="299"/>
        <item x="354"/>
        <item x="867"/>
        <item x="143"/>
        <item x="718"/>
        <item x="965"/>
        <item x="153"/>
        <item x="749"/>
        <item x="9"/>
        <item x="475"/>
        <item x="661"/>
        <item x="798"/>
        <item x="25"/>
        <item x="429"/>
        <item x="297"/>
        <item x="858"/>
        <item x="695"/>
        <item x="999"/>
        <item x="823"/>
        <item x="462"/>
        <item x="258"/>
        <item x="234"/>
        <item x="392"/>
        <item x="560"/>
        <item x="714"/>
        <item x="811"/>
        <item x="517"/>
        <item x="292"/>
        <item x="621"/>
        <item x="328"/>
        <item x="73"/>
        <item x="359"/>
        <item x="377"/>
        <item x="853"/>
        <item x="111"/>
        <item x="426"/>
        <item x="603"/>
        <item x="945"/>
        <item x="246"/>
        <item x="62"/>
        <item x="769"/>
        <item x="75"/>
        <item x="939"/>
        <item x="225"/>
        <item x="942"/>
        <item x="484"/>
        <item x="164"/>
        <item x="35"/>
        <item x="728"/>
        <item x="334"/>
        <item x="477"/>
        <item x="989"/>
        <item x="428"/>
        <item x="360"/>
        <item x="906"/>
        <item x="682"/>
        <item x="397"/>
        <item x="220"/>
        <item x="445"/>
        <item x="451"/>
        <item x="935"/>
        <item x="782"/>
        <item x="894"/>
        <item x="173"/>
        <item x="659"/>
        <item x="318"/>
        <item x="288"/>
        <item x="686"/>
        <item x="455"/>
        <item x="323"/>
        <item x="283"/>
        <item x="167"/>
        <item x="209"/>
        <item x="712"/>
        <item x="515"/>
        <item x="52"/>
        <item x="203"/>
        <item x="168"/>
        <item x="389"/>
        <item x="506"/>
        <item x="206"/>
        <item x="248"/>
        <item x="889"/>
        <item x="570"/>
        <item x="891"/>
        <item x="656"/>
        <item x="124"/>
        <item x="363"/>
        <item x="51"/>
        <item x="966"/>
        <item x="951"/>
        <item x="760"/>
        <item x="371"/>
        <item x="887"/>
        <item x="789"/>
        <item x="430"/>
        <item x="421"/>
        <item x="262"/>
        <item x="240"/>
        <item x="922"/>
        <item x="735"/>
        <item x="314"/>
        <item x="282"/>
        <item x="355"/>
        <item x="343"/>
        <item x="254"/>
        <item x="657"/>
        <item x="221"/>
        <item x="946"/>
        <item x="573"/>
        <item x="0"/>
        <item x="643"/>
        <item x="187"/>
        <item x="848"/>
        <item x="813"/>
        <item x="390"/>
        <item x="688"/>
        <item x="785"/>
        <item x="860"/>
        <item x="543"/>
        <item x="996"/>
        <item x="491"/>
        <item x="247"/>
        <item x="233"/>
        <item x="136"/>
        <item x="703"/>
        <item x="836"/>
        <item x="126"/>
        <item x="330"/>
        <item x="762"/>
        <item x="571"/>
        <item x="926"/>
        <item x="988"/>
        <item x="175"/>
        <item x="541"/>
        <item x="675"/>
        <item x="907"/>
        <item x="913"/>
        <item x="581"/>
        <item x="598"/>
        <item x="365"/>
        <item x="194"/>
        <item x="685"/>
        <item x="228"/>
        <item x="125"/>
        <item x="86"/>
        <item x="115"/>
        <item x="721"/>
        <item x="183"/>
        <item x="68"/>
        <item x="776"/>
        <item x="116"/>
        <item x="607"/>
        <item x="161"/>
        <item x="216"/>
        <item x="766"/>
        <item x="65"/>
        <item x="995"/>
        <item x="908"/>
        <item x="753"/>
        <item x="24"/>
        <item x="671"/>
        <item x="668"/>
        <item x="953"/>
        <item x="320"/>
        <item x="361"/>
        <item x="16"/>
        <item x="768"/>
        <item x="37"/>
        <item x="105"/>
        <item x="833"/>
        <item x="425"/>
        <item x="158"/>
        <item x="794"/>
        <item x="325"/>
        <item x="566"/>
        <item x="947"/>
        <item x="408"/>
        <item x="559"/>
        <item x="219"/>
        <item x="577"/>
        <item x="30"/>
        <item x="680"/>
        <item x="793"/>
        <item x="593"/>
        <item x="924"/>
        <item x="113"/>
        <item x="106"/>
        <item x="290"/>
        <item x="257"/>
        <item x="959"/>
        <item x="376"/>
        <item x="626"/>
        <item x="950"/>
        <item x="770"/>
        <item x="759"/>
        <item x="372"/>
        <item x="394"/>
        <item x="230"/>
        <item x="302"/>
        <item x="200"/>
        <item x="139"/>
        <item x="985"/>
        <item x="494"/>
        <item x="487"/>
        <item x="489"/>
        <item x="42"/>
        <item x="454"/>
        <item x="733"/>
        <item x="66"/>
        <item x="583"/>
        <item x="39"/>
        <item x="418"/>
        <item x="435"/>
        <item x="4"/>
        <item x="931"/>
        <item x="738"/>
        <item x="261"/>
        <item x="911"/>
        <item x="170"/>
        <item x="790"/>
        <item x="538"/>
        <item x="391"/>
        <item x="41"/>
        <item x="614"/>
        <item x="235"/>
        <item x="61"/>
        <item x="369"/>
        <item x="590"/>
        <item x="49"/>
        <item x="694"/>
        <item x="653"/>
        <item x="315"/>
        <item x="627"/>
        <item x="417"/>
        <item x="121"/>
        <item x="885"/>
        <item x="278"/>
        <item x="595"/>
        <item x="713"/>
        <item x="154"/>
        <item x="699"/>
        <item x="5"/>
        <item x="903"/>
        <item x="463"/>
        <item x="565"/>
        <item x="306"/>
        <item x="863"/>
        <item x="502"/>
        <item x="835"/>
        <item x="156"/>
        <item x="673"/>
        <item x="132"/>
        <item x="976"/>
        <item x="847"/>
        <item x="338"/>
        <item x="403"/>
        <item x="969"/>
        <item x="524"/>
        <item x="820"/>
        <item x="159"/>
        <item x="909"/>
        <item x="460"/>
        <item x="932"/>
        <item x="930"/>
        <item x="726"/>
        <item x="326"/>
        <item x="550"/>
        <item x="40"/>
        <item x="980"/>
        <item x="512"/>
        <item x="107"/>
        <item x="145"/>
        <item x="172"/>
        <item x="678"/>
        <item x="727"/>
        <item x="805"/>
        <item x="424"/>
        <item x="799"/>
        <item x="691"/>
        <item x="443"/>
        <item x="852"/>
        <item x="927"/>
        <item x="844"/>
        <item x="198"/>
        <item x="448"/>
        <item x="692"/>
        <item x="476"/>
        <item x="670"/>
        <item x="984"/>
        <item x="933"/>
        <item x="229"/>
        <item x="612"/>
        <item x="520"/>
        <item x="449"/>
        <item x="379"/>
        <item x="264"/>
        <item x="591"/>
        <item x="412"/>
        <item x="958"/>
        <item x="500"/>
        <item x="104"/>
        <item x="281"/>
        <item x="992"/>
        <item x="48"/>
        <item x="279"/>
        <item x="79"/>
        <item x="2"/>
        <item x="751"/>
        <item x="470"/>
        <item x="110"/>
        <item x="938"/>
        <item x="129"/>
        <item x="436"/>
        <item x="274"/>
        <item x="415"/>
        <item x="705"/>
        <item x="165"/>
        <item x="212"/>
        <item x="964"/>
        <item x="176"/>
        <item x="804"/>
        <item x="562"/>
        <item x="20"/>
        <item x="332"/>
        <item x="920"/>
        <item x="324"/>
        <item x="800"/>
        <item x="469"/>
        <item x="14"/>
        <item x="307"/>
        <item x="791"/>
        <item x="80"/>
        <item x="580"/>
        <item x="458"/>
        <item x="456"/>
        <item x="348"/>
        <item x="407"/>
        <item x="888"/>
        <item x="693"/>
        <item x="224"/>
        <item x="251"/>
        <item x="146"/>
        <item x="878"/>
        <item x="231"/>
        <item x="551"/>
        <item x="579"/>
        <item x="480"/>
        <item x="624"/>
        <item x="217"/>
        <item x="401"/>
        <item x="756"/>
        <item x="730"/>
        <item x="100"/>
        <item x="636"/>
        <item x="310"/>
        <item x="818"/>
        <item x="708"/>
        <item x="56"/>
        <item x="58"/>
        <item x="321"/>
        <item x="608"/>
        <item x="388"/>
        <item x="67"/>
        <item x="189"/>
        <item x="114"/>
        <item x="792"/>
        <item x="434"/>
        <item x="211"/>
        <item x="152"/>
        <item x="701"/>
        <item x="679"/>
        <item x="311"/>
        <item x="662"/>
        <item x="954"/>
        <item x="876"/>
        <item x="940"/>
        <item x="386"/>
        <item x="370"/>
        <item x="178"/>
        <item x="773"/>
        <item x="15"/>
        <item x="886"/>
        <item x="722"/>
        <item x="780"/>
        <item x="660"/>
        <item x="402"/>
        <item x="453"/>
        <item x="949"/>
        <item x="531"/>
        <item x="706"/>
        <item x="356"/>
        <item x="997"/>
        <item x="655"/>
        <item x="349"/>
        <item x="78"/>
        <item x="89"/>
        <item x="253"/>
        <item x="567"/>
        <item x="843"/>
        <item x="293"/>
        <item x="563"/>
        <item x="385"/>
        <item x="459"/>
        <item x="742"/>
        <item x="466"/>
        <item x="141"/>
        <item x="47"/>
        <item x="271"/>
        <item x="294"/>
        <item x="300"/>
        <item x="36"/>
        <item x="837"/>
        <item x="199"/>
        <item x="197"/>
        <item x="917"/>
        <item x="600"/>
        <item x="993"/>
        <item x="393"/>
        <item x="651"/>
        <item x="43"/>
        <item x="807"/>
        <item x="819"/>
        <item x="666"/>
        <item x="375"/>
        <item x="574"/>
        <item x="602"/>
        <item x="236"/>
        <item x="584"/>
        <item x="345"/>
        <item x="707"/>
        <item x="91"/>
        <item x="510"/>
        <item x="881"/>
        <item x="501"/>
        <item x="875"/>
        <item x="93"/>
        <item x="33"/>
        <item x="85"/>
        <item x="669"/>
        <item x="810"/>
        <item x="918"/>
        <item x="322"/>
        <item x="755"/>
        <item x="88"/>
        <item x="831"/>
        <item x="362"/>
        <item x="472"/>
        <item x="973"/>
        <item x="979"/>
        <item x="118"/>
        <item x="6"/>
        <item x="856"/>
        <item x="767"/>
        <item x="122"/>
        <item x="26"/>
        <item x="171"/>
        <item x="53"/>
        <item x="18"/>
        <item x="123"/>
        <item x="884"/>
        <item x="346"/>
        <item x="658"/>
        <item x="239"/>
        <item x="821"/>
        <item x="223"/>
        <item x="82"/>
        <item x="12"/>
        <item x="629"/>
        <item x="757"/>
        <item x="347"/>
        <item x="586"/>
        <item x="834"/>
        <item x="674"/>
        <item x="654"/>
        <item x="750"/>
        <item x="736"/>
        <item x="803"/>
        <item x="95"/>
        <item x="561"/>
        <item x="273"/>
        <item x="395"/>
        <item x="181"/>
        <item x="148"/>
        <item x="275"/>
        <item x="243"/>
        <item x="544"/>
        <item x="350"/>
        <item x="163"/>
        <item x="516"/>
        <item x="788"/>
        <item x="597"/>
        <item x="812"/>
        <item x="745"/>
        <item x="493"/>
        <item x="840"/>
        <item x="177"/>
        <item x="957"/>
        <item x="249"/>
        <item x="558"/>
        <item x="923"/>
        <item x="849"/>
        <item x="893"/>
        <item x="919"/>
        <item x="414"/>
        <item x="859"/>
        <item x="214"/>
        <item x="57"/>
        <item x="44"/>
        <item x="827"/>
        <item x="667"/>
        <item x="381"/>
        <item x="822"/>
        <item x="846"/>
        <item x="522"/>
        <item x="204"/>
        <item x="709"/>
        <item x="914"/>
        <item x="609"/>
        <item x="180"/>
        <item x="433"/>
        <item x="351"/>
        <item x="676"/>
        <item x="647"/>
        <item x="507"/>
        <item x="801"/>
        <item x="207"/>
        <item x="974"/>
        <item x="358"/>
        <item x="398"/>
        <item x="396"/>
        <item x="327"/>
        <item x="92"/>
        <item x="649"/>
        <item x="892"/>
        <item x="447"/>
        <item x="11"/>
        <item x="174"/>
        <item x="205"/>
        <item x="754"/>
        <item x="585"/>
        <item x="711"/>
        <item x="287"/>
        <item x="874"/>
        <item x="622"/>
        <item x="513"/>
        <item x="613"/>
        <item x="488"/>
        <item x="59"/>
        <item x="76"/>
        <item x="71"/>
        <item x="828"/>
        <item x="277"/>
        <item x="511"/>
        <item x="399"/>
        <item x="269"/>
        <item x="830"/>
        <item x="555"/>
        <item x="411"/>
        <item x="353"/>
        <item x="587"/>
        <item x="255"/>
        <item x="631"/>
        <item x="786"/>
        <item x="250"/>
        <item x="344"/>
        <item x="492"/>
        <item x="553"/>
        <item x="599"/>
        <item x="898"/>
        <item x="186"/>
        <item x="802"/>
        <item x="865"/>
        <item x="681"/>
        <item x="861"/>
        <item x="368"/>
        <item x="582"/>
        <item x="554"/>
        <item x="23"/>
        <item x="266"/>
        <item x="29"/>
        <item x="303"/>
        <item x="319"/>
        <item x="545"/>
        <item x="364"/>
        <item x="857"/>
        <item x="452"/>
        <item x="3"/>
        <item x="637"/>
        <item x="542"/>
        <item x="286"/>
        <item x="568"/>
        <item x="490"/>
        <item x="734"/>
        <item x="69"/>
        <item x="419"/>
        <item x="778"/>
        <item x="737"/>
        <item x="485"/>
        <item x="87"/>
        <item x="263"/>
        <item x="588"/>
        <item x="291"/>
        <item x="870"/>
        <item x="468"/>
        <item x="342"/>
        <item x="724"/>
        <item x="473"/>
        <item x="967"/>
        <item x="295"/>
        <item x="983"/>
        <item x="444"/>
        <item x="405"/>
        <item x="373"/>
        <item x="826"/>
        <item x="406"/>
        <item x="717"/>
        <item x="534"/>
        <item x="81"/>
        <item x="941"/>
        <item x="94"/>
        <item x="313"/>
        <item x="238"/>
        <item x="479"/>
        <item x="120"/>
        <item x="639"/>
        <item x="816"/>
        <item x="259"/>
        <item x="689"/>
        <item x="569"/>
        <item x="437"/>
        <item x="635"/>
        <item x="897"/>
        <item x="575"/>
        <item x="383"/>
        <item x="137"/>
        <item x="138"/>
        <item x="382"/>
        <item x="998"/>
        <item x="862"/>
        <item x="925"/>
        <item x="404"/>
        <item x="486"/>
        <item x="518"/>
        <item x="960"/>
        <item x="899"/>
        <item x="465"/>
        <item x="841"/>
        <item x="557"/>
        <item x="27"/>
        <item x="497"/>
        <item x="498"/>
        <item x="280"/>
        <item x="374"/>
        <item x="632"/>
        <item x="604"/>
        <item x="149"/>
        <item x="316"/>
        <item x="677"/>
        <item x="508"/>
        <item x="698"/>
        <item x="378"/>
        <item x="758"/>
        <item x="530"/>
        <item x="157"/>
        <item x="142"/>
        <item x="525"/>
        <item x="617"/>
        <item x="276"/>
        <item x="650"/>
        <item x="825"/>
        <item x="285"/>
        <item x="982"/>
        <item x="548"/>
        <item x="442"/>
        <item x="298"/>
        <item x="523"/>
        <item x="729"/>
        <item x="838"/>
        <item x="916"/>
        <item x="777"/>
        <item x="986"/>
        <item x="616"/>
        <item x="672"/>
        <item x="961"/>
        <item x="135"/>
        <item x="824"/>
        <item x="610"/>
        <item x="70"/>
        <item x="644"/>
        <item x="60"/>
        <item x="74"/>
        <item x="504"/>
        <item x="855"/>
        <item x="809"/>
        <item x="431"/>
        <item x="117"/>
        <item x="527"/>
        <item x="446"/>
        <item x="915"/>
        <item x="684"/>
        <item x="741"/>
        <item x="797"/>
        <item x="420"/>
        <item x="427"/>
        <item x="710"/>
        <item x="410"/>
        <item x="474"/>
        <item x="832"/>
        <item x="151"/>
        <item x="519"/>
        <item x="696"/>
        <item x="380"/>
        <item x="640"/>
        <item x="572"/>
        <item x="564"/>
        <item x="237"/>
        <item x="761"/>
        <item x="96"/>
        <item x="32"/>
        <item x="806"/>
        <item x="904"/>
        <item x="625"/>
        <item x="312"/>
        <item x="883"/>
        <item x="771"/>
        <item x="422"/>
        <item x="400"/>
        <item x="188"/>
        <item x="423"/>
        <item x="144"/>
        <item x="592"/>
        <item x="335"/>
        <item x="663"/>
        <item x="963"/>
        <item x="202"/>
        <item x="744"/>
        <item t="default"/>
      </items>
    </pivotField>
    <pivotField compact="0" showAll="0">
      <items count="1000">
        <item x="872"/>
        <item x="605"/>
        <item x="99"/>
        <item x="719"/>
        <item x="482"/>
        <item x="646"/>
        <item x="556"/>
        <item x="478"/>
        <item x="867"/>
        <item x="201"/>
        <item x="127"/>
        <item x="227"/>
        <item x="868"/>
        <item x="606"/>
        <item x="628"/>
        <item x="13"/>
        <item x="971"/>
        <item x="936"/>
        <item x="927"/>
        <item x="816"/>
        <item x="8"/>
        <item x="879"/>
        <item x="265"/>
        <item x="112"/>
        <item x="213"/>
        <item x="933"/>
        <item x="162"/>
        <item x="339"/>
        <item x="45"/>
        <item x="464"/>
        <item x="496"/>
        <item x="989"/>
        <item x="782"/>
        <item x="218"/>
        <item x="483"/>
        <item x="751"/>
        <item x="947"/>
        <item x="623"/>
        <item x="641"/>
        <item x="439"/>
        <item x="441"/>
        <item x="549"/>
        <item x="296"/>
        <item x="241"/>
        <item x="210"/>
        <item x="911"/>
        <item x="367"/>
        <item x="547"/>
        <item x="778"/>
        <item x="986"/>
        <item x="589"/>
        <item x="195"/>
        <item x="935"/>
        <item x="193"/>
        <item x="715"/>
        <item x="899"/>
        <item x="1"/>
        <item x="413"/>
        <item x="961"/>
        <item x="242"/>
        <item x="535"/>
        <item x="578"/>
        <item x="780"/>
        <item x="594"/>
        <item x="746"/>
        <item x="699"/>
        <item x="10"/>
        <item x="190"/>
        <item x="101"/>
        <item x="828"/>
        <item x="450"/>
        <item x="63"/>
        <item x="838"/>
        <item x="46"/>
        <item x="954"/>
        <item x="977"/>
        <item x="881"/>
        <item x="260"/>
        <item x="652"/>
        <item x="301"/>
        <item x="619"/>
        <item x="256"/>
        <item x="128"/>
        <item x="871"/>
        <item x="738"/>
        <item x="387"/>
        <item x="533"/>
        <item x="409"/>
        <item x="38"/>
        <item x="252"/>
        <item x="900"/>
        <item x="232"/>
        <item x="305"/>
        <item x="687"/>
        <item x="98"/>
        <item x="336"/>
        <item x="722"/>
        <item x="878"/>
        <item x="795"/>
        <item x="747"/>
        <item x="503"/>
        <item x="21"/>
        <item x="980"/>
        <item x="532"/>
        <item x="77"/>
        <item x="642"/>
        <item x="34"/>
        <item x="714"/>
        <item x="546"/>
        <item x="185"/>
        <item x="357"/>
        <item x="196"/>
        <item x="539"/>
        <item x="495"/>
        <item x="742"/>
        <item x="150"/>
        <item x="31"/>
        <item x="28"/>
        <item x="457"/>
        <item x="849"/>
        <item x="664"/>
        <item x="416"/>
        <item x="703"/>
        <item x="618"/>
        <item x="215"/>
        <item x="955"/>
        <item x="467"/>
        <item x="841"/>
        <item x="620"/>
        <item x="54"/>
        <item x="329"/>
        <item x="813"/>
        <item x="83"/>
        <item x="540"/>
        <item x="764"/>
        <item x="648"/>
        <item x="526"/>
        <item x="724"/>
        <item x="133"/>
        <item x="134"/>
        <item x="270"/>
        <item x="901"/>
        <item x="863"/>
        <item x="245"/>
        <item x="894"/>
        <item x="192"/>
        <item x="109"/>
        <item x="337"/>
        <item x="384"/>
        <item x="108"/>
        <item x="191"/>
        <item x="19"/>
        <item x="537"/>
        <item x="615"/>
        <item x="718"/>
        <item x="763"/>
        <item x="889"/>
        <item x="576"/>
        <item x="97"/>
        <item x="147"/>
        <item x="340"/>
        <item x="366"/>
        <item x="352"/>
        <item x="745"/>
        <item x="665"/>
        <item x="807"/>
        <item x="22"/>
        <item x="333"/>
        <item x="762"/>
        <item x="783"/>
        <item x="634"/>
        <item x="17"/>
        <item x="268"/>
        <item x="528"/>
        <item x="432"/>
        <item x="471"/>
        <item x="90"/>
        <item x="308"/>
        <item x="683"/>
        <item x="739"/>
        <item x="461"/>
        <item x="844"/>
        <item x="876"/>
        <item x="870"/>
        <item x="661"/>
        <item x="696"/>
        <item x="967"/>
        <item x="974"/>
        <item x="976"/>
        <item x="160"/>
        <item x="284"/>
        <item x="904"/>
        <item x="730"/>
        <item x="55"/>
        <item x="943"/>
        <item x="920"/>
        <item x="297"/>
        <item x="701"/>
        <item x="774"/>
        <item x="438"/>
        <item x="155"/>
        <item x="633"/>
        <item x="131"/>
        <item x="517"/>
        <item x="317"/>
        <item x="638"/>
        <item x="462"/>
        <item x="909"/>
        <item x="64"/>
        <item x="905"/>
        <item x="429"/>
        <item x="440"/>
        <item x="509"/>
        <item x="630"/>
        <item x="866"/>
        <item x="969"/>
        <item x="645"/>
        <item x="514"/>
        <item x="505"/>
        <item x="521"/>
        <item x="428"/>
        <item x="794"/>
        <item x="601"/>
        <item x="970"/>
        <item x="111"/>
        <item x="690"/>
        <item x="748"/>
        <item x="659"/>
        <item x="865"/>
        <item x="246"/>
        <item x="426"/>
        <item x="208"/>
        <item x="119"/>
        <item x="928"/>
        <item x="267"/>
        <item x="481"/>
        <item x="852"/>
        <item x="853"/>
        <item x="506"/>
        <item x="993"/>
        <item x="222"/>
        <item x="363"/>
        <item x="682"/>
        <item x="225"/>
        <item x="73"/>
        <item x="169"/>
        <item x="895"/>
        <item x="309"/>
        <item x="445"/>
        <item x="184"/>
        <item x="611"/>
        <item x="536"/>
        <item x="140"/>
        <item x="771"/>
        <item x="226"/>
        <item x="711"/>
        <item x="990"/>
        <item x="166"/>
        <item x="244"/>
        <item x="334"/>
        <item x="299"/>
        <item x="292"/>
        <item x="850"/>
        <item x="360"/>
        <item x="397"/>
        <item x="289"/>
        <item x="272"/>
        <item x="938"/>
        <item x="7"/>
        <item x="560"/>
        <item x="529"/>
        <item x="323"/>
        <item x="136"/>
        <item x="130"/>
        <item x="248"/>
        <item x="50"/>
        <item x="797"/>
        <item x="822"/>
        <item x="328"/>
        <item x="552"/>
        <item x="942"/>
        <item x="182"/>
        <item x="103"/>
        <item x="499"/>
        <item x="314"/>
        <item x="951"/>
        <item x="65"/>
        <item x="234"/>
        <item x="341"/>
        <item x="786"/>
        <item x="175"/>
        <item x="75"/>
        <item x="331"/>
        <item x="934"/>
        <item x="675"/>
        <item x="84"/>
        <item x="143"/>
        <item x="893"/>
        <item x="209"/>
        <item x="254"/>
        <item x="596"/>
        <item x="455"/>
        <item x="102"/>
        <item x="359"/>
        <item x="354"/>
        <item x="964"/>
        <item x="304"/>
        <item x="355"/>
        <item x="179"/>
        <item x="318"/>
        <item x="671"/>
        <item x="668"/>
        <item x="25"/>
        <item x="621"/>
        <item x="475"/>
        <item x="773"/>
        <item x="392"/>
        <item x="72"/>
        <item x="945"/>
        <item x="9"/>
        <item x="784"/>
        <item x="377"/>
        <item x="912"/>
        <item x="570"/>
        <item x="390"/>
        <item x="240"/>
        <item x="573"/>
        <item x="694"/>
        <item x="173"/>
        <item x="832"/>
        <item x="593"/>
        <item x="581"/>
        <item x="788"/>
        <item x="153"/>
        <item x="998"/>
        <item x="944"/>
        <item x="86"/>
        <item x="288"/>
        <item x="921"/>
        <item x="941"/>
        <item x="394"/>
        <item x="657"/>
        <item x="389"/>
        <item x="164"/>
        <item x="62"/>
        <item x="792"/>
        <item x="258"/>
        <item x="734"/>
        <item x="598"/>
        <item x="35"/>
        <item x="958"/>
        <item x="343"/>
        <item x="731"/>
        <item x="814"/>
        <item x="835"/>
        <item x="161"/>
        <item x="732"/>
        <item x="484"/>
        <item x="219"/>
        <item x="686"/>
        <item x="812"/>
        <item x="720"/>
        <item x="203"/>
        <item x="139"/>
        <item x="768"/>
        <item x="717"/>
        <item x="688"/>
        <item x="765"/>
        <item x="781"/>
        <item x="233"/>
        <item x="752"/>
        <item x="603"/>
        <item x="987"/>
        <item x="984"/>
        <item x="949"/>
        <item x="477"/>
        <item x="421"/>
        <item x="727"/>
        <item x="221"/>
        <item x="116"/>
        <item x="330"/>
        <item x="376"/>
        <item x="220"/>
        <item x="571"/>
        <item x="857"/>
        <item x="187"/>
        <item x="24"/>
        <item x="656"/>
        <item x="543"/>
        <item x="713"/>
        <item x="489"/>
        <item x="320"/>
        <item x="51"/>
        <item x="758"/>
        <item x="834"/>
        <item x="627"/>
        <item x="698"/>
        <item x="369"/>
        <item x="810"/>
        <item x="125"/>
        <item x="52"/>
        <item x="737"/>
        <item x="923"/>
        <item x="952"/>
        <item x="124"/>
        <item x="451"/>
        <item x="847"/>
        <item x="550"/>
        <item x="890"/>
        <item x="68"/>
        <item x="158"/>
        <item x="391"/>
        <item x="804"/>
        <item x="371"/>
        <item x="761"/>
        <item x="430"/>
        <item x="888"/>
        <item x="988"/>
        <item x="643"/>
        <item x="206"/>
        <item x="282"/>
        <item x="793"/>
        <item x="167"/>
        <item x="494"/>
        <item x="798"/>
        <item x="372"/>
        <item x="487"/>
        <item x="463"/>
        <item x="216"/>
        <item x="932"/>
        <item x="590"/>
        <item x="968"/>
        <item x="702"/>
        <item x="965"/>
        <item x="685"/>
        <item x="975"/>
        <item x="283"/>
        <item x="403"/>
        <item x="994"/>
        <item x="476"/>
        <item x="145"/>
        <item x="691"/>
        <item x="261"/>
        <item x="168"/>
        <item x="274"/>
        <item x="515"/>
        <item x="678"/>
        <item x="230"/>
        <item x="950"/>
        <item x="759"/>
        <item x="614"/>
        <item x="704"/>
        <item x="693"/>
        <item x="262"/>
        <item x="995"/>
        <item x="803"/>
        <item x="107"/>
        <item x="491"/>
        <item x="926"/>
        <item x="886"/>
        <item x="156"/>
        <item x="105"/>
        <item x="946"/>
        <item x="729"/>
        <item x="247"/>
        <item x="859"/>
        <item x="66"/>
        <item x="775"/>
        <item x="929"/>
        <item x="0"/>
        <item x="906"/>
        <item x="636"/>
        <item x="930"/>
        <item x="279"/>
        <item x="194"/>
        <item x="541"/>
        <item x="154"/>
        <item x="607"/>
        <item x="126"/>
        <item x="925"/>
        <item x="408"/>
        <item x="257"/>
        <item x="306"/>
        <item x="559"/>
        <item x="39"/>
        <item x="425"/>
        <item x="16"/>
        <item x="566"/>
        <item x="302"/>
        <item x="37"/>
        <item x="565"/>
        <item x="538"/>
        <item x="49"/>
        <item x="670"/>
        <item x="365"/>
        <item x="5"/>
        <item x="884"/>
        <item x="456"/>
        <item x="121"/>
        <item x="228"/>
        <item x="264"/>
        <item x="30"/>
        <item x="42"/>
        <item x="48"/>
        <item x="217"/>
        <item x="159"/>
        <item x="183"/>
        <item x="626"/>
        <item x="583"/>
        <item x="417"/>
        <item x="524"/>
        <item x="132"/>
        <item x="115"/>
        <item x="435"/>
        <item x="673"/>
        <item x="251"/>
        <item x="910"/>
        <item x="106"/>
        <item x="176"/>
        <item x="902"/>
        <item x="448"/>
        <item x="725"/>
        <item x="40"/>
        <item x="789"/>
        <item x="300"/>
        <item x="307"/>
        <item x="948"/>
        <item x="235"/>
        <item x="907"/>
        <item x="80"/>
        <item x="114"/>
        <item x="290"/>
        <item x="20"/>
        <item x="170"/>
        <item x="790"/>
        <item x="325"/>
        <item x="799"/>
        <item x="843"/>
        <item x="767"/>
        <item x="361"/>
        <item x="885"/>
        <item x="772"/>
        <item x="113"/>
        <item x="36"/>
        <item x="666"/>
        <item x="502"/>
        <item x="388"/>
        <item x="454"/>
        <item x="887"/>
        <item x="819"/>
        <item x="200"/>
        <item x="653"/>
        <item x="836"/>
        <item x="612"/>
        <item x="2"/>
        <item x="577"/>
        <item x="293"/>
        <item x="500"/>
        <item x="61"/>
        <item x="93"/>
        <item x="963"/>
        <item x="669"/>
        <item x="520"/>
        <item x="311"/>
        <item x="750"/>
        <item x="706"/>
        <item x="680"/>
        <item x="82"/>
        <item x="165"/>
        <item x="983"/>
        <item x="567"/>
        <item x="379"/>
        <item x="418"/>
        <item x="362"/>
        <item x="608"/>
        <item x="991"/>
        <item x="315"/>
        <item x="992"/>
        <item x="189"/>
        <item x="818"/>
        <item x="931"/>
        <item x="769"/>
        <item x="146"/>
        <item x="956"/>
        <item x="629"/>
        <item x="229"/>
        <item x="862"/>
        <item x="692"/>
        <item x="41"/>
        <item x="253"/>
        <item x="469"/>
        <item x="586"/>
        <item x="172"/>
        <item x="95"/>
        <item x="152"/>
        <item x="33"/>
        <item x="531"/>
        <item x="67"/>
        <item x="846"/>
        <item x="726"/>
        <item x="4"/>
        <item x="281"/>
        <item x="877"/>
        <item x="580"/>
        <item x="178"/>
        <item x="996"/>
        <item x="953"/>
        <item x="177"/>
        <item x="460"/>
        <item x="56"/>
        <item x="595"/>
        <item x="851"/>
        <item x="755"/>
        <item x="766"/>
        <item x="231"/>
        <item x="707"/>
        <item x="324"/>
        <item x="908"/>
        <item x="919"/>
        <item x="57"/>
        <item x="754"/>
        <item x="414"/>
        <item x="741"/>
        <item x="436"/>
        <item x="624"/>
        <item x="338"/>
        <item x="212"/>
        <item x="199"/>
        <item x="326"/>
        <item x="443"/>
        <item x="712"/>
        <item x="811"/>
        <item x="558"/>
        <item x="574"/>
        <item x="278"/>
        <item x="791"/>
        <item x="875"/>
        <item x="224"/>
        <item x="412"/>
        <item x="141"/>
        <item x="310"/>
        <item x="415"/>
        <item x="100"/>
        <item x="53"/>
        <item x="58"/>
        <item x="516"/>
        <item x="512"/>
        <item x="171"/>
        <item x="393"/>
        <item x="979"/>
        <item x="922"/>
        <item x="211"/>
        <item x="148"/>
        <item x="89"/>
        <item x="198"/>
        <item x="662"/>
        <item x="735"/>
        <item x="110"/>
        <item x="655"/>
        <item x="493"/>
        <item x="806"/>
        <item x="243"/>
        <item x="249"/>
        <item x="584"/>
        <item x="79"/>
        <item x="348"/>
        <item x="294"/>
        <item x="916"/>
        <item x="424"/>
        <item x="779"/>
        <item x="381"/>
        <item x="447"/>
        <item x="562"/>
        <item x="466"/>
        <item x="11"/>
        <item x="76"/>
        <item x="660"/>
        <item x="14"/>
        <item x="271"/>
        <item x="667"/>
        <item x="787"/>
        <item x="458"/>
        <item x="501"/>
        <item x="332"/>
        <item x="129"/>
        <item x="12"/>
        <item x="15"/>
        <item x="591"/>
        <item x="104"/>
        <item x="26"/>
        <item x="809"/>
        <item x="434"/>
        <item x="880"/>
        <item x="123"/>
        <item x="957"/>
        <item x="449"/>
        <item x="470"/>
        <item x="551"/>
        <item x="700"/>
        <item x="613"/>
        <item x="802"/>
        <item x="353"/>
        <item x="396"/>
        <item x="821"/>
        <item x="563"/>
        <item x="705"/>
        <item x="568"/>
        <item x="204"/>
        <item x="649"/>
        <item x="385"/>
        <item x="407"/>
        <item x="749"/>
        <item x="358"/>
        <item x="401"/>
        <item x="883"/>
        <item x="327"/>
        <item x="842"/>
        <item x="579"/>
        <item x="344"/>
        <item x="321"/>
        <item x="937"/>
        <item x="459"/>
        <item x="733"/>
        <item x="609"/>
        <item x="375"/>
        <item x="239"/>
        <item x="480"/>
        <item x="472"/>
        <item x="452"/>
        <item x="492"/>
        <item x="681"/>
        <item x="679"/>
        <item x="453"/>
        <item x="820"/>
        <item x="785"/>
        <item x="864"/>
        <item x="356"/>
        <item x="940"/>
        <item x="386"/>
        <item x="286"/>
        <item x="43"/>
        <item x="263"/>
        <item x="561"/>
        <item x="259"/>
        <item x="753"/>
        <item x="817"/>
        <item x="223"/>
        <item x="827"/>
        <item x="897"/>
        <item x="273"/>
        <item x="800"/>
        <item x="554"/>
        <item x="542"/>
        <item x="370"/>
        <item x="826"/>
        <item x="349"/>
        <item x="723"/>
        <item x="437"/>
        <item x="637"/>
        <item x="180"/>
        <item x="350"/>
        <item x="275"/>
        <item x="721"/>
        <item x="78"/>
        <item x="736"/>
        <item x="373"/>
        <item x="398"/>
        <item x="406"/>
        <item x="402"/>
        <item x="939"/>
        <item x="544"/>
        <item x="207"/>
        <item x="917"/>
        <item x="18"/>
        <item x="825"/>
        <item x="319"/>
        <item x="689"/>
        <item x="510"/>
        <item x="181"/>
        <item x="815"/>
        <item x="163"/>
        <item x="399"/>
        <item x="833"/>
        <item x="444"/>
        <item x="122"/>
        <item x="874"/>
        <item x="85"/>
        <item x="71"/>
        <item x="47"/>
        <item x="677"/>
        <item x="597"/>
        <item x="708"/>
        <item x="602"/>
        <item x="839"/>
        <item x="582"/>
        <item x="197"/>
        <item x="651"/>
        <item x="236"/>
        <item x="658"/>
        <item x="382"/>
        <item x="972"/>
        <item x="395"/>
        <item x="654"/>
        <item x="346"/>
        <item x="744"/>
        <item x="303"/>
        <item x="918"/>
        <item x="488"/>
        <item x="345"/>
        <item x="966"/>
        <item x="118"/>
        <item x="91"/>
        <item x="600"/>
        <item x="545"/>
        <item x="829"/>
        <item x="631"/>
        <item x="383"/>
        <item x="588"/>
        <item x="973"/>
        <item x="913"/>
        <item x="823"/>
        <item x="622"/>
        <item x="891"/>
        <item x="830"/>
        <item x="892"/>
        <item x="553"/>
        <item x="342"/>
        <item x="756"/>
        <item x="473"/>
        <item x="174"/>
        <item x="801"/>
        <item x="530"/>
        <item x="513"/>
        <item x="848"/>
        <item x="845"/>
        <item x="322"/>
        <item x="287"/>
        <item x="978"/>
        <item x="88"/>
        <item x="23"/>
        <item x="44"/>
        <item x="854"/>
        <item x="855"/>
        <item x="419"/>
        <item x="557"/>
        <item x="347"/>
        <item x="511"/>
        <item x="295"/>
        <item x="6"/>
        <item x="647"/>
        <item x="431"/>
        <item x="860"/>
        <item x="433"/>
        <item x="959"/>
        <item x="92"/>
        <item x="674"/>
        <item x="186"/>
        <item x="522"/>
        <item x="858"/>
        <item x="479"/>
        <item x="81"/>
        <item x="368"/>
        <item x="697"/>
        <item x="837"/>
        <item x="710"/>
        <item x="269"/>
        <item x="29"/>
        <item x="94"/>
        <item x="250"/>
        <item x="575"/>
        <item x="861"/>
        <item x="214"/>
        <item x="276"/>
        <item x="291"/>
        <item x="3"/>
        <item x="640"/>
        <item x="548"/>
        <item x="351"/>
        <item x="757"/>
        <item x="446"/>
        <item x="137"/>
        <item x="117"/>
        <item x="632"/>
        <item x="266"/>
        <item x="639"/>
        <item x="490"/>
        <item x="507"/>
        <item x="728"/>
        <item x="856"/>
        <item x="497"/>
        <item x="676"/>
        <item x="617"/>
        <item x="70"/>
        <item x="59"/>
        <item x="205"/>
        <item x="316"/>
        <item x="650"/>
        <item x="585"/>
        <item x="873"/>
        <item x="238"/>
        <item x="527"/>
        <item x="716"/>
        <item x="157"/>
        <item x="474"/>
        <item x="982"/>
        <item x="997"/>
        <item x="411"/>
        <item x="840"/>
        <item x="599"/>
        <item x="555"/>
        <item x="138"/>
        <item x="364"/>
        <item x="740"/>
        <item x="277"/>
        <item x="564"/>
        <item x="604"/>
        <item x="96"/>
        <item x="587"/>
        <item x="255"/>
        <item x="985"/>
        <item x="777"/>
        <item x="120"/>
        <item x="142"/>
        <item x="188"/>
        <item x="882"/>
        <item x="796"/>
        <item x="313"/>
        <item x="87"/>
        <item x="869"/>
        <item x="69"/>
        <item x="468"/>
        <item x="616"/>
        <item x="644"/>
        <item x="592"/>
        <item x="915"/>
        <item x="896"/>
        <item x="335"/>
        <item x="312"/>
        <item x="485"/>
        <item x="508"/>
        <item x="625"/>
        <item x="405"/>
        <item x="610"/>
        <item x="663"/>
        <item x="298"/>
        <item x="410"/>
        <item x="534"/>
        <item x="519"/>
        <item x="427"/>
        <item x="486"/>
        <item x="523"/>
        <item x="285"/>
        <item x="924"/>
        <item x="903"/>
        <item x="569"/>
        <item x="981"/>
        <item x="149"/>
        <item x="378"/>
        <item x="635"/>
        <item x="60"/>
        <item x="684"/>
        <item x="824"/>
        <item x="280"/>
        <item x="695"/>
        <item x="374"/>
        <item x="709"/>
        <item x="465"/>
        <item x="400"/>
        <item x="776"/>
        <item x="404"/>
        <item x="518"/>
        <item x="498"/>
        <item x="525"/>
        <item x="442"/>
        <item x="27"/>
        <item x="144"/>
        <item x="898"/>
        <item x="237"/>
        <item x="151"/>
        <item x="504"/>
        <item x="202"/>
        <item x="831"/>
        <item x="760"/>
        <item x="135"/>
        <item x="672"/>
        <item x="422"/>
        <item x="808"/>
        <item x="74"/>
        <item x="960"/>
        <item x="770"/>
        <item x="914"/>
        <item x="420"/>
        <item x="572"/>
        <item x="32"/>
        <item x="380"/>
        <item x="805"/>
        <item x="743"/>
        <item x="423"/>
        <item x="962"/>
        <item t="default"/>
      </items>
    </pivotField>
    <pivotField compact="0" showAll="0">
      <items count="6">
        <item x="4"/>
        <item x="1"/>
        <item x="2"/>
        <item x="0"/>
        <item x="3"/>
        <item t="default"/>
      </items>
    </pivotField>
  </pivotFields>
  <dataFields count="1">
    <dataField name="Count of Order ID" fld="0" subtotal="count" baseField="0" baseItem="0"/>
  </dataFields>
  <formats count="2">
    <format dxfId="7">
      <pivotArea collapsedLevelsAreSubtotals="1" fieldPosition="0"/>
    </format>
    <format dxfId="8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M4:N6" firstHeaderRow="1" firstDataRow="1" firstDataCol="1"/>
  <pivotFields count="18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3" showAll="0">
      <items count="870">
        <item x="431"/>
        <item x="128"/>
        <item x="102"/>
        <item x="758"/>
        <item x="298"/>
        <item x="178"/>
        <item x="248"/>
        <item x="120"/>
        <item x="532"/>
        <item x="389"/>
        <item x="133"/>
        <item x="759"/>
        <item x="498"/>
        <item x="22"/>
        <item x="11"/>
        <item x="78"/>
        <item x="229"/>
        <item x="113"/>
        <item x="203"/>
        <item x="787"/>
        <item x="171"/>
        <item x="490"/>
        <item x="149"/>
        <item x="411"/>
        <item x="292"/>
        <item x="52"/>
        <item x="493"/>
        <item x="40"/>
        <item x="377"/>
        <item x="129"/>
        <item x="111"/>
        <item x="676"/>
        <item x="514"/>
        <item x="198"/>
        <item x="18"/>
        <item x="317"/>
        <item x="213"/>
        <item x="295"/>
        <item x="123"/>
        <item x="326"/>
        <item x="228"/>
        <item x="647"/>
        <item x="32"/>
        <item x="155"/>
        <item x="465"/>
        <item x="793"/>
        <item x="96"/>
        <item x="115"/>
        <item x="189"/>
        <item x="92"/>
        <item x="159"/>
        <item x="201"/>
        <item x="316"/>
        <item x="671"/>
        <item x="403"/>
        <item x="3"/>
        <item x="36"/>
        <item x="210"/>
        <item x="199"/>
        <item x="303"/>
        <item x="334"/>
        <item x="366"/>
        <item x="307"/>
        <item x="858"/>
        <item x="91"/>
        <item x="8"/>
        <item x="151"/>
        <item x="172"/>
        <item x="654"/>
        <item x="413"/>
        <item x="275"/>
        <item x="790"/>
        <item x="72"/>
        <item x="325"/>
        <item x="25"/>
        <item x="373"/>
        <item x="318"/>
        <item x="563"/>
        <item x="528"/>
        <item x="183"/>
        <item x="16"/>
        <item x="2"/>
        <item x="245"/>
        <item x="437"/>
        <item x="855"/>
        <item x="330"/>
        <item x="117"/>
        <item x="322"/>
        <item x="150"/>
        <item x="33"/>
        <item x="466"/>
        <item x="408"/>
        <item x="184"/>
        <item x="462"/>
        <item x="116"/>
        <item x="697"/>
        <item x="97"/>
        <item x="242"/>
        <item x="101"/>
        <item x="162"/>
        <item x="744"/>
        <item x="476"/>
        <item x="714"/>
        <item x="350"/>
        <item x="685"/>
        <item x="779"/>
        <item x="695"/>
        <item x="147"/>
        <item x="580"/>
        <item x="181"/>
        <item x="506"/>
        <item x="371"/>
        <item x="507"/>
        <item x="630"/>
        <item x="585"/>
        <item x="782"/>
        <item x="615"/>
        <item x="118"/>
        <item x="223"/>
        <item x="219"/>
        <item x="673"/>
        <item x="249"/>
        <item x="285"/>
        <item x="587"/>
        <item x="640"/>
        <item x="732"/>
        <item x="35"/>
        <item x="746"/>
        <item x="432"/>
        <item x="751"/>
        <item x="46"/>
        <item x="677"/>
        <item x="634"/>
        <item x="251"/>
        <item x="82"/>
        <item x="420"/>
        <item x="645"/>
        <item x="351"/>
        <item x="762"/>
        <item x="365"/>
        <item x="819"/>
        <item x="383"/>
        <item x="768"/>
        <item x="206"/>
        <item x="187"/>
        <item x="843"/>
        <item x="729"/>
        <item x="612"/>
        <item x="141"/>
        <item x="329"/>
        <item x="278"/>
        <item x="372"/>
        <item x="577"/>
        <item x="835"/>
        <item x="837"/>
        <item x="440"/>
        <item x="644"/>
        <item x="725"/>
        <item x="14"/>
        <item x="641"/>
        <item x="196"/>
        <item x="854"/>
        <item x="88"/>
        <item x="716"/>
        <item x="795"/>
        <item x="422"/>
        <item x="863"/>
        <item x="624"/>
        <item x="546"/>
        <item x="508"/>
        <item x="439"/>
        <item x="28"/>
        <item x="540"/>
        <item x="211"/>
        <item x="379"/>
        <item x="337"/>
        <item x="629"/>
        <item x="124"/>
        <item x="143"/>
        <item x="346"/>
        <item x="754"/>
        <item x="619"/>
        <item x="0"/>
        <item x="548"/>
        <item x="418"/>
        <item x="549"/>
        <item x="561"/>
        <item x="327"/>
        <item x="831"/>
        <item x="481"/>
        <item x="255"/>
        <item x="688"/>
        <item x="495"/>
        <item x="662"/>
        <item x="77"/>
        <item x="611"/>
        <item x="867"/>
        <item x="672"/>
        <item x="721"/>
        <item x="417"/>
        <item x="785"/>
        <item x="459"/>
        <item x="776"/>
        <item x="554"/>
        <item x="565"/>
        <item x="710"/>
        <item x="598"/>
        <item x="599"/>
        <item x="90"/>
        <item x="168"/>
        <item x="12"/>
        <item x="610"/>
        <item x="266"/>
        <item x="825"/>
        <item x="438"/>
        <item x="30"/>
        <item x="135"/>
        <item x="538"/>
        <item x="53"/>
        <item x="177"/>
        <item x="455"/>
        <item x="807"/>
        <item x="108"/>
        <item x="708"/>
        <item x="21"/>
        <item x="17"/>
        <item x="648"/>
        <item x="166"/>
        <item x="423"/>
        <item x="433"/>
        <item x="748"/>
        <item x="829"/>
        <item x="694"/>
        <item x="637"/>
        <item x="797"/>
        <item x="43"/>
        <item x="387"/>
        <item x="268"/>
        <item x="67"/>
        <item x="722"/>
        <item x="852"/>
        <item x="158"/>
        <item x="75"/>
        <item x="70"/>
        <item x="288"/>
        <item x="833"/>
        <item x="367"/>
        <item x="778"/>
        <item x="252"/>
        <item x="175"/>
        <item x="304"/>
        <item x="830"/>
        <item x="450"/>
        <item x="164"/>
        <item x="764"/>
        <item x="643"/>
        <item x="348"/>
        <item x="209"/>
        <item x="511"/>
        <item x="10"/>
        <item x="222"/>
        <item x="161"/>
        <item x="29"/>
        <item x="121"/>
        <item x="646"/>
        <item x="683"/>
        <item x="355"/>
        <item x="398"/>
        <item x="515"/>
        <item x="234"/>
        <item x="657"/>
        <item x="125"/>
        <item x="584"/>
        <item x="208"/>
        <item x="76"/>
        <item x="180"/>
        <item x="626"/>
        <item x="818"/>
        <item x="357"/>
        <item x="588"/>
        <item x="287"/>
        <item x="280"/>
        <item x="775"/>
        <item x="57"/>
        <item x="799"/>
        <item x="19"/>
        <item x="232"/>
        <item x="405"/>
        <item x="614"/>
        <item x="238"/>
        <item x="575"/>
        <item x="533"/>
        <item x="669"/>
        <item x="381"/>
        <item x="659"/>
        <item x="194"/>
        <item x="146"/>
        <item x="551"/>
        <item x="448"/>
        <item x="499"/>
        <item x="47"/>
        <item x="321"/>
        <item x="333"/>
        <item x="6"/>
        <item x="844"/>
        <item x="691"/>
        <item x="131"/>
        <item x="680"/>
        <item x="13"/>
        <item x="34"/>
        <item x="636"/>
        <item x="777"/>
        <item x="576"/>
        <item x="254"/>
        <item x="246"/>
        <item x="85"/>
        <item x="513"/>
        <item x="586"/>
        <item x="553"/>
        <item x="37"/>
        <item x="505"/>
        <item x="497"/>
        <item x="834"/>
        <item x="501"/>
        <item x="569"/>
        <item x="745"/>
        <item x="87"/>
        <item x="772"/>
        <item x="632"/>
        <item x="419"/>
        <item x="312"/>
        <item x="484"/>
        <item x="126"/>
        <item x="743"/>
        <item x="370"/>
        <item x="517"/>
        <item x="801"/>
        <item x="482"/>
        <item x="542"/>
        <item x="487"/>
        <item x="723"/>
        <item x="386"/>
        <item x="601"/>
        <item x="290"/>
        <item x="468"/>
        <item x="675"/>
        <item x="539"/>
        <item x="477"/>
        <item x="226"/>
        <item x="393"/>
        <item x="402"/>
        <item x="93"/>
        <item x="215"/>
        <item x="84"/>
        <item x="606"/>
        <item x="400"/>
        <item x="519"/>
        <item x="100"/>
        <item x="110"/>
        <item x="339"/>
        <item x="518"/>
        <item x="720"/>
        <item x="139"/>
        <item x="731"/>
        <item x="821"/>
        <item x="564"/>
        <item x="73"/>
        <item x="656"/>
        <item x="794"/>
        <item x="699"/>
        <item x="390"/>
        <item x="441"/>
        <item x="323"/>
        <item x="530"/>
        <item x="735"/>
        <item x="170"/>
        <item x="191"/>
        <item x="520"/>
        <item x="182"/>
        <item x="628"/>
        <item x="653"/>
        <item x="642"/>
        <item x="567"/>
        <item x="352"/>
        <item x="336"/>
        <item x="240"/>
        <item x="24"/>
        <item x="806"/>
        <item x="638"/>
        <item x="142"/>
        <item x="279"/>
        <item x="581"/>
        <item x="471"/>
        <item x="480"/>
        <item x="592"/>
        <item x="665"/>
        <item x="267"/>
        <item x="424"/>
        <item x="485"/>
        <item x="276"/>
        <item x="106"/>
        <item x="864"/>
        <item x="190"/>
        <item x="374"/>
        <item x="380"/>
        <item x="483"/>
        <item x="500"/>
        <item x="174"/>
        <item x="214"/>
        <item x="48"/>
        <item x="767"/>
        <item x="283"/>
        <item x="847"/>
        <item x="62"/>
        <item x="186"/>
        <item x="590"/>
        <item x="579"/>
        <item x="15"/>
        <item x="800"/>
        <item x="828"/>
        <item x="512"/>
        <item x="273"/>
        <item x="138"/>
        <item x="412"/>
        <item x="4"/>
        <item x="9"/>
        <item x="311"/>
        <item x="709"/>
        <item x="313"/>
        <item x="409"/>
        <item x="817"/>
        <item x="813"/>
        <item x="293"/>
        <item x="832"/>
        <item x="185"/>
        <item x="805"/>
        <item x="496"/>
        <item x="522"/>
        <item x="216"/>
        <item x="625"/>
        <item x="458"/>
        <item x="589"/>
        <item x="724"/>
        <item x="693"/>
        <item x="456"/>
        <item x="144"/>
        <item x="179"/>
        <item x="537"/>
        <item x="664"/>
        <item x="344"/>
        <item x="299"/>
        <item x="633"/>
        <item x="618"/>
        <item x="726"/>
        <item x="815"/>
        <item x="700"/>
        <item x="83"/>
        <item x="504"/>
        <item x="526"/>
        <item x="489"/>
        <item x="401"/>
        <item x="814"/>
        <item x="247"/>
        <item x="475"/>
        <item x="531"/>
        <item x="192"/>
        <item x="23"/>
        <item x="354"/>
        <item x="122"/>
        <item x="868"/>
        <item x="711"/>
        <item x="324"/>
        <item x="204"/>
        <item x="434"/>
        <item x="769"/>
        <item x="114"/>
        <item x="556"/>
        <item x="256"/>
        <item x="534"/>
        <item x="109"/>
        <item x="494"/>
        <item x="89"/>
        <item x="152"/>
        <item x="200"/>
        <item x="773"/>
        <item x="536"/>
        <item x="679"/>
        <item x="784"/>
        <item x="509"/>
        <item x="826"/>
        <item x="809"/>
        <item x="382"/>
        <item x="470"/>
        <item x="733"/>
        <item x="524"/>
        <item x="39"/>
        <item x="63"/>
        <item x="358"/>
        <item x="555"/>
        <item x="543"/>
        <item x="300"/>
        <item x="682"/>
        <item x="306"/>
        <item x="224"/>
        <item x="41"/>
        <item x="119"/>
        <item x="765"/>
        <item x="562"/>
        <item x="392"/>
        <item x="491"/>
        <item x="217"/>
        <item x="160"/>
        <item x="447"/>
        <item x="104"/>
        <item x="578"/>
        <item x="791"/>
        <item x="261"/>
        <item x="836"/>
        <item x="559"/>
        <item x="220"/>
        <item x="824"/>
        <item x="600"/>
        <item x="853"/>
        <item x="235"/>
        <item x="296"/>
        <item x="44"/>
        <item x="552"/>
        <item x="545"/>
        <item x="388"/>
        <item x="289"/>
        <item x="747"/>
        <item x="218"/>
        <item x="701"/>
        <item x="469"/>
        <item x="169"/>
        <item x="360"/>
        <item x="391"/>
        <item x="655"/>
        <item x="271"/>
        <item x="525"/>
        <item x="698"/>
        <item x="331"/>
        <item x="212"/>
        <item x="81"/>
        <item x="103"/>
        <item x="607"/>
        <item x="188"/>
        <item x="264"/>
        <item x="453"/>
        <item x="742"/>
        <item x="845"/>
        <item x="163"/>
        <item x="811"/>
        <item x="153"/>
        <item x="736"/>
        <item x="463"/>
        <item x="846"/>
        <item x="681"/>
        <item x="535"/>
        <item x="60"/>
        <item x="593"/>
        <item x="740"/>
        <item x="460"/>
        <item x="294"/>
        <item x="1"/>
        <item x="314"/>
        <item x="541"/>
        <item x="202"/>
        <item x="730"/>
        <item x="738"/>
        <item x="788"/>
        <item x="753"/>
        <item x="544"/>
        <item x="668"/>
        <item x="839"/>
        <item x="127"/>
        <item x="167"/>
        <item x="426"/>
        <item x="353"/>
        <item x="157"/>
        <item x="173"/>
        <item x="770"/>
        <item x="98"/>
        <item x="244"/>
        <item x="309"/>
        <item x="713"/>
        <item x="205"/>
        <item x="394"/>
        <item x="284"/>
        <item x="443"/>
        <item x="594"/>
        <item x="452"/>
        <item x="233"/>
        <item x="145"/>
        <item x="503"/>
        <item x="112"/>
        <item x="349"/>
        <item x="623"/>
        <item x="5"/>
        <item x="436"/>
        <item x="449"/>
        <item x="31"/>
        <item x="429"/>
        <item x="56"/>
        <item x="263"/>
        <item x="332"/>
        <item x="250"/>
        <item x="658"/>
        <item x="478"/>
        <item x="781"/>
        <item x="780"/>
        <item x="558"/>
        <item x="225"/>
        <item x="734"/>
        <item x="58"/>
        <item x="257"/>
        <item x="397"/>
        <item x="651"/>
        <item x="446"/>
        <item x="739"/>
        <item x="38"/>
        <item x="570"/>
        <item x="674"/>
        <item x="678"/>
        <item x="363"/>
        <item x="64"/>
        <item x="50"/>
        <item x="650"/>
        <item x="259"/>
        <item x="94"/>
        <item x="42"/>
        <item x="842"/>
        <item x="136"/>
        <item x="416"/>
        <item x="340"/>
        <item x="652"/>
        <item x="362"/>
        <item x="230"/>
        <item x="796"/>
        <item x="827"/>
        <item x="445"/>
        <item x="71"/>
        <item x="573"/>
        <item x="237"/>
        <item x="274"/>
        <item x="341"/>
        <item x="849"/>
        <item x="319"/>
        <item x="840"/>
        <item x="755"/>
        <item x="7"/>
        <item x="74"/>
        <item x="241"/>
        <item x="597"/>
        <item x="571"/>
        <item x="741"/>
        <item x="80"/>
        <item x="361"/>
        <item x="239"/>
        <item x="763"/>
        <item x="572"/>
        <item x="454"/>
        <item x="260"/>
        <item x="812"/>
        <item x="860"/>
        <item x="771"/>
        <item x="621"/>
        <item x="243"/>
        <item x="425"/>
        <item x="302"/>
        <item x="862"/>
        <item x="841"/>
        <item x="369"/>
        <item x="404"/>
        <item x="473"/>
        <item x="692"/>
        <item x="620"/>
        <item x="635"/>
        <item x="427"/>
        <item x="670"/>
        <item x="291"/>
        <item x="356"/>
        <item x="727"/>
        <item x="156"/>
        <item x="728"/>
        <item x="59"/>
        <item x="660"/>
        <item x="502"/>
        <item x="608"/>
        <item x="715"/>
        <item x="154"/>
        <item x="851"/>
        <item x="686"/>
        <item x="547"/>
        <item x="750"/>
        <item x="810"/>
        <item x="866"/>
        <item x="227"/>
        <item x="415"/>
        <item x="368"/>
        <item x="474"/>
        <item x="435"/>
        <item x="613"/>
        <item x="55"/>
        <item x="461"/>
        <item x="702"/>
        <item x="663"/>
        <item x="639"/>
        <item x="717"/>
        <item x="430"/>
        <item x="277"/>
        <item x="457"/>
        <item x="467"/>
        <item x="774"/>
        <item x="856"/>
        <item x="604"/>
        <item x="704"/>
        <item x="297"/>
        <item x="689"/>
        <item x="95"/>
        <item x="49"/>
        <item x="464"/>
        <item x="761"/>
        <item x="45"/>
        <item x="61"/>
        <item x="335"/>
        <item x="207"/>
        <item x="582"/>
        <item x="308"/>
        <item x="602"/>
        <item x="596"/>
        <item x="823"/>
        <item x="428"/>
        <item x="165"/>
        <item x="666"/>
        <item x="848"/>
        <item x="364"/>
        <item x="766"/>
        <item x="414"/>
        <item x="705"/>
        <item x="684"/>
        <item x="79"/>
        <item x="568"/>
        <item x="591"/>
        <item x="661"/>
        <item x="69"/>
        <item x="347"/>
        <item x="703"/>
        <item x="822"/>
        <item x="342"/>
        <item x="270"/>
        <item x="527"/>
        <item x="521"/>
        <item x="399"/>
        <item x="269"/>
        <item x="820"/>
        <item x="808"/>
        <item x="105"/>
        <item x="479"/>
        <item x="134"/>
        <item x="486"/>
        <item x="749"/>
        <item x="378"/>
        <item x="376"/>
        <item x="707"/>
        <item x="492"/>
        <item x="328"/>
        <item x="804"/>
        <item x="690"/>
        <item x="86"/>
        <item x="281"/>
        <item x="236"/>
        <item x="616"/>
        <item x="737"/>
        <item x="516"/>
        <item x="301"/>
        <item x="627"/>
        <item x="410"/>
        <item x="197"/>
        <item x="107"/>
        <item x="359"/>
        <item x="603"/>
        <item x="310"/>
        <item x="262"/>
        <item x="272"/>
        <item x="529"/>
        <item x="557"/>
        <item x="667"/>
        <item x="861"/>
        <item x="282"/>
        <item x="444"/>
        <item x="760"/>
        <item x="712"/>
        <item x="137"/>
        <item x="148"/>
        <item x="792"/>
        <item x="66"/>
        <item x="407"/>
        <item x="756"/>
        <item x="857"/>
        <item x="176"/>
        <item x="510"/>
        <item x="488"/>
        <item x="221"/>
        <item x="609"/>
        <item x="395"/>
        <item x="343"/>
        <item x="396"/>
        <item x="574"/>
        <item x="706"/>
        <item x="54"/>
        <item x="195"/>
        <item x="838"/>
        <item x="859"/>
        <item x="631"/>
        <item x="789"/>
        <item x="605"/>
        <item x="231"/>
        <item x="617"/>
        <item x="406"/>
        <item x="345"/>
        <item x="320"/>
        <item x="803"/>
        <item x="253"/>
        <item x="265"/>
        <item x="649"/>
        <item x="798"/>
        <item x="719"/>
        <item x="687"/>
        <item x="550"/>
        <item x="20"/>
        <item x="850"/>
        <item x="65"/>
        <item x="523"/>
        <item x="51"/>
        <item x="802"/>
        <item x="130"/>
        <item x="140"/>
        <item x="286"/>
        <item x="375"/>
        <item x="384"/>
        <item x="132"/>
        <item x="451"/>
        <item x="27"/>
        <item x="595"/>
        <item x="442"/>
        <item x="786"/>
        <item x="26"/>
        <item x="566"/>
        <item x="68"/>
        <item x="816"/>
        <item x="472"/>
        <item x="385"/>
        <item x="338"/>
        <item x="258"/>
        <item x="583"/>
        <item x="305"/>
        <item x="783"/>
        <item x="421"/>
        <item x="560"/>
        <item x="752"/>
        <item x="622"/>
        <item x="193"/>
        <item x="696"/>
        <item x="865"/>
        <item x="315"/>
        <item x="718"/>
        <item x="99"/>
        <item x="757"/>
        <item t="default"/>
      </items>
    </pivotField>
    <pivotField compact="0" showAll="0">
      <items count="13">
        <item x="1"/>
        <item x="5"/>
        <item x="3"/>
        <item x="0"/>
        <item x="7"/>
        <item x="6"/>
        <item x="2"/>
        <item x="4"/>
        <item x="11"/>
        <item x="9"/>
        <item x="10"/>
        <item x="8"/>
        <item t="default"/>
      </items>
    </pivotField>
    <pivotField compact="0" showAll="0">
      <items count="14">
        <item x="7"/>
        <item x="11"/>
        <item x="8"/>
        <item x="2"/>
        <item x="0"/>
        <item x="12"/>
        <item x="4"/>
        <item x="9"/>
        <item x="1"/>
        <item x="3"/>
        <item x="5"/>
        <item x="10"/>
        <item x="6"/>
        <item t="default"/>
      </items>
    </pivotField>
    <pivotField compact="0" showAll="0">
      <items count="7">
        <item x="2"/>
        <item x="1"/>
        <item x="0"/>
        <item x="4"/>
        <item x="3"/>
        <item x="5"/>
        <item t="default"/>
      </items>
    </pivotField>
    <pivotField compact="0" showAll="0">
      <items count="6">
        <item x="4"/>
        <item x="2"/>
        <item x="1"/>
        <item x="3"/>
        <item x="0"/>
        <item t="default"/>
      </items>
    </pivotField>
    <pivotField compact="0" showAll="0">
      <items count="19">
        <item x="10"/>
        <item x="7"/>
        <item x="12"/>
        <item x="5"/>
        <item x="4"/>
        <item x="2"/>
        <item x="6"/>
        <item x="15"/>
        <item x="14"/>
        <item x="16"/>
        <item x="11"/>
        <item x="17"/>
        <item x="1"/>
        <item x="9"/>
        <item x="8"/>
        <item x="0"/>
        <item x="13"/>
        <item x="3"/>
        <item t="default"/>
      </items>
    </pivotField>
    <pivotField compact="0" showAll="0">
      <items count="54">
        <item x="27"/>
        <item x="10"/>
        <item x="20"/>
        <item x="7"/>
        <item x="16"/>
        <item x="3"/>
        <item x="11"/>
        <item x="46"/>
        <item x="40"/>
        <item x="49"/>
        <item x="24"/>
        <item x="34"/>
        <item x="30"/>
        <item x="51"/>
        <item x="37"/>
        <item x="42"/>
        <item x="44"/>
        <item x="15"/>
        <item x="26"/>
        <item x="17"/>
        <item x="19"/>
        <item x="0"/>
        <item x="50"/>
        <item x="14"/>
        <item x="23"/>
        <item x="38"/>
        <item x="6"/>
        <item x="39"/>
        <item x="43"/>
        <item x="33"/>
        <item x="2"/>
        <item x="21"/>
        <item x="45"/>
        <item x="52"/>
        <item x="18"/>
        <item x="29"/>
        <item x="9"/>
        <item x="13"/>
        <item x="8"/>
        <item x="35"/>
        <item x="28"/>
        <item x="12"/>
        <item x="31"/>
        <item x="25"/>
        <item x="4"/>
        <item x="22"/>
        <item x="41"/>
        <item x="5"/>
        <item x="1"/>
        <item x="48"/>
        <item x="32"/>
        <item x="36"/>
        <item x="47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Row" measureFilter="1" compact="0" sortType="descending" showAll="0">
      <items count="14">
        <item x="6"/>
        <item x="5"/>
        <item m="1" x="12"/>
        <item x="1"/>
        <item x="2"/>
        <item x="8"/>
        <item x="4"/>
        <item x="10"/>
        <item x="11"/>
        <item x="3"/>
        <item x="9"/>
        <item x="7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x="2"/>
        <item x="0"/>
        <item x="1"/>
        <item t="default"/>
      </items>
    </pivotField>
    <pivotField compact="0" showAll="0">
      <items count="11">
        <item x="4"/>
        <item x="9"/>
        <item x="3"/>
        <item x="1"/>
        <item x="0"/>
        <item x="6"/>
        <item x="7"/>
        <item x="2"/>
        <item x="5"/>
        <item x="8"/>
        <item t="default"/>
      </items>
    </pivotField>
    <pivotField compact="0" showAll="0">
      <items count="506">
        <item x="124"/>
        <item x="108"/>
        <item x="360"/>
        <item x="10"/>
        <item x="90"/>
        <item x="468"/>
        <item x="174"/>
        <item x="253"/>
        <item x="101"/>
        <item x="243"/>
        <item x="7"/>
        <item x="29"/>
        <item x="79"/>
        <item x="236"/>
        <item x="151"/>
        <item x="2"/>
        <item x="426"/>
        <item x="192"/>
        <item x="280"/>
        <item x="31"/>
        <item x="138"/>
        <item x="196"/>
        <item x="204"/>
        <item x="100"/>
        <item x="441"/>
        <item x="86"/>
        <item x="175"/>
        <item x="89"/>
        <item x="136"/>
        <item x="55"/>
        <item x="369"/>
        <item x="435"/>
        <item x="103"/>
        <item x="479"/>
        <item x="349"/>
        <item x="1"/>
        <item x="41"/>
        <item x="229"/>
        <item x="94"/>
        <item x="109"/>
        <item x="194"/>
        <item x="336"/>
        <item x="407"/>
        <item x="32"/>
        <item x="237"/>
        <item x="15"/>
        <item x="401"/>
        <item x="27"/>
        <item x="149"/>
        <item x="279"/>
        <item x="13"/>
        <item x="413"/>
        <item x="127"/>
        <item x="126"/>
        <item x="370"/>
        <item x="365"/>
        <item x="387"/>
        <item x="5"/>
        <item x="469"/>
        <item x="115"/>
        <item x="172"/>
        <item x="404"/>
        <item x="430"/>
        <item x="112"/>
        <item x="439"/>
        <item x="68"/>
        <item x="334"/>
        <item x="450"/>
        <item x="249"/>
        <item x="197"/>
        <item x="166"/>
        <item x="105"/>
        <item x="139"/>
        <item x="141"/>
        <item x="208"/>
        <item x="106"/>
        <item x="227"/>
        <item x="436"/>
        <item x="445"/>
        <item x="38"/>
        <item x="305"/>
        <item x="425"/>
        <item x="458"/>
        <item x="303"/>
        <item x="498"/>
        <item x="143"/>
        <item x="180"/>
        <item x="176"/>
        <item x="432"/>
        <item x="222"/>
        <item x="274"/>
        <item x="375"/>
        <item x="315"/>
        <item x="116"/>
        <item x="150"/>
        <item x="199"/>
        <item x="72"/>
        <item x="49"/>
        <item x="267"/>
        <item x="471"/>
        <item x="129"/>
        <item x="343"/>
        <item x="46"/>
        <item x="268"/>
        <item x="207"/>
        <item x="21"/>
        <item x="36"/>
        <item x="284"/>
        <item x="74"/>
        <item x="308"/>
        <item x="378"/>
        <item x="330"/>
        <item x="179"/>
        <item x="434"/>
        <item x="8"/>
        <item x="359"/>
        <item x="367"/>
        <item x="121"/>
        <item x="163"/>
        <item x="16"/>
        <item x="220"/>
        <item x="325"/>
        <item x="223"/>
        <item x="35"/>
        <item x="358"/>
        <item x="225"/>
        <item x="118"/>
        <item x="405"/>
        <item x="211"/>
        <item x="347"/>
        <item x="297"/>
        <item x="352"/>
        <item x="314"/>
        <item x="250"/>
        <item x="183"/>
        <item x="496"/>
        <item x="28"/>
        <item x="410"/>
        <item x="131"/>
        <item x="262"/>
        <item x="160"/>
        <item x="122"/>
        <item x="288"/>
        <item x="350"/>
        <item x="62"/>
        <item x="133"/>
        <item x="85"/>
        <item x="157"/>
        <item x="164"/>
        <item x="99"/>
        <item x="415"/>
        <item x="156"/>
        <item x="81"/>
        <item x="39"/>
        <item x="168"/>
        <item x="154"/>
        <item x="457"/>
        <item x="148"/>
        <item x="224"/>
        <item x="389"/>
        <item x="495"/>
        <item x="24"/>
        <item x="419"/>
        <item x="408"/>
        <item x="161"/>
        <item x="500"/>
        <item x="78"/>
        <item x="4"/>
        <item x="502"/>
        <item x="201"/>
        <item x="245"/>
        <item x="48"/>
        <item x="47"/>
        <item x="165"/>
        <item x="381"/>
        <item x="240"/>
        <item x="3"/>
        <item x="453"/>
        <item x="461"/>
        <item x="433"/>
        <item x="87"/>
        <item x="392"/>
        <item x="484"/>
        <item x="170"/>
        <item x="186"/>
        <item x="20"/>
        <item x="411"/>
        <item x="289"/>
        <item x="134"/>
        <item x="242"/>
        <item x="256"/>
        <item x="12"/>
        <item x="276"/>
        <item x="290"/>
        <item x="238"/>
        <item x="71"/>
        <item x="326"/>
        <item x="80"/>
        <item x="460"/>
        <item x="246"/>
        <item x="339"/>
        <item x="125"/>
        <item x="355"/>
        <item x="169"/>
        <item x="285"/>
        <item x="257"/>
        <item x="328"/>
        <item x="107"/>
        <item x="120"/>
        <item x="264"/>
        <item x="466"/>
        <item x="272"/>
        <item x="0"/>
        <item x="374"/>
        <item x="251"/>
        <item x="438"/>
        <item x="428"/>
        <item x="67"/>
        <item x="351"/>
        <item x="283"/>
        <item x="431"/>
        <item x="452"/>
        <item x="383"/>
        <item x="178"/>
        <item x="397"/>
        <item x="11"/>
        <item x="210"/>
        <item x="403"/>
        <item x="26"/>
        <item x="92"/>
        <item x="147"/>
        <item x="488"/>
        <item x="142"/>
        <item x="241"/>
        <item x="345"/>
        <item x="281"/>
        <item x="235"/>
        <item x="248"/>
        <item x="63"/>
        <item x="247"/>
        <item x="137"/>
        <item x="226"/>
        <item x="446"/>
        <item x="293"/>
        <item x="463"/>
        <item x="340"/>
        <item x="480"/>
        <item x="287"/>
        <item x="58"/>
        <item x="298"/>
        <item x="66"/>
        <item x="61"/>
        <item x="91"/>
        <item x="277"/>
        <item x="273"/>
        <item x="200"/>
        <item x="145"/>
        <item x="232"/>
        <item x="472"/>
        <item x="265"/>
        <item x="357"/>
        <item x="135"/>
        <item x="25"/>
        <item x="104"/>
        <item x="420"/>
        <item x="437"/>
        <item x="270"/>
        <item x="64"/>
        <item x="391"/>
        <item x="43"/>
        <item x="412"/>
        <item x="51"/>
        <item x="50"/>
        <item x="482"/>
        <item x="17"/>
        <item x="188"/>
        <item x="52"/>
        <item x="123"/>
        <item x="376"/>
        <item x="73"/>
        <item x="69"/>
        <item x="42"/>
        <item x="216"/>
        <item x="6"/>
        <item x="110"/>
        <item x="30"/>
        <item x="128"/>
        <item x="451"/>
        <item x="388"/>
        <item x="195"/>
        <item x="75"/>
        <item x="244"/>
        <item x="33"/>
        <item x="354"/>
        <item x="493"/>
        <item x="77"/>
        <item x="476"/>
        <item x="414"/>
        <item x="342"/>
        <item x="278"/>
        <item x="473"/>
        <item x="371"/>
        <item x="454"/>
        <item x="399"/>
        <item x="337"/>
        <item x="296"/>
        <item x="82"/>
        <item x="171"/>
        <item x="294"/>
        <item x="88"/>
        <item x="96"/>
        <item x="310"/>
        <item x="255"/>
        <item x="382"/>
        <item x="424"/>
        <item x="261"/>
        <item x="44"/>
        <item x="158"/>
        <item x="333"/>
        <item x="368"/>
        <item x="153"/>
        <item x="362"/>
        <item x="206"/>
        <item x="390"/>
        <item x="14"/>
        <item x="309"/>
        <item x="394"/>
        <item x="53"/>
        <item x="423"/>
        <item x="418"/>
        <item x="76"/>
        <item x="190"/>
        <item x="487"/>
        <item x="417"/>
        <item x="119"/>
        <item x="218"/>
        <item x="332"/>
        <item x="140"/>
        <item x="503"/>
        <item x="282"/>
        <item x="286"/>
        <item x="341"/>
        <item x="144"/>
        <item x="221"/>
        <item x="483"/>
        <item x="295"/>
        <item x="202"/>
        <item x="215"/>
        <item x="304"/>
        <item x="9"/>
        <item x="447"/>
        <item x="301"/>
        <item x="491"/>
        <item x="489"/>
        <item x="152"/>
        <item x="486"/>
        <item x="348"/>
        <item x="363"/>
        <item x="173"/>
        <item x="393"/>
        <item x="203"/>
        <item x="324"/>
        <item x="97"/>
        <item x="416"/>
        <item x="490"/>
        <item x="299"/>
        <item x="353"/>
        <item x="366"/>
        <item x="19"/>
        <item x="269"/>
        <item x="70"/>
        <item x="475"/>
        <item x="98"/>
        <item x="379"/>
        <item x="95"/>
        <item x="346"/>
        <item x="477"/>
        <item x="184"/>
        <item x="319"/>
        <item x="372"/>
        <item x="234"/>
        <item x="37"/>
        <item x="102"/>
        <item x="322"/>
        <item x="494"/>
        <item x="380"/>
        <item x="177"/>
        <item x="398"/>
        <item x="499"/>
        <item x="40"/>
        <item x="377"/>
        <item x="373"/>
        <item x="462"/>
        <item x="45"/>
        <item x="331"/>
        <item x="291"/>
        <item x="217"/>
        <item x="213"/>
        <item x="442"/>
        <item x="254"/>
        <item x="155"/>
        <item x="327"/>
        <item x="478"/>
        <item x="465"/>
        <item x="57"/>
        <item x="302"/>
        <item x="193"/>
        <item x="233"/>
        <item x="448"/>
        <item x="167"/>
        <item x="292"/>
        <item x="318"/>
        <item x="266"/>
        <item x="316"/>
        <item x="205"/>
        <item x="198"/>
        <item x="159"/>
        <item x="56"/>
        <item x="181"/>
        <item x="459"/>
        <item x="421"/>
        <item x="321"/>
        <item x="34"/>
        <item x="385"/>
        <item x="313"/>
        <item x="83"/>
        <item x="113"/>
        <item x="306"/>
        <item x="259"/>
        <item x="422"/>
        <item x="300"/>
        <item x="320"/>
        <item x="65"/>
        <item x="191"/>
        <item x="396"/>
        <item x="386"/>
        <item x="189"/>
        <item x="323"/>
        <item x="231"/>
        <item x="409"/>
        <item x="311"/>
        <item x="271"/>
        <item x="455"/>
        <item x="132"/>
        <item x="456"/>
        <item x="130"/>
        <item x="260"/>
        <item x="182"/>
        <item x="18"/>
        <item x="335"/>
        <item x="449"/>
        <item x="228"/>
        <item x="84"/>
        <item x="329"/>
        <item x="470"/>
        <item x="54"/>
        <item x="312"/>
        <item x="429"/>
        <item x="497"/>
        <item x="275"/>
        <item x="474"/>
        <item x="384"/>
        <item x="427"/>
        <item x="60"/>
        <item x="492"/>
        <item x="317"/>
        <item x="212"/>
        <item x="338"/>
        <item x="111"/>
        <item x="464"/>
        <item x="444"/>
        <item x="344"/>
        <item x="252"/>
        <item x="485"/>
        <item x="440"/>
        <item x="219"/>
        <item x="187"/>
        <item x="361"/>
        <item x="230"/>
        <item x="162"/>
        <item x="93"/>
        <item x="400"/>
        <item x="214"/>
        <item x="501"/>
        <item x="114"/>
        <item x="146"/>
        <item x="356"/>
        <item x="406"/>
        <item x="443"/>
        <item x="402"/>
        <item x="185"/>
        <item x="263"/>
        <item x="209"/>
        <item x="481"/>
        <item x="364"/>
        <item x="117"/>
        <item x="23"/>
        <item x="395"/>
        <item x="22"/>
        <item x="59"/>
        <item x="258"/>
        <item x="307"/>
        <item x="504"/>
        <item x="239"/>
        <item x="467"/>
        <item t="default"/>
      </items>
    </pivotField>
    <pivotField compact="0" showAll="0">
      <items count="6">
        <item x="4"/>
        <item x="0"/>
        <item x="2"/>
        <item x="1"/>
        <item x="3"/>
        <item t="default"/>
      </items>
    </pivotField>
    <pivotField dataField="1" compact="0" showAll="0">
      <items count="881">
        <item x="441"/>
        <item x="125"/>
        <item x="51"/>
        <item x="691"/>
        <item x="100"/>
        <item x="769"/>
        <item x="298"/>
        <item x="335"/>
        <item x="114"/>
        <item x="323"/>
        <item x="148"/>
        <item x="33"/>
        <item x="472"/>
        <item x="417"/>
        <item x="180"/>
        <item x="175"/>
        <item x="668"/>
        <item x="243"/>
        <item x="379"/>
        <item x="393"/>
        <item x="366"/>
        <item x="248"/>
        <item x="468"/>
        <item x="113"/>
        <item x="704"/>
        <item x="96"/>
        <item x="241"/>
        <item x="99"/>
        <item x="159"/>
        <item x="778"/>
        <item x="545"/>
        <item x="801"/>
        <item x="117"/>
        <item x="802"/>
        <item x="549"/>
        <item x="120"/>
        <item x="130"/>
        <item x="300"/>
        <item x="434"/>
        <item x="770"/>
        <item x="753"/>
        <item x="484"/>
        <item x="724"/>
        <item x="356"/>
        <item x="693"/>
        <item x="792"/>
        <item x="703"/>
        <item x="145"/>
        <item x="82"/>
        <item x="178"/>
        <item x="520"/>
        <item x="378"/>
        <item x="521"/>
        <item x="643"/>
        <item x="599"/>
        <item x="794"/>
        <item x="627"/>
        <item x="509"/>
        <item x="784"/>
        <item x="589"/>
        <item x="22"/>
        <item x="447"/>
        <item x="606"/>
        <item x="213"/>
        <item x="620"/>
        <item x="754"/>
        <item x="11"/>
        <item x="132"/>
        <item x="409"/>
        <item x="696"/>
        <item x="546"/>
        <item x="77"/>
        <item x="236"/>
        <item x="481"/>
        <item x="227"/>
        <item x="726"/>
        <item x="329"/>
        <item x="250"/>
        <item x="110"/>
        <item x="200"/>
        <item x="798"/>
        <item x="443"/>
        <item x="168"/>
        <item x="267"/>
        <item x="713"/>
        <item x="718"/>
        <item x="687"/>
        <item x="716"/>
        <item x="499"/>
        <item x="147"/>
        <item x="425"/>
        <item x="667"/>
        <item x="740"/>
        <item x="420"/>
        <item x="863"/>
        <item x="115"/>
        <item x="220"/>
        <item x="8"/>
        <item x="680"/>
        <item x="249"/>
        <item x="287"/>
        <item x="601"/>
        <item x="654"/>
        <item x="741"/>
        <item x="35"/>
        <item x="757"/>
        <item x="442"/>
        <item x="762"/>
        <item x="46"/>
        <item x="684"/>
        <item x="649"/>
        <item x="252"/>
        <item x="81"/>
        <item x="429"/>
        <item x="333"/>
        <item x="358"/>
        <item x="773"/>
        <item x="372"/>
        <item x="832"/>
        <item x="392"/>
        <item x="783"/>
        <item x="495"/>
        <item x="52"/>
        <item x="660"/>
        <item x="502"/>
        <item x="836"/>
        <item x="40"/>
        <item x="334"/>
        <item x="386"/>
        <item x="126"/>
        <item x="184"/>
        <item x="431"/>
        <item x="108"/>
        <item x="570"/>
        <item x="596"/>
        <item x="224"/>
        <item x="848"/>
        <item x="683"/>
        <item x="782"/>
        <item x="722"/>
        <item x="530"/>
        <item x="542"/>
        <item x="686"/>
        <item x="195"/>
        <item x="18"/>
        <item x="749"/>
        <item x="341"/>
        <item x="712"/>
        <item x="304"/>
        <item x="210"/>
        <item x="526"/>
        <item x="294"/>
        <item x="841"/>
        <item x="316"/>
        <item x="357"/>
        <item x="506"/>
        <item x="411"/>
        <item x="516"/>
        <item x="440"/>
        <item x="330"/>
        <item x="226"/>
        <item x="515"/>
        <item x="310"/>
        <item x="860"/>
        <item x="296"/>
        <item x="32"/>
        <item x="633"/>
        <item x="153"/>
        <item x="349"/>
        <item x="208"/>
        <item x="471"/>
        <item x="803"/>
        <item x="513"/>
        <item x="619"/>
        <item x="351"/>
        <item x="95"/>
        <item x="34"/>
        <item x="365"/>
        <item x="462"/>
        <item x="291"/>
        <item x="112"/>
        <item x="647"/>
        <item x="707"/>
        <item x="187"/>
        <item x="825"/>
        <item x="91"/>
        <item x="43"/>
        <item x="202"/>
        <item x="185"/>
        <item x="856"/>
        <item x="739"/>
        <item x="139"/>
        <item x="280"/>
        <item x="380"/>
        <item x="593"/>
        <item x="849"/>
        <item x="851"/>
        <item x="448"/>
        <item x="656"/>
        <item x="735"/>
        <item x="14"/>
        <item x="655"/>
        <item x="193"/>
        <item x="865"/>
        <item x="87"/>
        <item x="805"/>
        <item x="263"/>
        <item x="875"/>
        <item x="638"/>
        <item x="562"/>
        <item x="512"/>
        <item x="284"/>
        <item x="123"/>
        <item x="198"/>
        <item x="575"/>
        <item x="688"/>
        <item x="317"/>
        <item x="679"/>
        <item x="301"/>
        <item x="412"/>
        <item x="830"/>
        <item x="3"/>
        <item x="209"/>
        <item x="732"/>
        <item x="146"/>
        <item x="755"/>
        <item x="681"/>
        <item x="36"/>
        <item x="413"/>
        <item x="602"/>
        <item x="813"/>
        <item x="206"/>
        <item x="230"/>
        <item x="504"/>
        <item x="196"/>
        <item x="635"/>
        <item x="527"/>
        <item x="305"/>
        <item x="107"/>
        <item x="321"/>
        <item x="827"/>
        <item x="339"/>
        <item x="700"/>
        <item x="373"/>
        <item x="399"/>
        <item x="315"/>
        <item x="309"/>
        <item x="869"/>
        <item x="90"/>
        <item x="751"/>
        <item x="326"/>
        <item x="89"/>
        <item x="728"/>
        <item x="489"/>
        <item x="149"/>
        <item x="552"/>
        <item x="522"/>
        <item x="28"/>
        <item x="556"/>
        <item x="207"/>
        <item x="388"/>
        <item x="342"/>
        <item x="642"/>
        <item x="121"/>
        <item x="141"/>
        <item x="352"/>
        <item x="765"/>
        <item x="631"/>
        <item x="0"/>
        <item x="563"/>
        <item x="428"/>
        <item x="564"/>
        <item x="577"/>
        <item x="331"/>
        <item x="844"/>
        <item x="490"/>
        <item x="256"/>
        <item x="695"/>
        <item x="186"/>
        <item x="671"/>
        <item x="76"/>
        <item x="624"/>
        <item x="879"/>
        <item x="439"/>
        <item x="730"/>
        <item x="427"/>
        <item x="797"/>
        <item x="466"/>
        <item x="789"/>
        <item x="221"/>
        <item x="581"/>
        <item x="720"/>
        <item x="611"/>
        <item x="612"/>
        <item x="165"/>
        <item x="12"/>
        <item x="623"/>
        <item x="269"/>
        <item x="839"/>
        <item x="318"/>
        <item x="30"/>
        <item x="133"/>
        <item x="554"/>
        <item x="174"/>
        <item x="461"/>
        <item x="818"/>
        <item x="105"/>
        <item x="169"/>
        <item x="833"/>
        <item x="781"/>
        <item x="482"/>
        <item x="662"/>
        <item x="422"/>
        <item x="277"/>
        <item x="503"/>
        <item x="382"/>
        <item x="223"/>
        <item x="328"/>
        <item x="71"/>
        <item x="327"/>
        <item x="25"/>
        <item x="381"/>
        <item x="727"/>
        <item x="717"/>
        <item x="21"/>
        <item x="17"/>
        <item x="658"/>
        <item x="163"/>
        <item x="432"/>
        <item x="403"/>
        <item x="759"/>
        <item x="288"/>
        <item x="702"/>
        <item x="651"/>
        <item x="807"/>
        <item x="396"/>
        <item x="271"/>
        <item x="66"/>
        <item x="731"/>
        <item x="597"/>
        <item x="156"/>
        <item x="74"/>
        <item x="69"/>
        <item x="290"/>
        <item x="846"/>
        <item x="374"/>
        <item x="791"/>
        <item x="253"/>
        <item x="172"/>
        <item x="306"/>
        <item x="843"/>
        <item x="458"/>
        <item x="161"/>
        <item x="775"/>
        <item x="354"/>
        <item x="205"/>
        <item x="525"/>
        <item x="10"/>
        <item x="219"/>
        <item x="158"/>
        <item x="29"/>
        <item x="118"/>
        <item x="657"/>
        <item x="690"/>
        <item x="361"/>
        <item x="531"/>
        <item x="233"/>
        <item x="665"/>
        <item x="122"/>
        <item x="598"/>
        <item x="204"/>
        <item x="75"/>
        <item x="177"/>
        <item x="831"/>
        <item x="363"/>
        <item x="603"/>
        <item x="289"/>
        <item x="282"/>
        <item x="788"/>
        <item x="56"/>
        <item x="809"/>
        <item x="19"/>
        <item x="231"/>
        <item x="414"/>
        <item x="626"/>
        <item x="237"/>
        <item x="529"/>
        <item x="550"/>
        <item x="677"/>
        <item x="390"/>
        <item x="666"/>
        <item x="192"/>
        <item x="144"/>
        <item x="566"/>
        <item x="456"/>
        <item x="510"/>
        <item x="47"/>
        <item x="322"/>
        <item x="338"/>
        <item x="6"/>
        <item x="857"/>
        <item x="698"/>
        <item x="128"/>
        <item x="568"/>
        <item x="13"/>
        <item x="790"/>
        <item x="592"/>
        <item x="255"/>
        <item x="246"/>
        <item x="84"/>
        <item x="600"/>
        <item x="37"/>
        <item x="519"/>
        <item x="508"/>
        <item x="847"/>
        <item x="514"/>
        <item x="585"/>
        <item x="756"/>
        <item x="86"/>
        <item x="787"/>
        <item x="646"/>
        <item x="313"/>
        <item x="493"/>
        <item x="752"/>
        <item x="377"/>
        <item x="53"/>
        <item x="811"/>
        <item x="491"/>
        <item x="558"/>
        <item x="733"/>
        <item x="395"/>
        <item x="614"/>
        <item x="474"/>
        <item x="555"/>
        <item x="485"/>
        <item x="410"/>
        <item x="92"/>
        <item x="212"/>
        <item x="83"/>
        <item x="618"/>
        <item x="407"/>
        <item x="98"/>
        <item x="344"/>
        <item x="533"/>
        <item x="729"/>
        <item x="137"/>
        <item x="835"/>
        <item x="580"/>
        <item x="72"/>
        <item x="664"/>
        <item x="804"/>
        <item x="706"/>
        <item x="398"/>
        <item x="449"/>
        <item x="324"/>
        <item x="547"/>
        <item x="744"/>
        <item x="167"/>
        <item x="189"/>
        <item x="535"/>
        <item x="872"/>
        <item x="579"/>
        <item x="543"/>
        <item x="179"/>
        <item x="182"/>
        <item x="534"/>
        <item x="299"/>
        <item x="265"/>
        <item x="645"/>
        <item x="16"/>
        <item x="435"/>
        <item x="607"/>
        <item x="405"/>
        <item x="2"/>
        <item x="641"/>
        <item x="661"/>
        <item x="337"/>
        <item x="583"/>
        <item x="218"/>
        <item x="239"/>
        <item x="24"/>
        <item x="817"/>
        <item x="652"/>
        <item x="140"/>
        <item x="281"/>
        <item x="311"/>
        <item x="477"/>
        <item x="488"/>
        <item x="673"/>
        <item x="270"/>
        <item x="433"/>
        <item x="494"/>
        <item x="278"/>
        <item x="103"/>
        <item x="876"/>
        <item x="188"/>
        <item x="383"/>
        <item x="389"/>
        <item x="492"/>
        <item x="511"/>
        <item x="171"/>
        <item x="211"/>
        <item x="48"/>
        <item x="780"/>
        <item x="285"/>
        <item x="861"/>
        <item x="61"/>
        <item x="183"/>
        <item x="605"/>
        <item x="594"/>
        <item x="15"/>
        <item x="810"/>
        <item x="842"/>
        <item x="528"/>
        <item x="276"/>
        <item x="136"/>
        <item x="421"/>
        <item x="4"/>
        <item x="9"/>
        <item x="312"/>
        <item x="719"/>
        <item x="314"/>
        <item x="418"/>
        <item x="829"/>
        <item x="824"/>
        <item x="845"/>
        <item x="181"/>
        <item x="816"/>
        <item x="507"/>
        <item x="537"/>
        <item x="214"/>
        <item x="639"/>
        <item x="465"/>
        <item x="604"/>
        <item x="734"/>
        <item x="701"/>
        <item x="463"/>
        <item x="142"/>
        <item x="176"/>
        <item x="553"/>
        <item x="672"/>
        <item x="348"/>
        <item x="648"/>
        <item x="630"/>
        <item x="736"/>
        <item x="826"/>
        <item x="708"/>
        <item x="518"/>
        <item x="541"/>
        <item x="498"/>
        <item x="408"/>
        <item x="247"/>
        <item x="483"/>
        <item x="548"/>
        <item x="190"/>
        <item x="23"/>
        <item x="360"/>
        <item x="119"/>
        <item x="721"/>
        <item x="325"/>
        <item x="164"/>
        <item x="111"/>
        <item x="571"/>
        <item x="257"/>
        <item x="551"/>
        <item x="106"/>
        <item x="505"/>
        <item x="88"/>
        <item x="150"/>
        <item x="197"/>
        <item x="228"/>
        <item x="685"/>
        <item x="796"/>
        <item x="523"/>
        <item x="820"/>
        <item x="391"/>
        <item x="476"/>
        <item x="742"/>
        <item x="539"/>
        <item x="39"/>
        <item x="62"/>
        <item x="364"/>
        <item x="569"/>
        <item x="559"/>
        <item x="689"/>
        <item x="308"/>
        <item x="41"/>
        <item x="116"/>
        <item x="776"/>
        <item x="578"/>
        <item x="401"/>
        <item x="500"/>
        <item x="215"/>
        <item x="157"/>
        <item x="455"/>
        <item x="101"/>
        <item x="254"/>
        <item x="262"/>
        <item x="850"/>
        <item x="574"/>
        <item x="217"/>
        <item x="838"/>
        <item x="613"/>
        <item x="864"/>
        <item x="234"/>
        <item x="295"/>
        <item x="44"/>
        <item x="567"/>
        <item x="561"/>
        <item x="397"/>
        <item x="758"/>
        <item x="216"/>
        <item x="709"/>
        <item x="475"/>
        <item x="166"/>
        <item x="367"/>
        <item x="400"/>
        <item x="663"/>
        <item x="274"/>
        <item x="540"/>
        <item x="705"/>
        <item x="336"/>
        <item x="80"/>
        <item x="54"/>
        <item x="621"/>
        <item x="266"/>
        <item x="45"/>
        <item x="858"/>
        <item x="160"/>
        <item x="822"/>
        <item x="151"/>
        <item x="745"/>
        <item x="469"/>
        <item x="859"/>
        <item x="650"/>
        <item x="59"/>
        <item x="748"/>
        <item x="467"/>
        <item x="293"/>
        <item x="1"/>
        <item x="557"/>
        <item x="199"/>
        <item x="67"/>
        <item x="747"/>
        <item x="799"/>
        <item x="764"/>
        <item x="560"/>
        <item x="676"/>
        <item x="853"/>
        <item x="124"/>
        <item x="129"/>
        <item x="359"/>
        <item x="155"/>
        <item x="170"/>
        <item x="785"/>
        <item x="244"/>
        <item x="723"/>
        <item x="201"/>
        <item x="402"/>
        <item x="286"/>
        <item x="451"/>
        <item x="608"/>
        <item x="232"/>
        <item x="143"/>
        <item x="109"/>
        <item x="355"/>
        <item x="637"/>
        <item x="5"/>
        <item x="445"/>
        <item x="457"/>
        <item x="31"/>
        <item x="55"/>
        <item x="264"/>
        <item x="251"/>
        <item x="486"/>
        <item x="793"/>
        <item x="573"/>
        <item x="222"/>
        <item x="743"/>
        <item x="57"/>
        <item x="258"/>
        <item x="404"/>
        <item x="454"/>
        <item x="38"/>
        <item x="586"/>
        <item x="682"/>
        <item x="370"/>
        <item x="63"/>
        <item x="50"/>
        <item x="79"/>
        <item x="260"/>
        <item x="93"/>
        <item x="42"/>
        <item x="855"/>
        <item x="134"/>
        <item x="426"/>
        <item x="345"/>
        <item x="369"/>
        <item x="806"/>
        <item x="840"/>
        <item x="453"/>
        <item x="70"/>
        <item x="590"/>
        <item x="319"/>
        <item x="854"/>
        <item x="766"/>
        <item x="7"/>
        <item x="73"/>
        <item x="240"/>
        <item x="587"/>
        <item x="750"/>
        <item x="368"/>
        <item x="238"/>
        <item x="774"/>
        <item x="588"/>
        <item x="460"/>
        <item x="261"/>
        <item x="823"/>
        <item x="871"/>
        <item x="786"/>
        <item x="634"/>
        <item x="242"/>
        <item x="436"/>
        <item x="303"/>
        <item x="874"/>
        <item x="376"/>
        <item x="480"/>
        <item x="699"/>
        <item x="632"/>
        <item x="437"/>
        <item x="678"/>
        <item x="292"/>
        <item x="362"/>
        <item x="737"/>
        <item x="154"/>
        <item x="738"/>
        <item x="58"/>
        <item x="669"/>
        <item x="517"/>
        <item x="152"/>
        <item x="761"/>
        <item x="821"/>
        <item x="878"/>
        <item x="225"/>
        <item x="424"/>
        <item x="375"/>
        <item x="444"/>
        <item x="625"/>
        <item x="710"/>
        <item x="653"/>
        <item x="725"/>
        <item x="279"/>
        <item x="464"/>
        <item x="473"/>
        <item x="867"/>
        <item x="616"/>
        <item x="297"/>
        <item x="94"/>
        <item x="49"/>
        <item x="470"/>
        <item x="772"/>
        <item x="60"/>
        <item x="340"/>
        <item x="203"/>
        <item x="595"/>
        <item x="615"/>
        <item x="610"/>
        <item x="837"/>
        <item x="438"/>
        <item x="162"/>
        <item x="674"/>
        <item x="862"/>
        <item x="371"/>
        <item x="777"/>
        <item x="423"/>
        <item x="714"/>
        <item x="692"/>
        <item x="78"/>
        <item x="584"/>
        <item x="670"/>
        <item x="68"/>
        <item x="353"/>
        <item x="711"/>
        <item x="346"/>
        <item x="273"/>
        <item x="536"/>
        <item x="406"/>
        <item x="272"/>
        <item x="834"/>
        <item x="819"/>
        <item x="102"/>
        <item x="487"/>
        <item x="131"/>
        <item x="496"/>
        <item x="760"/>
        <item x="387"/>
        <item x="385"/>
        <item x="715"/>
        <item x="501"/>
        <item x="332"/>
        <item x="815"/>
        <item x="697"/>
        <item x="85"/>
        <item x="283"/>
        <item x="235"/>
        <item x="628"/>
        <item x="746"/>
        <item x="532"/>
        <item x="302"/>
        <item x="640"/>
        <item x="419"/>
        <item x="194"/>
        <item x="104"/>
        <item x="275"/>
        <item x="544"/>
        <item x="572"/>
        <item x="675"/>
        <item x="873"/>
        <item x="452"/>
        <item x="771"/>
        <item x="135"/>
        <item x="65"/>
        <item x="416"/>
        <item x="767"/>
        <item x="868"/>
        <item x="173"/>
        <item x="524"/>
        <item x="497"/>
        <item x="622"/>
        <item x="347"/>
        <item x="591"/>
        <item x="97"/>
        <item x="852"/>
        <item x="870"/>
        <item x="644"/>
        <item x="800"/>
        <item x="617"/>
        <item x="229"/>
        <item x="779"/>
        <item x="478"/>
        <item x="245"/>
        <item x="446"/>
        <item x="866"/>
        <item x="629"/>
        <item x="415"/>
        <item x="350"/>
        <item x="320"/>
        <item x="814"/>
        <item x="268"/>
        <item x="659"/>
        <item x="808"/>
        <item x="694"/>
        <item x="565"/>
        <item x="20"/>
        <item x="64"/>
        <item x="538"/>
        <item x="812"/>
        <item x="127"/>
        <item x="138"/>
        <item x="384"/>
        <item x="394"/>
        <item x="459"/>
        <item x="27"/>
        <item x="609"/>
        <item x="450"/>
        <item x="26"/>
        <item x="582"/>
        <item x="828"/>
        <item x="479"/>
        <item x="343"/>
        <item x="259"/>
        <item x="307"/>
        <item x="795"/>
        <item x="430"/>
        <item x="576"/>
        <item x="763"/>
        <item x="636"/>
        <item x="191"/>
        <item x="877"/>
        <item x="768"/>
        <item t="default"/>
      </items>
    </pivotField>
    <pivotField compact="0" showAll="0">
      <items count="1001">
        <item x="473"/>
        <item x="129"/>
        <item x="573"/>
        <item x="772"/>
        <item x="102"/>
        <item x="866"/>
        <item x="314"/>
        <item x="354"/>
        <item x="118"/>
        <item x="342"/>
        <item x="153"/>
        <item x="33"/>
        <item x="510"/>
        <item x="445"/>
        <item x="187"/>
        <item x="181"/>
        <item x="742"/>
        <item x="254"/>
        <item x="401"/>
        <item x="415"/>
        <item x="387"/>
        <item x="259"/>
        <item x="506"/>
        <item x="117"/>
        <item x="788"/>
        <item x="97"/>
        <item x="252"/>
        <item x="101"/>
        <item x="165"/>
        <item x="877"/>
        <item x="592"/>
        <item x="907"/>
        <item x="121"/>
        <item x="908"/>
        <item x="596"/>
        <item x="421"/>
        <item x="134"/>
        <item x="316"/>
        <item x="464"/>
        <item x="867"/>
        <item x="850"/>
        <item x="522"/>
        <item x="813"/>
        <item x="376"/>
        <item x="774"/>
        <item x="895"/>
        <item x="786"/>
        <item x="149"/>
        <item x="648"/>
        <item x="184"/>
        <item x="562"/>
        <item x="400"/>
        <item x="563"/>
        <item x="707"/>
        <item x="654"/>
        <item x="898"/>
        <item x="690"/>
        <item x="550"/>
        <item x="884"/>
        <item x="640"/>
        <item x="22"/>
        <item x="868"/>
        <item x="661"/>
        <item x="223"/>
        <item x="680"/>
        <item x="851"/>
        <item x="11"/>
        <item x="136"/>
        <item x="436"/>
        <item x="778"/>
        <item x="593"/>
        <item x="78"/>
        <item x="753"/>
        <item x="519"/>
        <item x="238"/>
        <item x="818"/>
        <item x="348"/>
        <item x="261"/>
        <item x="114"/>
        <item x="209"/>
        <item x="903"/>
        <item x="476"/>
        <item x="174"/>
        <item x="278"/>
        <item x="800"/>
        <item x="806"/>
        <item x="767"/>
        <item x="804"/>
        <item x="539"/>
        <item x="152"/>
        <item x="453"/>
        <item x="741"/>
        <item x="835"/>
        <item x="448"/>
        <item x="979"/>
        <item x="307"/>
        <item x="119"/>
        <item x="231"/>
        <item x="227"/>
        <item x="757"/>
        <item x="260"/>
        <item x="300"/>
        <item x="656"/>
        <item x="720"/>
        <item x="836"/>
        <item x="35"/>
        <item x="854"/>
        <item x="474"/>
        <item x="859"/>
        <item x="46"/>
        <item x="762"/>
        <item x="713"/>
        <item x="263"/>
        <item x="82"/>
        <item x="458"/>
        <item x="725"/>
        <item x="378"/>
        <item x="872"/>
        <item x="394"/>
        <item x="941"/>
        <item x="414"/>
        <item x="883"/>
        <item x="534"/>
        <item x="52"/>
        <item x="733"/>
        <item x="542"/>
        <item x="945"/>
        <item x="40"/>
        <item x="353"/>
        <item x="408"/>
        <item x="130"/>
        <item x="191"/>
        <item x="461"/>
        <item x="112"/>
        <item x="621"/>
        <item x="651"/>
        <item x="235"/>
        <item x="961"/>
        <item x="761"/>
        <item x="882"/>
        <item x="810"/>
        <item x="572"/>
        <item x="588"/>
        <item x="766"/>
        <item x="204"/>
        <item x="18"/>
        <item x="845"/>
        <item x="718"/>
        <item x="336"/>
        <item x="797"/>
        <item x="320"/>
        <item x="220"/>
        <item x="568"/>
        <item x="310"/>
        <item x="953"/>
        <item x="682"/>
        <item x="377"/>
        <item x="124"/>
        <item x="546"/>
        <item x="438"/>
        <item x="557"/>
        <item x="472"/>
        <item x="349"/>
        <item x="237"/>
        <item x="556"/>
        <item x="727"/>
        <item x="974"/>
        <item x="312"/>
        <item x="32"/>
        <item x="696"/>
        <item x="158"/>
        <item x="369"/>
        <item x="948"/>
        <item x="509"/>
        <item x="911"/>
        <item x="554"/>
        <item x="679"/>
        <item x="371"/>
        <item x="96"/>
        <item x="196"/>
        <item x="386"/>
        <item x="499"/>
        <item x="532"/>
        <item x="116"/>
        <item x="711"/>
        <item x="791"/>
        <item x="194"/>
        <item x="934"/>
        <item x="92"/>
        <item x="586"/>
        <item x="212"/>
        <item x="192"/>
        <item x="970"/>
        <item x="832"/>
        <item x="687"/>
        <item x="143"/>
        <item x="352"/>
        <item x="292"/>
        <item x="402"/>
        <item x="645"/>
        <item x="962"/>
        <item x="964"/>
        <item x="483"/>
        <item x="724"/>
        <item x="828"/>
        <item x="14"/>
        <item x="721"/>
        <item x="202"/>
        <item x="983"/>
        <item x="88"/>
        <item x="815"/>
        <item x="913"/>
        <item x="460"/>
        <item x="994"/>
        <item x="701"/>
        <item x="611"/>
        <item x="553"/>
        <item x="297"/>
        <item x="162"/>
        <item x="207"/>
        <item x="626"/>
        <item x="768"/>
        <item x="335"/>
        <item x="755"/>
        <item x="871"/>
        <item x="439"/>
        <item x="939"/>
        <item x="3"/>
        <item x="219"/>
        <item x="825"/>
        <item x="151"/>
        <item x="852"/>
        <item x="758"/>
        <item x="36"/>
        <item x="440"/>
        <item x="657"/>
        <item x="921"/>
        <item x="216"/>
        <item x="241"/>
        <item x="544"/>
        <item x="205"/>
        <item x="698"/>
        <item x="569"/>
        <item x="321"/>
        <item x="798"/>
        <item x="340"/>
        <item x="936"/>
        <item x="358"/>
        <item x="783"/>
        <item x="395"/>
        <item x="423"/>
        <item x="332"/>
        <item x="325"/>
        <item x="988"/>
        <item x="91"/>
        <item x="847"/>
        <item x="345"/>
        <item x="8"/>
        <item x="108"/>
        <item x="821"/>
        <item x="527"/>
        <item x="154"/>
        <item x="601"/>
        <item x="564"/>
        <item x="482"/>
        <item x="28"/>
        <item x="605"/>
        <item x="217"/>
        <item x="410"/>
        <item x="361"/>
        <item x="706"/>
        <item x="125"/>
        <item x="145"/>
        <item x="372"/>
        <item x="862"/>
        <item x="694"/>
        <item x="0"/>
        <item x="613"/>
        <item x="456"/>
        <item x="614"/>
        <item x="628"/>
        <item x="350"/>
        <item x="957"/>
        <item x="528"/>
        <item x="267"/>
        <item x="777"/>
        <item x="547"/>
        <item x="745"/>
        <item x="77"/>
        <item x="686"/>
        <item x="998"/>
        <item x="756"/>
        <item x="823"/>
        <item x="455"/>
        <item x="901"/>
        <item x="503"/>
        <item x="892"/>
        <item x="619"/>
        <item x="632"/>
        <item x="808"/>
        <item x="670"/>
        <item x="671"/>
        <item x="90"/>
        <item x="171"/>
        <item x="12"/>
        <item x="685"/>
        <item x="280"/>
        <item x="950"/>
        <item x="481"/>
        <item x="30"/>
        <item x="137"/>
        <item x="603"/>
        <item x="53"/>
        <item x="180"/>
        <item x="498"/>
        <item x="926"/>
        <item x="109"/>
        <item x="175"/>
        <item x="942"/>
        <item x="881"/>
        <item x="984"/>
        <item x="735"/>
        <item x="450"/>
        <item x="289"/>
        <item x="543"/>
        <item x="404"/>
        <item x="906"/>
        <item x="347"/>
        <item x="72"/>
        <item x="346"/>
        <item x="25"/>
        <item x="403"/>
        <item x="819"/>
        <item x="805"/>
        <item x="21"/>
        <item x="17"/>
        <item x="728"/>
        <item x="169"/>
        <item x="462"/>
        <item x="475"/>
        <item x="856"/>
        <item x="955"/>
        <item x="785"/>
        <item x="716"/>
        <item x="915"/>
        <item x="43"/>
        <item x="419"/>
        <item x="282"/>
        <item x="67"/>
        <item x="824"/>
        <item x="981"/>
        <item x="161"/>
        <item x="75"/>
        <item x="70"/>
        <item x="303"/>
        <item x="959"/>
        <item x="396"/>
        <item x="894"/>
        <item x="264"/>
        <item x="178"/>
        <item x="322"/>
        <item x="956"/>
        <item x="493"/>
        <item x="167"/>
        <item x="874"/>
        <item x="723"/>
        <item x="374"/>
        <item x="215"/>
        <item x="567"/>
        <item x="10"/>
        <item x="230"/>
        <item x="164"/>
        <item x="29"/>
        <item x="122"/>
        <item x="726"/>
        <item x="771"/>
        <item x="382"/>
        <item x="432"/>
        <item x="574"/>
        <item x="244"/>
        <item x="738"/>
        <item x="126"/>
        <item x="653"/>
        <item x="214"/>
        <item x="76"/>
        <item x="183"/>
        <item x="703"/>
        <item x="940"/>
        <item x="384"/>
        <item x="658"/>
        <item x="302"/>
        <item x="294"/>
        <item x="891"/>
        <item x="57"/>
        <item x="917"/>
        <item x="19"/>
        <item x="242"/>
        <item x="442"/>
        <item x="689"/>
        <item x="248"/>
        <item x="643"/>
        <item x="597"/>
        <item x="752"/>
        <item x="412"/>
        <item x="740"/>
        <item x="200"/>
        <item x="148"/>
        <item x="616"/>
        <item x="491"/>
        <item x="551"/>
        <item x="47"/>
        <item x="341"/>
        <item x="357"/>
        <item x="6"/>
        <item x="971"/>
        <item x="781"/>
        <item x="132"/>
        <item x="765"/>
        <item x="13"/>
        <item x="34"/>
        <item x="715"/>
        <item x="893"/>
        <item x="644"/>
        <item x="266"/>
        <item x="257"/>
        <item x="85"/>
        <item x="571"/>
        <item x="655"/>
        <item x="618"/>
        <item x="37"/>
        <item x="561"/>
        <item x="549"/>
        <item x="960"/>
        <item x="555"/>
        <item x="636"/>
        <item x="853"/>
        <item x="87"/>
        <item x="888"/>
        <item x="710"/>
        <item x="457"/>
        <item x="330"/>
        <item x="531"/>
        <item x="127"/>
        <item x="849"/>
        <item x="399"/>
        <item x="576"/>
        <item x="919"/>
        <item x="529"/>
        <item x="607"/>
        <item x="536"/>
        <item x="826"/>
        <item x="418"/>
        <item x="673"/>
        <item x="305"/>
        <item x="512"/>
        <item x="760"/>
        <item x="604"/>
        <item x="523"/>
        <item x="234"/>
        <item x="426"/>
        <item x="437"/>
        <item x="93"/>
        <item x="222"/>
        <item x="84"/>
        <item x="678"/>
        <item x="434"/>
        <item x="578"/>
        <item x="100"/>
        <item x="111"/>
        <item x="363"/>
        <item x="577"/>
        <item x="822"/>
        <item x="141"/>
        <item x="834"/>
        <item x="944"/>
        <item x="631"/>
        <item x="73"/>
        <item x="737"/>
        <item x="912"/>
        <item x="790"/>
        <item x="422"/>
        <item x="484"/>
        <item x="343"/>
        <item x="594"/>
        <item x="839"/>
        <item x="173"/>
        <item x="197"/>
        <item x="580"/>
        <item x="337"/>
        <item x="991"/>
        <item x="630"/>
        <item x="590"/>
        <item x="186"/>
        <item x="189"/>
        <item x="579"/>
        <item x="799"/>
        <item x="276"/>
        <item x="709"/>
        <item x="16"/>
        <item x="465"/>
        <item x="663"/>
        <item x="431"/>
        <item x="2"/>
        <item x="185"/>
        <item x="705"/>
        <item x="734"/>
        <item x="722"/>
        <item x="634"/>
        <item x="379"/>
        <item x="360"/>
        <item x="250"/>
        <item x="24"/>
        <item x="925"/>
        <item x="717"/>
        <item x="144"/>
        <item x="293"/>
        <item x="649"/>
        <item x="515"/>
        <item x="526"/>
        <item x="664"/>
        <item x="748"/>
        <item x="281"/>
        <item x="463"/>
        <item x="533"/>
        <item x="290"/>
        <item x="106"/>
        <item x="995"/>
        <item x="195"/>
        <item x="405"/>
        <item x="411"/>
        <item x="530"/>
        <item x="552"/>
        <item x="177"/>
        <item x="221"/>
        <item x="48"/>
        <item x="879"/>
        <item x="298"/>
        <item x="975"/>
        <item x="62"/>
        <item x="190"/>
        <item x="660"/>
        <item x="647"/>
        <item x="15"/>
        <item x="918"/>
        <item x="954"/>
        <item x="570"/>
        <item x="287"/>
        <item x="140"/>
        <item x="449"/>
        <item x="4"/>
        <item x="9"/>
        <item x="329"/>
        <item x="807"/>
        <item x="331"/>
        <item x="446"/>
        <item x="938"/>
        <item x="932"/>
        <item x="308"/>
        <item x="958"/>
        <item x="188"/>
        <item x="924"/>
        <item x="548"/>
        <item x="582"/>
        <item x="224"/>
        <item x="702"/>
        <item x="502"/>
        <item x="659"/>
        <item x="827"/>
        <item x="784"/>
        <item x="500"/>
        <item x="146"/>
        <item x="182"/>
        <item x="602"/>
        <item x="747"/>
        <item x="368"/>
        <item x="315"/>
        <item x="712"/>
        <item x="693"/>
        <item x="829"/>
        <item x="935"/>
        <item x="792"/>
        <item x="83"/>
        <item x="560"/>
        <item x="587"/>
        <item x="538"/>
        <item x="435"/>
        <item x="933"/>
        <item x="258"/>
        <item x="521"/>
        <item x="595"/>
        <item x="198"/>
        <item x="23"/>
        <item x="381"/>
        <item x="123"/>
        <item x="999"/>
        <item x="809"/>
        <item x="344"/>
        <item x="210"/>
        <item x="477"/>
        <item x="885"/>
        <item x="115"/>
        <item x="622"/>
        <item x="268"/>
        <item x="598"/>
        <item x="110"/>
        <item x="545"/>
        <item x="89"/>
        <item x="155"/>
        <item x="206"/>
        <item x="889"/>
        <item x="600"/>
        <item x="764"/>
        <item x="900"/>
        <item x="565"/>
        <item x="951"/>
        <item x="928"/>
        <item x="413"/>
        <item x="514"/>
        <item x="837"/>
        <item x="584"/>
        <item x="39"/>
        <item x="63"/>
        <item x="385"/>
        <item x="620"/>
        <item x="608"/>
        <item x="317"/>
        <item x="770"/>
        <item x="324"/>
        <item x="232"/>
        <item x="41"/>
        <item x="120"/>
        <item x="875"/>
        <item x="629"/>
        <item x="425"/>
        <item x="540"/>
        <item x="225"/>
        <item x="163"/>
        <item x="490"/>
        <item x="104"/>
        <item x="646"/>
        <item x="909"/>
        <item x="273"/>
        <item x="963"/>
        <item x="625"/>
        <item x="228"/>
        <item x="949"/>
        <item x="672"/>
        <item x="982"/>
        <item x="245"/>
        <item x="311"/>
        <item x="44"/>
        <item x="617"/>
        <item x="610"/>
        <item x="420"/>
        <item x="304"/>
        <item x="855"/>
        <item x="226"/>
        <item x="793"/>
        <item x="513"/>
        <item x="172"/>
        <item x="389"/>
        <item x="424"/>
        <item x="736"/>
        <item x="285"/>
        <item x="585"/>
        <item x="789"/>
        <item x="355"/>
        <item x="218"/>
        <item x="81"/>
        <item x="103"/>
        <item x="681"/>
        <item x="193"/>
        <item x="277"/>
        <item x="496"/>
        <item x="848"/>
        <item x="972"/>
        <item x="166"/>
        <item x="930"/>
        <item x="156"/>
        <item x="840"/>
        <item x="507"/>
        <item x="973"/>
        <item x="769"/>
        <item x="599"/>
        <item x="60"/>
        <item x="665"/>
        <item x="844"/>
        <item x="504"/>
        <item x="309"/>
        <item x="1"/>
        <item x="333"/>
        <item x="606"/>
        <item x="208"/>
        <item x="833"/>
        <item x="842"/>
        <item x="904"/>
        <item x="861"/>
        <item x="609"/>
        <item x="751"/>
        <item x="966"/>
        <item x="128"/>
        <item x="170"/>
        <item x="467"/>
        <item x="380"/>
        <item x="160"/>
        <item x="176"/>
        <item x="886"/>
        <item x="98"/>
        <item x="255"/>
        <item x="327"/>
        <item x="812"/>
        <item x="211"/>
        <item x="427"/>
        <item x="299"/>
        <item x="486"/>
        <item x="666"/>
        <item x="495"/>
        <item x="243"/>
        <item x="147"/>
        <item x="559"/>
        <item x="113"/>
        <item x="375"/>
        <item x="700"/>
        <item x="5"/>
        <item x="479"/>
        <item x="492"/>
        <item x="31"/>
        <item x="470"/>
        <item x="56"/>
        <item x="275"/>
        <item x="356"/>
        <item x="262"/>
        <item x="739"/>
        <item x="524"/>
        <item x="897"/>
        <item x="896"/>
        <item x="624"/>
        <item x="233"/>
        <item x="838"/>
        <item x="58"/>
        <item x="269"/>
        <item x="430"/>
        <item x="731"/>
        <item x="489"/>
        <item x="843"/>
        <item x="38"/>
        <item x="637"/>
        <item x="759"/>
        <item x="763"/>
        <item x="392"/>
        <item x="64"/>
        <item x="50"/>
        <item x="730"/>
        <item x="271"/>
        <item x="94"/>
        <item x="42"/>
        <item x="969"/>
        <item x="138"/>
        <item x="454"/>
        <item x="364"/>
        <item x="732"/>
        <item x="391"/>
        <item x="239"/>
        <item x="914"/>
        <item x="952"/>
        <item x="488"/>
        <item x="71"/>
        <item x="641"/>
        <item x="247"/>
        <item x="288"/>
        <item x="365"/>
        <item x="977"/>
        <item x="338"/>
        <item x="967"/>
        <item x="863"/>
        <item x="7"/>
        <item x="74"/>
        <item x="251"/>
        <item x="669"/>
        <item x="638"/>
        <item x="846"/>
        <item x="80"/>
        <item x="390"/>
        <item x="249"/>
        <item x="873"/>
        <item x="639"/>
        <item x="497"/>
        <item x="272"/>
        <item x="931"/>
        <item x="990"/>
        <item x="887"/>
        <item x="697"/>
        <item x="253"/>
        <item x="466"/>
        <item x="319"/>
        <item x="993"/>
        <item x="968"/>
        <item x="398"/>
        <item x="441"/>
        <item x="518"/>
        <item x="782"/>
        <item x="695"/>
        <item x="714"/>
        <item x="468"/>
        <item x="754"/>
        <item x="306"/>
        <item x="383"/>
        <item x="830"/>
        <item x="159"/>
        <item x="831"/>
        <item x="59"/>
        <item x="743"/>
        <item x="558"/>
        <item x="683"/>
        <item x="814"/>
        <item x="157"/>
        <item x="980"/>
        <item x="775"/>
        <item x="612"/>
        <item x="858"/>
        <item x="929"/>
        <item x="997"/>
        <item x="236"/>
        <item x="452"/>
        <item x="397"/>
        <item x="520"/>
        <item x="478"/>
        <item x="688"/>
        <item x="55"/>
        <item x="505"/>
        <item x="794"/>
        <item x="746"/>
        <item x="719"/>
        <item x="816"/>
        <item x="471"/>
        <item x="291"/>
        <item x="501"/>
        <item x="511"/>
        <item x="890"/>
        <item x="986"/>
        <item x="676"/>
        <item x="796"/>
        <item x="313"/>
        <item x="779"/>
        <item x="95"/>
        <item x="49"/>
        <item x="508"/>
        <item x="870"/>
        <item x="45"/>
        <item x="61"/>
        <item x="359"/>
        <item x="213"/>
        <item x="650"/>
        <item x="326"/>
        <item x="674"/>
        <item x="668"/>
        <item x="947"/>
        <item x="469"/>
        <item x="168"/>
        <item x="749"/>
        <item x="976"/>
        <item x="393"/>
        <item x="876"/>
        <item x="451"/>
        <item x="801"/>
        <item x="773"/>
        <item x="79"/>
        <item x="635"/>
        <item x="662"/>
        <item x="744"/>
        <item x="69"/>
        <item x="373"/>
        <item x="795"/>
        <item x="946"/>
        <item x="366"/>
        <item x="284"/>
        <item x="589"/>
        <item x="581"/>
        <item x="433"/>
        <item x="283"/>
        <item x="943"/>
        <item x="927"/>
        <item x="105"/>
        <item x="525"/>
        <item x="135"/>
        <item x="535"/>
        <item x="857"/>
        <item x="409"/>
        <item x="407"/>
        <item x="803"/>
        <item x="541"/>
        <item x="351"/>
        <item x="923"/>
        <item x="780"/>
        <item x="86"/>
        <item x="295"/>
        <item x="246"/>
        <item x="691"/>
        <item x="841"/>
        <item x="575"/>
        <item x="318"/>
        <item x="704"/>
        <item x="447"/>
        <item x="203"/>
        <item x="107"/>
        <item x="388"/>
        <item x="675"/>
        <item x="328"/>
        <item x="274"/>
        <item x="286"/>
        <item x="591"/>
        <item x="623"/>
        <item x="750"/>
        <item x="992"/>
        <item x="296"/>
        <item x="487"/>
        <item x="869"/>
        <item x="811"/>
        <item x="139"/>
        <item x="150"/>
        <item x="910"/>
        <item x="66"/>
        <item x="444"/>
        <item x="864"/>
        <item x="987"/>
        <item x="179"/>
        <item x="566"/>
        <item x="537"/>
        <item x="229"/>
        <item x="684"/>
        <item x="428"/>
        <item x="367"/>
        <item x="429"/>
        <item x="642"/>
        <item x="802"/>
        <item x="54"/>
        <item x="201"/>
        <item x="965"/>
        <item x="989"/>
        <item x="708"/>
        <item x="905"/>
        <item x="677"/>
        <item x="240"/>
        <item x="880"/>
        <item x="878"/>
        <item x="516"/>
        <item x="256"/>
        <item x="480"/>
        <item x="985"/>
        <item x="692"/>
        <item x="443"/>
        <item x="370"/>
        <item x="339"/>
        <item x="922"/>
        <item x="265"/>
        <item x="279"/>
        <item x="729"/>
        <item x="916"/>
        <item x="820"/>
        <item x="776"/>
        <item x="615"/>
        <item x="20"/>
        <item x="978"/>
        <item x="65"/>
        <item x="583"/>
        <item x="51"/>
        <item x="920"/>
        <item x="131"/>
        <item x="142"/>
        <item x="301"/>
        <item x="406"/>
        <item x="416"/>
        <item x="133"/>
        <item x="494"/>
        <item x="27"/>
        <item x="667"/>
        <item x="485"/>
        <item x="902"/>
        <item x="26"/>
        <item x="633"/>
        <item x="68"/>
        <item x="937"/>
        <item x="517"/>
        <item x="417"/>
        <item x="362"/>
        <item x="270"/>
        <item x="652"/>
        <item x="323"/>
        <item x="899"/>
        <item x="459"/>
        <item x="627"/>
        <item x="860"/>
        <item x="699"/>
        <item x="199"/>
        <item x="787"/>
        <item x="996"/>
        <item x="334"/>
        <item x="817"/>
        <item x="99"/>
        <item x="865"/>
        <item t="default"/>
      </items>
    </pivotField>
    <pivotField compact="0" showAll="0">
      <items count="1000">
        <item x="473"/>
        <item x="129"/>
        <item x="573"/>
        <item x="771"/>
        <item x="102"/>
        <item x="865"/>
        <item x="314"/>
        <item x="354"/>
        <item x="118"/>
        <item x="342"/>
        <item x="153"/>
        <item x="33"/>
        <item x="510"/>
        <item x="445"/>
        <item x="187"/>
        <item x="181"/>
        <item x="741"/>
        <item x="254"/>
        <item x="401"/>
        <item x="415"/>
        <item x="387"/>
        <item x="259"/>
        <item x="506"/>
        <item x="117"/>
        <item x="787"/>
        <item x="97"/>
        <item x="252"/>
        <item x="101"/>
        <item x="165"/>
        <item x="876"/>
        <item x="592"/>
        <item x="906"/>
        <item x="121"/>
        <item x="907"/>
        <item x="596"/>
        <item x="421"/>
        <item x="134"/>
        <item x="316"/>
        <item x="464"/>
        <item x="866"/>
        <item x="849"/>
        <item x="522"/>
        <item x="812"/>
        <item x="376"/>
        <item x="773"/>
        <item x="894"/>
        <item x="785"/>
        <item x="149"/>
        <item x="648"/>
        <item x="184"/>
        <item x="562"/>
        <item x="400"/>
        <item x="563"/>
        <item x="706"/>
        <item x="654"/>
        <item x="897"/>
        <item x="690"/>
        <item x="550"/>
        <item x="883"/>
        <item x="640"/>
        <item x="22"/>
        <item x="867"/>
        <item x="661"/>
        <item x="223"/>
        <item x="680"/>
        <item x="850"/>
        <item x="11"/>
        <item x="136"/>
        <item x="436"/>
        <item x="777"/>
        <item x="593"/>
        <item x="78"/>
        <item x="752"/>
        <item x="519"/>
        <item x="238"/>
        <item x="817"/>
        <item x="348"/>
        <item x="261"/>
        <item x="114"/>
        <item x="209"/>
        <item x="902"/>
        <item x="476"/>
        <item x="174"/>
        <item x="278"/>
        <item x="799"/>
        <item x="805"/>
        <item x="766"/>
        <item x="803"/>
        <item x="539"/>
        <item x="152"/>
        <item x="453"/>
        <item x="740"/>
        <item x="834"/>
        <item x="448"/>
        <item x="978"/>
        <item x="307"/>
        <item x="119"/>
        <item x="231"/>
        <item x="227"/>
        <item x="756"/>
        <item x="260"/>
        <item x="300"/>
        <item x="656"/>
        <item x="719"/>
        <item x="835"/>
        <item x="35"/>
        <item x="853"/>
        <item x="474"/>
        <item x="858"/>
        <item x="46"/>
        <item x="761"/>
        <item x="712"/>
        <item x="263"/>
        <item x="82"/>
        <item x="458"/>
        <item x="724"/>
        <item x="378"/>
        <item x="871"/>
        <item x="394"/>
        <item x="940"/>
        <item x="414"/>
        <item x="882"/>
        <item x="534"/>
        <item x="52"/>
        <item x="732"/>
        <item x="542"/>
        <item x="944"/>
        <item x="40"/>
        <item x="353"/>
        <item x="408"/>
        <item x="130"/>
        <item x="191"/>
        <item x="461"/>
        <item x="112"/>
        <item x="621"/>
        <item x="651"/>
        <item x="235"/>
        <item x="960"/>
        <item x="760"/>
        <item x="881"/>
        <item x="809"/>
        <item x="572"/>
        <item x="588"/>
        <item x="765"/>
        <item x="204"/>
        <item x="18"/>
        <item x="844"/>
        <item x="717"/>
        <item x="336"/>
        <item x="796"/>
        <item x="320"/>
        <item x="220"/>
        <item x="568"/>
        <item x="310"/>
        <item x="952"/>
        <item x="682"/>
        <item x="377"/>
        <item x="124"/>
        <item x="546"/>
        <item x="438"/>
        <item x="557"/>
        <item x="472"/>
        <item x="349"/>
        <item x="237"/>
        <item x="556"/>
        <item x="726"/>
        <item x="973"/>
        <item x="312"/>
        <item x="32"/>
        <item x="695"/>
        <item x="158"/>
        <item x="369"/>
        <item x="947"/>
        <item x="509"/>
        <item x="910"/>
        <item x="554"/>
        <item x="679"/>
        <item x="371"/>
        <item x="96"/>
        <item x="196"/>
        <item x="386"/>
        <item x="499"/>
        <item x="532"/>
        <item x="116"/>
        <item x="710"/>
        <item x="790"/>
        <item x="194"/>
        <item x="933"/>
        <item x="92"/>
        <item x="586"/>
        <item x="212"/>
        <item x="192"/>
        <item x="969"/>
        <item x="831"/>
        <item x="687"/>
        <item x="143"/>
        <item x="352"/>
        <item x="292"/>
        <item x="402"/>
        <item x="645"/>
        <item x="961"/>
        <item x="963"/>
        <item x="483"/>
        <item x="723"/>
        <item x="827"/>
        <item x="14"/>
        <item x="720"/>
        <item x="202"/>
        <item x="982"/>
        <item x="88"/>
        <item x="814"/>
        <item x="912"/>
        <item x="460"/>
        <item x="993"/>
        <item x="700"/>
        <item x="611"/>
        <item x="553"/>
        <item x="297"/>
        <item x="162"/>
        <item x="207"/>
        <item x="626"/>
        <item x="767"/>
        <item x="335"/>
        <item x="754"/>
        <item x="870"/>
        <item x="439"/>
        <item x="938"/>
        <item x="3"/>
        <item x="219"/>
        <item x="824"/>
        <item x="151"/>
        <item x="851"/>
        <item x="757"/>
        <item x="36"/>
        <item x="440"/>
        <item x="657"/>
        <item x="920"/>
        <item x="216"/>
        <item x="241"/>
        <item x="544"/>
        <item x="205"/>
        <item x="697"/>
        <item x="569"/>
        <item x="321"/>
        <item x="797"/>
        <item x="340"/>
        <item x="935"/>
        <item x="358"/>
        <item x="782"/>
        <item x="395"/>
        <item x="423"/>
        <item x="332"/>
        <item x="325"/>
        <item x="987"/>
        <item x="91"/>
        <item x="846"/>
        <item x="345"/>
        <item x="8"/>
        <item x="108"/>
        <item x="820"/>
        <item x="527"/>
        <item x="154"/>
        <item x="601"/>
        <item x="564"/>
        <item x="482"/>
        <item x="28"/>
        <item x="605"/>
        <item x="217"/>
        <item x="410"/>
        <item x="361"/>
        <item x="705"/>
        <item x="125"/>
        <item x="145"/>
        <item x="372"/>
        <item x="861"/>
        <item x="693"/>
        <item x="0"/>
        <item x="613"/>
        <item x="456"/>
        <item x="614"/>
        <item x="628"/>
        <item x="350"/>
        <item x="956"/>
        <item x="528"/>
        <item x="267"/>
        <item x="776"/>
        <item x="547"/>
        <item x="744"/>
        <item x="77"/>
        <item x="686"/>
        <item x="997"/>
        <item x="755"/>
        <item x="822"/>
        <item x="455"/>
        <item x="900"/>
        <item x="503"/>
        <item x="891"/>
        <item x="619"/>
        <item x="632"/>
        <item x="807"/>
        <item x="670"/>
        <item x="671"/>
        <item x="90"/>
        <item x="171"/>
        <item x="12"/>
        <item x="685"/>
        <item x="280"/>
        <item x="949"/>
        <item x="481"/>
        <item x="30"/>
        <item x="137"/>
        <item x="603"/>
        <item x="53"/>
        <item x="180"/>
        <item x="498"/>
        <item x="925"/>
        <item x="109"/>
        <item x="175"/>
        <item x="941"/>
        <item x="880"/>
        <item x="983"/>
        <item x="734"/>
        <item x="450"/>
        <item x="289"/>
        <item x="543"/>
        <item x="404"/>
        <item x="905"/>
        <item x="347"/>
        <item x="72"/>
        <item x="346"/>
        <item x="25"/>
        <item x="403"/>
        <item x="818"/>
        <item x="804"/>
        <item x="21"/>
        <item x="17"/>
        <item x="727"/>
        <item x="169"/>
        <item x="462"/>
        <item x="475"/>
        <item x="855"/>
        <item x="954"/>
        <item x="784"/>
        <item x="715"/>
        <item x="914"/>
        <item x="43"/>
        <item x="419"/>
        <item x="282"/>
        <item x="67"/>
        <item x="823"/>
        <item x="980"/>
        <item x="161"/>
        <item x="75"/>
        <item x="70"/>
        <item x="303"/>
        <item x="958"/>
        <item x="396"/>
        <item x="893"/>
        <item x="264"/>
        <item x="178"/>
        <item x="322"/>
        <item x="955"/>
        <item x="493"/>
        <item x="167"/>
        <item x="873"/>
        <item x="722"/>
        <item x="374"/>
        <item x="215"/>
        <item x="567"/>
        <item x="10"/>
        <item x="230"/>
        <item x="164"/>
        <item x="29"/>
        <item x="122"/>
        <item x="725"/>
        <item x="770"/>
        <item x="382"/>
        <item x="432"/>
        <item x="574"/>
        <item x="244"/>
        <item x="737"/>
        <item x="126"/>
        <item x="653"/>
        <item x="214"/>
        <item x="76"/>
        <item x="183"/>
        <item x="702"/>
        <item x="939"/>
        <item x="384"/>
        <item x="658"/>
        <item x="302"/>
        <item x="294"/>
        <item x="890"/>
        <item x="57"/>
        <item x="916"/>
        <item x="19"/>
        <item x="242"/>
        <item x="442"/>
        <item x="689"/>
        <item x="248"/>
        <item x="643"/>
        <item x="597"/>
        <item x="751"/>
        <item x="412"/>
        <item x="739"/>
        <item x="200"/>
        <item x="148"/>
        <item x="616"/>
        <item x="491"/>
        <item x="551"/>
        <item x="47"/>
        <item x="341"/>
        <item x="357"/>
        <item x="6"/>
        <item x="970"/>
        <item x="780"/>
        <item x="132"/>
        <item x="764"/>
        <item x="13"/>
        <item x="34"/>
        <item x="714"/>
        <item x="892"/>
        <item x="644"/>
        <item x="266"/>
        <item x="257"/>
        <item x="85"/>
        <item x="571"/>
        <item x="655"/>
        <item x="618"/>
        <item x="37"/>
        <item x="561"/>
        <item x="549"/>
        <item x="959"/>
        <item x="555"/>
        <item x="636"/>
        <item x="852"/>
        <item x="87"/>
        <item x="887"/>
        <item x="709"/>
        <item x="457"/>
        <item x="330"/>
        <item x="531"/>
        <item x="127"/>
        <item x="848"/>
        <item x="399"/>
        <item x="576"/>
        <item x="918"/>
        <item x="529"/>
        <item x="607"/>
        <item x="536"/>
        <item x="825"/>
        <item x="418"/>
        <item x="673"/>
        <item x="305"/>
        <item x="512"/>
        <item x="759"/>
        <item x="604"/>
        <item x="523"/>
        <item x="234"/>
        <item x="426"/>
        <item x="437"/>
        <item x="93"/>
        <item x="222"/>
        <item x="84"/>
        <item x="678"/>
        <item x="434"/>
        <item x="578"/>
        <item x="100"/>
        <item x="111"/>
        <item x="363"/>
        <item x="577"/>
        <item x="821"/>
        <item x="141"/>
        <item x="833"/>
        <item x="943"/>
        <item x="631"/>
        <item x="73"/>
        <item x="736"/>
        <item x="911"/>
        <item x="789"/>
        <item x="422"/>
        <item x="484"/>
        <item x="343"/>
        <item x="594"/>
        <item x="838"/>
        <item x="173"/>
        <item x="197"/>
        <item x="580"/>
        <item x="337"/>
        <item x="990"/>
        <item x="630"/>
        <item x="590"/>
        <item x="186"/>
        <item x="189"/>
        <item x="579"/>
        <item x="798"/>
        <item x="276"/>
        <item x="708"/>
        <item x="16"/>
        <item x="465"/>
        <item x="663"/>
        <item x="431"/>
        <item x="2"/>
        <item x="185"/>
        <item x="704"/>
        <item x="733"/>
        <item x="721"/>
        <item x="634"/>
        <item x="379"/>
        <item x="360"/>
        <item x="250"/>
        <item x="24"/>
        <item x="924"/>
        <item x="716"/>
        <item x="144"/>
        <item x="293"/>
        <item x="649"/>
        <item x="515"/>
        <item x="526"/>
        <item x="664"/>
        <item x="747"/>
        <item x="281"/>
        <item x="463"/>
        <item x="533"/>
        <item x="290"/>
        <item x="106"/>
        <item x="994"/>
        <item x="195"/>
        <item x="405"/>
        <item x="411"/>
        <item x="530"/>
        <item x="552"/>
        <item x="177"/>
        <item x="221"/>
        <item x="48"/>
        <item x="878"/>
        <item x="298"/>
        <item x="974"/>
        <item x="62"/>
        <item x="190"/>
        <item x="660"/>
        <item x="647"/>
        <item x="15"/>
        <item x="917"/>
        <item x="953"/>
        <item x="570"/>
        <item x="287"/>
        <item x="140"/>
        <item x="449"/>
        <item x="4"/>
        <item x="9"/>
        <item x="329"/>
        <item x="806"/>
        <item x="331"/>
        <item x="446"/>
        <item x="937"/>
        <item x="931"/>
        <item x="308"/>
        <item x="957"/>
        <item x="188"/>
        <item x="923"/>
        <item x="548"/>
        <item x="582"/>
        <item x="224"/>
        <item x="701"/>
        <item x="502"/>
        <item x="659"/>
        <item x="826"/>
        <item x="783"/>
        <item x="500"/>
        <item x="146"/>
        <item x="182"/>
        <item x="602"/>
        <item x="746"/>
        <item x="368"/>
        <item x="315"/>
        <item x="711"/>
        <item x="692"/>
        <item x="828"/>
        <item x="934"/>
        <item x="791"/>
        <item x="83"/>
        <item x="560"/>
        <item x="587"/>
        <item x="538"/>
        <item x="435"/>
        <item x="932"/>
        <item x="258"/>
        <item x="521"/>
        <item x="595"/>
        <item x="198"/>
        <item x="23"/>
        <item x="381"/>
        <item x="123"/>
        <item x="998"/>
        <item x="808"/>
        <item x="344"/>
        <item x="210"/>
        <item x="477"/>
        <item x="884"/>
        <item x="115"/>
        <item x="622"/>
        <item x="268"/>
        <item x="598"/>
        <item x="110"/>
        <item x="545"/>
        <item x="89"/>
        <item x="155"/>
        <item x="206"/>
        <item x="888"/>
        <item x="600"/>
        <item x="763"/>
        <item x="899"/>
        <item x="565"/>
        <item x="950"/>
        <item x="927"/>
        <item x="413"/>
        <item x="514"/>
        <item x="836"/>
        <item x="584"/>
        <item x="39"/>
        <item x="63"/>
        <item x="385"/>
        <item x="620"/>
        <item x="608"/>
        <item x="317"/>
        <item x="769"/>
        <item x="324"/>
        <item x="232"/>
        <item x="41"/>
        <item x="120"/>
        <item x="874"/>
        <item x="629"/>
        <item x="425"/>
        <item x="540"/>
        <item x="225"/>
        <item x="163"/>
        <item x="490"/>
        <item x="104"/>
        <item x="646"/>
        <item x="908"/>
        <item x="273"/>
        <item x="962"/>
        <item x="625"/>
        <item x="228"/>
        <item x="948"/>
        <item x="672"/>
        <item x="981"/>
        <item x="245"/>
        <item x="311"/>
        <item x="44"/>
        <item x="617"/>
        <item x="610"/>
        <item x="420"/>
        <item x="304"/>
        <item x="854"/>
        <item x="226"/>
        <item x="792"/>
        <item x="513"/>
        <item x="172"/>
        <item x="389"/>
        <item x="424"/>
        <item x="735"/>
        <item x="285"/>
        <item x="585"/>
        <item x="788"/>
        <item x="355"/>
        <item x="218"/>
        <item x="81"/>
        <item x="103"/>
        <item x="681"/>
        <item x="193"/>
        <item x="277"/>
        <item x="496"/>
        <item x="847"/>
        <item x="971"/>
        <item x="166"/>
        <item x="929"/>
        <item x="156"/>
        <item x="839"/>
        <item x="507"/>
        <item x="972"/>
        <item x="768"/>
        <item x="599"/>
        <item x="60"/>
        <item x="665"/>
        <item x="843"/>
        <item x="504"/>
        <item x="309"/>
        <item x="1"/>
        <item x="333"/>
        <item x="606"/>
        <item x="208"/>
        <item x="832"/>
        <item x="841"/>
        <item x="903"/>
        <item x="860"/>
        <item x="609"/>
        <item x="750"/>
        <item x="965"/>
        <item x="128"/>
        <item x="170"/>
        <item x="467"/>
        <item x="380"/>
        <item x="160"/>
        <item x="176"/>
        <item x="885"/>
        <item x="98"/>
        <item x="255"/>
        <item x="327"/>
        <item x="811"/>
        <item x="211"/>
        <item x="427"/>
        <item x="299"/>
        <item x="486"/>
        <item x="666"/>
        <item x="495"/>
        <item x="243"/>
        <item x="147"/>
        <item x="559"/>
        <item x="113"/>
        <item x="375"/>
        <item x="699"/>
        <item x="5"/>
        <item x="479"/>
        <item x="492"/>
        <item x="31"/>
        <item x="470"/>
        <item x="56"/>
        <item x="275"/>
        <item x="356"/>
        <item x="262"/>
        <item x="738"/>
        <item x="524"/>
        <item x="896"/>
        <item x="895"/>
        <item x="624"/>
        <item x="233"/>
        <item x="837"/>
        <item x="58"/>
        <item x="269"/>
        <item x="430"/>
        <item x="730"/>
        <item x="489"/>
        <item x="842"/>
        <item x="38"/>
        <item x="637"/>
        <item x="758"/>
        <item x="762"/>
        <item x="392"/>
        <item x="64"/>
        <item x="50"/>
        <item x="729"/>
        <item x="271"/>
        <item x="94"/>
        <item x="42"/>
        <item x="968"/>
        <item x="138"/>
        <item x="454"/>
        <item x="364"/>
        <item x="731"/>
        <item x="391"/>
        <item x="239"/>
        <item x="913"/>
        <item x="951"/>
        <item x="488"/>
        <item x="71"/>
        <item x="641"/>
        <item x="247"/>
        <item x="288"/>
        <item x="365"/>
        <item x="976"/>
        <item x="338"/>
        <item x="966"/>
        <item x="862"/>
        <item x="7"/>
        <item x="74"/>
        <item x="251"/>
        <item x="669"/>
        <item x="638"/>
        <item x="845"/>
        <item x="80"/>
        <item x="390"/>
        <item x="249"/>
        <item x="872"/>
        <item x="639"/>
        <item x="497"/>
        <item x="272"/>
        <item x="930"/>
        <item x="989"/>
        <item x="886"/>
        <item x="696"/>
        <item x="253"/>
        <item x="466"/>
        <item x="319"/>
        <item x="992"/>
        <item x="967"/>
        <item x="398"/>
        <item x="441"/>
        <item x="518"/>
        <item x="781"/>
        <item x="694"/>
        <item x="713"/>
        <item x="468"/>
        <item x="753"/>
        <item x="306"/>
        <item x="383"/>
        <item x="829"/>
        <item x="159"/>
        <item x="830"/>
        <item x="59"/>
        <item x="742"/>
        <item x="558"/>
        <item x="683"/>
        <item x="813"/>
        <item x="157"/>
        <item x="979"/>
        <item x="774"/>
        <item x="612"/>
        <item x="857"/>
        <item x="928"/>
        <item x="996"/>
        <item x="236"/>
        <item x="452"/>
        <item x="397"/>
        <item x="520"/>
        <item x="478"/>
        <item x="688"/>
        <item x="55"/>
        <item x="505"/>
        <item x="793"/>
        <item x="745"/>
        <item x="718"/>
        <item x="815"/>
        <item x="471"/>
        <item x="291"/>
        <item x="501"/>
        <item x="511"/>
        <item x="889"/>
        <item x="985"/>
        <item x="676"/>
        <item x="795"/>
        <item x="313"/>
        <item x="778"/>
        <item x="95"/>
        <item x="49"/>
        <item x="508"/>
        <item x="869"/>
        <item x="45"/>
        <item x="61"/>
        <item x="359"/>
        <item x="213"/>
        <item x="650"/>
        <item x="326"/>
        <item x="674"/>
        <item x="668"/>
        <item x="946"/>
        <item x="469"/>
        <item x="168"/>
        <item x="748"/>
        <item x="975"/>
        <item x="393"/>
        <item x="875"/>
        <item x="451"/>
        <item x="800"/>
        <item x="772"/>
        <item x="79"/>
        <item x="635"/>
        <item x="662"/>
        <item x="743"/>
        <item x="69"/>
        <item x="373"/>
        <item x="794"/>
        <item x="945"/>
        <item x="366"/>
        <item x="284"/>
        <item x="589"/>
        <item x="581"/>
        <item x="433"/>
        <item x="283"/>
        <item x="942"/>
        <item x="926"/>
        <item x="105"/>
        <item x="525"/>
        <item x="135"/>
        <item x="535"/>
        <item x="856"/>
        <item x="409"/>
        <item x="407"/>
        <item x="802"/>
        <item x="541"/>
        <item x="351"/>
        <item x="922"/>
        <item x="779"/>
        <item x="86"/>
        <item x="295"/>
        <item x="246"/>
        <item x="691"/>
        <item x="840"/>
        <item x="575"/>
        <item x="318"/>
        <item x="703"/>
        <item x="447"/>
        <item x="203"/>
        <item x="107"/>
        <item x="388"/>
        <item x="675"/>
        <item x="328"/>
        <item x="274"/>
        <item x="286"/>
        <item x="591"/>
        <item x="623"/>
        <item x="749"/>
        <item x="991"/>
        <item x="296"/>
        <item x="487"/>
        <item x="868"/>
        <item x="810"/>
        <item x="139"/>
        <item x="150"/>
        <item x="909"/>
        <item x="66"/>
        <item x="444"/>
        <item x="863"/>
        <item x="986"/>
        <item x="179"/>
        <item x="566"/>
        <item x="537"/>
        <item x="229"/>
        <item x="684"/>
        <item x="428"/>
        <item x="367"/>
        <item x="429"/>
        <item x="642"/>
        <item x="801"/>
        <item x="54"/>
        <item x="201"/>
        <item x="964"/>
        <item x="988"/>
        <item x="707"/>
        <item x="904"/>
        <item x="677"/>
        <item x="240"/>
        <item x="879"/>
        <item x="877"/>
        <item x="516"/>
        <item x="256"/>
        <item x="480"/>
        <item x="984"/>
        <item x="443"/>
        <item x="370"/>
        <item x="339"/>
        <item x="921"/>
        <item x="265"/>
        <item x="279"/>
        <item x="728"/>
        <item x="915"/>
        <item x="819"/>
        <item x="775"/>
        <item x="615"/>
        <item x="20"/>
        <item x="977"/>
        <item x="65"/>
        <item x="583"/>
        <item x="51"/>
        <item x="919"/>
        <item x="131"/>
        <item x="142"/>
        <item x="301"/>
        <item x="406"/>
        <item x="416"/>
        <item x="133"/>
        <item x="494"/>
        <item x="27"/>
        <item x="667"/>
        <item x="485"/>
        <item x="901"/>
        <item x="26"/>
        <item x="633"/>
        <item x="68"/>
        <item x="936"/>
        <item x="517"/>
        <item x="417"/>
        <item x="362"/>
        <item x="270"/>
        <item x="652"/>
        <item x="323"/>
        <item x="898"/>
        <item x="459"/>
        <item x="627"/>
        <item x="859"/>
        <item x="698"/>
        <item x="199"/>
        <item x="786"/>
        <item x="995"/>
        <item x="334"/>
        <item x="816"/>
        <item x="99"/>
        <item x="86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</pivotFields>
  <rowFields count="1">
    <field x="9"/>
  </rowFields>
  <rowItems count="2">
    <i>
      <x v="12"/>
    </i>
    <i t="grand">
      <x/>
    </i>
  </rowItems>
  <colItems count="1">
    <i/>
  </colItems>
  <dataFields count="1">
    <dataField name="Sum of Sales" fld="14" baseField="0" baseItem="0"/>
  </dataFields>
  <formats count="7">
    <format dxfId="9">
      <pivotArea collapsedLevelsAreSubtotals="1" fieldPosition="0"/>
    </format>
    <format dxfId="10">
      <pivotArea collapsedLevelsAreSubtotals="1" fieldPosition="0"/>
    </format>
    <format dxfId="11">
      <pivotArea collapsedLevelsAreSubtotals="1" fieldPosition="0"/>
    </format>
    <format dxfId="12">
      <pivotArea collapsedLevelsAreSubtotals="1" fieldPosition="0"/>
    </format>
    <format dxfId="13">
      <pivotArea collapsedLevelsAreSubtotals="1" fieldPosition="0"/>
    </format>
    <format dxfId="14">
      <pivotArea collapsedLevelsAreSubtotals="1" fieldPosition="0"/>
    </format>
    <format dxfId="15">
      <pivotArea collapsedLevelsAreSubtotals="1" fieldPosition="0"/>
    </format>
  </formats>
  <pivotTableStyleInfo name="PivotStyleLight16" showRowHeaders="1" showColHeaders="1" showLastColumn="1"/>
  <filters count="1">
    <filter evalOrder="-1" fld="9" iMeasureFld="0" id="1" type="count">
      <autoFilter ref="A1">
        <filterColumn colId="0">
          <top10 filterVal="1" 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4:I5" firstHeaderRow="1" firstDataRow="1" firstDataCol="0"/>
  <pivotFields count="18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3" showAll="0">
      <items count="870">
        <item x="463"/>
        <item x="846"/>
        <item x="681"/>
        <item x="535"/>
        <item x="60"/>
        <item x="593"/>
        <item x="740"/>
        <item x="460"/>
        <item x="294"/>
        <item x="1"/>
        <item x="314"/>
        <item x="541"/>
        <item x="202"/>
        <item x="730"/>
        <item x="738"/>
        <item x="788"/>
        <item x="753"/>
        <item x="544"/>
        <item x="668"/>
        <item x="839"/>
        <item x="127"/>
        <item x="167"/>
        <item x="426"/>
        <item x="353"/>
        <item x="157"/>
        <item x="173"/>
        <item x="770"/>
        <item x="98"/>
        <item x="244"/>
        <item x="309"/>
        <item x="713"/>
        <item x="205"/>
        <item x="394"/>
        <item x="284"/>
        <item x="443"/>
        <item x="594"/>
        <item x="452"/>
        <item x="233"/>
        <item x="145"/>
        <item x="503"/>
        <item x="112"/>
        <item x="349"/>
        <item x="623"/>
        <item x="5"/>
        <item x="436"/>
        <item x="449"/>
        <item x="31"/>
        <item x="429"/>
        <item x="56"/>
        <item x="263"/>
        <item x="332"/>
        <item x="250"/>
        <item x="658"/>
        <item x="478"/>
        <item x="781"/>
        <item x="780"/>
        <item x="558"/>
        <item x="225"/>
        <item x="734"/>
        <item x="58"/>
        <item x="257"/>
        <item x="397"/>
        <item x="651"/>
        <item x="446"/>
        <item x="739"/>
        <item x="38"/>
        <item x="570"/>
        <item x="674"/>
        <item x="678"/>
        <item x="363"/>
        <item x="64"/>
        <item x="50"/>
        <item x="650"/>
        <item x="259"/>
        <item x="94"/>
        <item x="42"/>
        <item x="842"/>
        <item x="136"/>
        <item x="416"/>
        <item x="340"/>
        <item x="652"/>
        <item x="362"/>
        <item x="230"/>
        <item x="796"/>
        <item x="827"/>
        <item x="445"/>
        <item x="71"/>
        <item x="573"/>
        <item x="237"/>
        <item x="274"/>
        <item x="341"/>
        <item x="849"/>
        <item x="319"/>
        <item x="840"/>
        <item x="755"/>
        <item x="7"/>
        <item x="74"/>
        <item x="241"/>
        <item x="597"/>
        <item x="571"/>
        <item x="741"/>
        <item x="80"/>
        <item x="361"/>
        <item x="239"/>
        <item x="763"/>
        <item x="572"/>
        <item x="454"/>
        <item x="260"/>
        <item x="812"/>
        <item x="860"/>
        <item x="771"/>
        <item x="621"/>
        <item x="243"/>
        <item x="425"/>
        <item x="302"/>
        <item x="862"/>
        <item x="841"/>
        <item x="369"/>
        <item x="404"/>
        <item x="473"/>
        <item x="692"/>
        <item x="620"/>
        <item x="635"/>
        <item x="427"/>
        <item x="670"/>
        <item x="291"/>
        <item x="356"/>
        <item x="727"/>
        <item x="156"/>
        <item x="728"/>
        <item x="59"/>
        <item x="660"/>
        <item x="502"/>
        <item x="608"/>
        <item x="715"/>
        <item x="154"/>
        <item x="851"/>
        <item x="686"/>
        <item x="547"/>
        <item x="750"/>
        <item x="810"/>
        <item x="866"/>
        <item x="227"/>
        <item x="415"/>
        <item x="368"/>
        <item x="474"/>
        <item x="435"/>
        <item x="613"/>
        <item x="55"/>
        <item x="461"/>
        <item x="702"/>
        <item x="663"/>
        <item x="639"/>
        <item x="717"/>
        <item x="430"/>
        <item x="277"/>
        <item x="457"/>
        <item x="467"/>
        <item x="774"/>
        <item x="856"/>
        <item x="604"/>
        <item x="704"/>
        <item x="297"/>
        <item x="689"/>
        <item x="95"/>
        <item x="49"/>
        <item x="464"/>
        <item x="761"/>
        <item x="45"/>
        <item x="61"/>
        <item x="335"/>
        <item x="207"/>
        <item x="582"/>
        <item x="308"/>
        <item x="602"/>
        <item x="596"/>
        <item x="823"/>
        <item x="428"/>
        <item x="165"/>
        <item x="666"/>
        <item x="848"/>
        <item x="364"/>
        <item x="766"/>
        <item x="414"/>
        <item x="705"/>
        <item x="684"/>
        <item x="79"/>
        <item x="568"/>
        <item x="591"/>
        <item x="661"/>
        <item x="69"/>
        <item x="347"/>
        <item x="703"/>
        <item x="822"/>
        <item x="342"/>
        <item x="270"/>
        <item x="527"/>
        <item x="521"/>
        <item x="399"/>
        <item x="269"/>
        <item x="820"/>
        <item x="808"/>
        <item x="105"/>
        <item x="479"/>
        <item x="134"/>
        <item x="486"/>
        <item x="749"/>
        <item x="378"/>
        <item x="376"/>
        <item x="707"/>
        <item x="492"/>
        <item x="328"/>
        <item x="804"/>
        <item x="690"/>
        <item x="86"/>
        <item x="281"/>
        <item x="236"/>
        <item x="616"/>
        <item x="737"/>
        <item x="516"/>
        <item x="301"/>
        <item x="627"/>
        <item x="410"/>
        <item x="197"/>
        <item x="107"/>
        <item x="359"/>
        <item x="603"/>
        <item x="310"/>
        <item x="262"/>
        <item x="272"/>
        <item x="529"/>
        <item x="557"/>
        <item x="667"/>
        <item x="861"/>
        <item x="282"/>
        <item x="444"/>
        <item x="760"/>
        <item x="712"/>
        <item x="137"/>
        <item x="148"/>
        <item x="792"/>
        <item x="66"/>
        <item x="407"/>
        <item x="756"/>
        <item x="857"/>
        <item x="176"/>
        <item x="510"/>
        <item x="488"/>
        <item x="221"/>
        <item x="609"/>
        <item x="395"/>
        <item x="343"/>
        <item x="396"/>
        <item x="574"/>
        <item x="706"/>
        <item x="54"/>
        <item x="195"/>
        <item x="838"/>
        <item x="859"/>
        <item x="631"/>
        <item x="789"/>
        <item x="605"/>
        <item x="231"/>
        <item x="182"/>
        <item x="628"/>
        <item x="653"/>
        <item x="642"/>
        <item x="567"/>
        <item x="352"/>
        <item x="336"/>
        <item x="240"/>
        <item x="24"/>
        <item x="806"/>
        <item x="638"/>
        <item x="142"/>
        <item x="279"/>
        <item x="581"/>
        <item x="471"/>
        <item x="480"/>
        <item x="592"/>
        <item x="665"/>
        <item x="267"/>
        <item x="424"/>
        <item x="485"/>
        <item x="276"/>
        <item x="106"/>
        <item x="864"/>
        <item x="190"/>
        <item x="374"/>
        <item x="380"/>
        <item x="483"/>
        <item x="500"/>
        <item x="174"/>
        <item x="214"/>
        <item x="48"/>
        <item x="767"/>
        <item x="283"/>
        <item x="847"/>
        <item x="62"/>
        <item x="186"/>
        <item x="590"/>
        <item x="579"/>
        <item x="15"/>
        <item x="800"/>
        <item x="828"/>
        <item x="512"/>
        <item x="273"/>
        <item x="138"/>
        <item x="412"/>
        <item x="4"/>
        <item x="9"/>
        <item x="311"/>
        <item x="709"/>
        <item x="313"/>
        <item x="409"/>
        <item x="817"/>
        <item x="813"/>
        <item x="293"/>
        <item x="832"/>
        <item x="185"/>
        <item x="805"/>
        <item x="496"/>
        <item x="522"/>
        <item x="216"/>
        <item x="625"/>
        <item x="458"/>
        <item x="589"/>
        <item x="724"/>
        <item x="693"/>
        <item x="456"/>
        <item x="144"/>
        <item x="179"/>
        <item x="537"/>
        <item x="664"/>
        <item x="344"/>
        <item x="299"/>
        <item x="633"/>
        <item x="618"/>
        <item x="726"/>
        <item x="815"/>
        <item x="700"/>
        <item x="83"/>
        <item x="504"/>
        <item x="526"/>
        <item x="489"/>
        <item x="401"/>
        <item x="814"/>
        <item x="247"/>
        <item x="475"/>
        <item x="531"/>
        <item x="192"/>
        <item x="23"/>
        <item x="354"/>
        <item x="122"/>
        <item x="868"/>
        <item x="711"/>
        <item x="324"/>
        <item x="204"/>
        <item x="434"/>
        <item x="769"/>
        <item x="114"/>
        <item x="556"/>
        <item x="256"/>
        <item x="534"/>
        <item x="109"/>
        <item x="494"/>
        <item x="89"/>
        <item x="152"/>
        <item x="200"/>
        <item x="773"/>
        <item x="536"/>
        <item x="679"/>
        <item x="784"/>
        <item x="509"/>
        <item x="826"/>
        <item x="809"/>
        <item x="382"/>
        <item x="470"/>
        <item x="733"/>
        <item x="524"/>
        <item x="39"/>
        <item x="63"/>
        <item x="358"/>
        <item x="555"/>
        <item x="543"/>
        <item x="300"/>
        <item x="682"/>
        <item x="306"/>
        <item x="224"/>
        <item x="41"/>
        <item x="119"/>
        <item x="765"/>
        <item x="562"/>
        <item x="392"/>
        <item x="491"/>
        <item x="217"/>
        <item x="160"/>
        <item x="447"/>
        <item x="104"/>
        <item x="578"/>
        <item x="791"/>
        <item x="261"/>
        <item x="836"/>
        <item x="559"/>
        <item x="220"/>
        <item x="824"/>
        <item x="600"/>
        <item x="853"/>
        <item x="235"/>
        <item x="296"/>
        <item x="44"/>
        <item x="552"/>
        <item x="545"/>
        <item x="388"/>
        <item x="289"/>
        <item x="747"/>
        <item x="218"/>
        <item x="701"/>
        <item x="469"/>
        <item x="169"/>
        <item x="360"/>
        <item x="391"/>
        <item x="655"/>
        <item x="271"/>
        <item x="525"/>
        <item x="698"/>
        <item x="331"/>
        <item x="212"/>
        <item x="81"/>
        <item x="103"/>
        <item x="607"/>
        <item x="188"/>
        <item x="264"/>
        <item x="453"/>
        <item x="742"/>
        <item x="845"/>
        <item x="163"/>
        <item x="811"/>
        <item x="153"/>
        <item x="736"/>
        <item x="708"/>
        <item x="21"/>
        <item x="17"/>
        <item x="648"/>
        <item x="166"/>
        <item x="423"/>
        <item x="433"/>
        <item x="748"/>
        <item x="829"/>
        <item x="694"/>
        <item x="637"/>
        <item x="797"/>
        <item x="43"/>
        <item x="387"/>
        <item x="268"/>
        <item x="67"/>
        <item x="722"/>
        <item x="852"/>
        <item x="158"/>
        <item x="75"/>
        <item x="70"/>
        <item x="288"/>
        <item x="833"/>
        <item x="367"/>
        <item x="778"/>
        <item x="252"/>
        <item x="175"/>
        <item x="304"/>
        <item x="830"/>
        <item x="450"/>
        <item x="164"/>
        <item x="764"/>
        <item x="643"/>
        <item x="348"/>
        <item x="209"/>
        <item x="511"/>
        <item x="10"/>
        <item x="222"/>
        <item x="161"/>
        <item x="29"/>
        <item x="121"/>
        <item x="646"/>
        <item x="683"/>
        <item x="355"/>
        <item x="398"/>
        <item x="515"/>
        <item x="234"/>
        <item x="657"/>
        <item x="125"/>
        <item x="584"/>
        <item x="208"/>
        <item x="76"/>
        <item x="180"/>
        <item x="626"/>
        <item x="818"/>
        <item x="357"/>
        <item x="588"/>
        <item x="287"/>
        <item x="280"/>
        <item x="775"/>
        <item x="57"/>
        <item x="799"/>
        <item x="19"/>
        <item x="232"/>
        <item x="405"/>
        <item x="614"/>
        <item x="238"/>
        <item x="575"/>
        <item x="533"/>
        <item x="669"/>
        <item x="381"/>
        <item x="659"/>
        <item x="194"/>
        <item x="146"/>
        <item x="551"/>
        <item x="448"/>
        <item x="499"/>
        <item x="47"/>
        <item x="321"/>
        <item x="333"/>
        <item x="6"/>
        <item x="844"/>
        <item x="691"/>
        <item x="131"/>
        <item x="680"/>
        <item x="13"/>
        <item x="34"/>
        <item x="636"/>
        <item x="777"/>
        <item x="576"/>
        <item x="254"/>
        <item x="246"/>
        <item x="85"/>
        <item x="513"/>
        <item x="586"/>
        <item x="553"/>
        <item x="37"/>
        <item x="505"/>
        <item x="497"/>
        <item x="834"/>
        <item x="501"/>
        <item x="569"/>
        <item x="745"/>
        <item x="87"/>
        <item x="772"/>
        <item x="632"/>
        <item x="419"/>
        <item x="312"/>
        <item x="484"/>
        <item x="126"/>
        <item x="743"/>
        <item x="370"/>
        <item x="517"/>
        <item x="801"/>
        <item x="482"/>
        <item x="542"/>
        <item x="487"/>
        <item x="723"/>
        <item x="386"/>
        <item x="601"/>
        <item x="290"/>
        <item x="468"/>
        <item x="675"/>
        <item x="539"/>
        <item x="477"/>
        <item x="226"/>
        <item x="393"/>
        <item x="402"/>
        <item x="93"/>
        <item x="215"/>
        <item x="84"/>
        <item x="606"/>
        <item x="400"/>
        <item x="519"/>
        <item x="100"/>
        <item x="110"/>
        <item x="339"/>
        <item x="518"/>
        <item x="720"/>
        <item x="139"/>
        <item x="731"/>
        <item x="821"/>
        <item x="564"/>
        <item x="73"/>
        <item x="656"/>
        <item x="794"/>
        <item x="699"/>
        <item x="390"/>
        <item x="441"/>
        <item x="323"/>
        <item x="530"/>
        <item x="735"/>
        <item x="170"/>
        <item x="191"/>
        <item x="520"/>
        <item x="617"/>
        <item x="406"/>
        <item x="345"/>
        <item x="320"/>
        <item x="803"/>
        <item x="253"/>
        <item x="265"/>
        <item x="649"/>
        <item x="798"/>
        <item x="719"/>
        <item x="687"/>
        <item x="550"/>
        <item x="20"/>
        <item x="850"/>
        <item x="65"/>
        <item x="523"/>
        <item x="51"/>
        <item x="802"/>
        <item x="130"/>
        <item x="140"/>
        <item x="286"/>
        <item x="375"/>
        <item x="384"/>
        <item x="132"/>
        <item x="451"/>
        <item x="27"/>
        <item x="595"/>
        <item x="442"/>
        <item x="786"/>
        <item x="26"/>
        <item x="566"/>
        <item x="68"/>
        <item x="816"/>
        <item x="472"/>
        <item x="385"/>
        <item x="338"/>
        <item x="258"/>
        <item x="583"/>
        <item x="305"/>
        <item x="783"/>
        <item x="421"/>
        <item x="560"/>
        <item x="752"/>
        <item x="622"/>
        <item x="193"/>
        <item x="696"/>
        <item x="865"/>
        <item x="315"/>
        <item x="718"/>
        <item x="99"/>
        <item x="757"/>
        <item x="508"/>
        <item x="439"/>
        <item x="28"/>
        <item x="540"/>
        <item x="211"/>
        <item x="379"/>
        <item x="337"/>
        <item x="629"/>
        <item x="124"/>
        <item x="143"/>
        <item x="346"/>
        <item x="754"/>
        <item x="619"/>
        <item x="0"/>
        <item x="548"/>
        <item x="418"/>
        <item x="549"/>
        <item x="561"/>
        <item x="327"/>
        <item x="831"/>
        <item x="481"/>
        <item x="255"/>
        <item x="688"/>
        <item x="495"/>
        <item x="662"/>
        <item x="77"/>
        <item x="611"/>
        <item x="867"/>
        <item x="672"/>
        <item x="721"/>
        <item x="417"/>
        <item x="785"/>
        <item x="459"/>
        <item x="776"/>
        <item x="554"/>
        <item x="565"/>
        <item x="710"/>
        <item x="598"/>
        <item x="599"/>
        <item x="90"/>
        <item x="168"/>
        <item x="12"/>
        <item x="610"/>
        <item x="266"/>
        <item x="825"/>
        <item x="438"/>
        <item x="30"/>
        <item x="135"/>
        <item x="538"/>
        <item x="53"/>
        <item x="177"/>
        <item x="455"/>
        <item x="807"/>
        <item x="108"/>
        <item x="744"/>
        <item x="476"/>
        <item x="714"/>
        <item x="350"/>
        <item x="685"/>
        <item x="779"/>
        <item x="695"/>
        <item x="147"/>
        <item x="580"/>
        <item x="181"/>
        <item x="506"/>
        <item x="371"/>
        <item x="507"/>
        <item x="630"/>
        <item x="585"/>
        <item x="782"/>
        <item x="615"/>
        <item x="206"/>
        <item x="187"/>
        <item x="843"/>
        <item x="729"/>
        <item x="612"/>
        <item x="141"/>
        <item x="329"/>
        <item x="278"/>
        <item x="372"/>
        <item x="577"/>
        <item x="835"/>
        <item x="837"/>
        <item x="440"/>
        <item x="644"/>
        <item x="725"/>
        <item x="14"/>
        <item x="641"/>
        <item x="196"/>
        <item x="854"/>
        <item x="88"/>
        <item x="716"/>
        <item x="795"/>
        <item x="422"/>
        <item x="863"/>
        <item x="624"/>
        <item x="546"/>
        <item x="462"/>
        <item x="116"/>
        <item x="697"/>
        <item x="97"/>
        <item x="242"/>
        <item x="101"/>
        <item x="162"/>
        <item x="330"/>
        <item x="117"/>
        <item x="322"/>
        <item x="150"/>
        <item x="33"/>
        <item x="466"/>
        <item x="408"/>
        <item x="184"/>
        <item x="431"/>
        <item x="128"/>
        <item x="102"/>
        <item x="758"/>
        <item x="298"/>
        <item x="178"/>
        <item x="248"/>
        <item x="120"/>
        <item x="532"/>
        <item x="389"/>
        <item x="133"/>
        <item x="759"/>
        <item x="498"/>
        <item x="22"/>
        <item x="11"/>
        <item x="78"/>
        <item x="229"/>
        <item x="113"/>
        <item x="203"/>
        <item x="787"/>
        <item x="171"/>
        <item x="490"/>
        <item x="149"/>
        <item x="411"/>
        <item x="292"/>
        <item x="52"/>
        <item x="493"/>
        <item x="40"/>
        <item x="377"/>
        <item x="129"/>
        <item x="111"/>
        <item x="676"/>
        <item x="514"/>
        <item x="198"/>
        <item x="18"/>
        <item x="317"/>
        <item x="213"/>
        <item x="295"/>
        <item x="123"/>
        <item x="326"/>
        <item x="228"/>
        <item x="647"/>
        <item x="32"/>
        <item x="155"/>
        <item x="465"/>
        <item x="793"/>
        <item x="96"/>
        <item x="115"/>
        <item x="189"/>
        <item x="92"/>
        <item x="159"/>
        <item x="201"/>
        <item x="316"/>
        <item x="671"/>
        <item x="403"/>
        <item x="3"/>
        <item x="36"/>
        <item x="210"/>
        <item x="199"/>
        <item x="303"/>
        <item x="334"/>
        <item x="366"/>
        <item x="307"/>
        <item x="858"/>
        <item x="91"/>
        <item x="8"/>
        <item x="151"/>
        <item x="172"/>
        <item x="654"/>
        <item x="413"/>
        <item x="275"/>
        <item x="790"/>
        <item x="72"/>
        <item x="325"/>
        <item x="25"/>
        <item x="373"/>
        <item x="318"/>
        <item x="563"/>
        <item x="528"/>
        <item x="183"/>
        <item x="16"/>
        <item x="2"/>
        <item x="245"/>
        <item x="437"/>
        <item x="855"/>
        <item x="118"/>
        <item x="223"/>
        <item x="219"/>
        <item x="673"/>
        <item x="249"/>
        <item x="285"/>
        <item x="587"/>
        <item x="640"/>
        <item x="732"/>
        <item x="35"/>
        <item x="746"/>
        <item x="432"/>
        <item x="751"/>
        <item x="46"/>
        <item x="677"/>
        <item x="634"/>
        <item x="251"/>
        <item x="82"/>
        <item x="420"/>
        <item x="645"/>
        <item x="351"/>
        <item x="762"/>
        <item x="365"/>
        <item x="819"/>
        <item x="383"/>
        <item x="768"/>
        <item t="default"/>
      </items>
    </pivotField>
    <pivotField compact="0" showAll="0">
      <items count="13">
        <item x="1"/>
        <item x="5"/>
        <item x="3"/>
        <item x="0"/>
        <item x="7"/>
        <item x="6"/>
        <item x="2"/>
        <item x="4"/>
        <item x="11"/>
        <item x="9"/>
        <item x="10"/>
        <item x="8"/>
        <item t="default"/>
      </items>
    </pivotField>
    <pivotField compact="0" showAll="0">
      <items count="14">
        <item x="3"/>
        <item x="1"/>
        <item x="8"/>
        <item x="11"/>
        <item x="2"/>
        <item x="4"/>
        <item x="5"/>
        <item x="0"/>
        <item x="7"/>
        <item x="12"/>
        <item x="6"/>
        <item x="9"/>
        <item x="10"/>
        <item t="default"/>
      </items>
    </pivotField>
    <pivotField compact="0" showAll="0">
      <items count="7">
        <item x="1"/>
        <item x="5"/>
        <item x="2"/>
        <item x="3"/>
        <item x="0"/>
        <item x="4"/>
        <item t="default"/>
      </items>
    </pivotField>
    <pivotField compact="0" showAll="0">
      <items count="6">
        <item x="4"/>
        <item x="0"/>
        <item x="3"/>
        <item x="1"/>
        <item x="2"/>
        <item t="default"/>
      </items>
    </pivotField>
    <pivotField compact="0" showAll="0">
      <items count="19">
        <item x="6"/>
        <item x="12"/>
        <item x="4"/>
        <item x="17"/>
        <item x="7"/>
        <item x="9"/>
        <item x="0"/>
        <item x="16"/>
        <item x="1"/>
        <item x="10"/>
        <item x="3"/>
        <item x="15"/>
        <item x="14"/>
        <item x="11"/>
        <item x="2"/>
        <item x="5"/>
        <item x="8"/>
        <item x="13"/>
        <item t="default"/>
      </items>
    </pivotField>
    <pivotField compact="0" showAll="0">
      <items count="54">
        <item x="30"/>
        <item x="36"/>
        <item x="49"/>
        <item x="21"/>
        <item x="27"/>
        <item x="32"/>
        <item x="20"/>
        <item x="3"/>
        <item x="13"/>
        <item x="41"/>
        <item x="2"/>
        <item x="22"/>
        <item x="14"/>
        <item x="11"/>
        <item x="16"/>
        <item x="15"/>
        <item x="51"/>
        <item x="50"/>
        <item x="37"/>
        <item x="40"/>
        <item x="43"/>
        <item x="34"/>
        <item x="17"/>
        <item x="1"/>
        <item x="29"/>
        <item x="44"/>
        <item x="12"/>
        <item x="26"/>
        <item x="47"/>
        <item x="33"/>
        <item x="42"/>
        <item x="28"/>
        <item x="31"/>
        <item x="48"/>
        <item x="9"/>
        <item x="38"/>
        <item x="45"/>
        <item x="6"/>
        <item x="39"/>
        <item x="35"/>
        <item x="8"/>
        <item x="5"/>
        <item x="23"/>
        <item x="0"/>
        <item x="46"/>
        <item x="25"/>
        <item x="10"/>
        <item x="4"/>
        <item x="19"/>
        <item x="24"/>
        <item x="18"/>
        <item x="52"/>
        <item x="7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4">
        <item x="7"/>
        <item x="5"/>
        <item m="1" x="12"/>
        <item x="8"/>
        <item x="9"/>
        <item x="2"/>
        <item x="3"/>
        <item x="4"/>
        <item x="1"/>
        <item x="10"/>
        <item x="6"/>
        <item x="0"/>
        <item x="11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11">
        <item x="1"/>
        <item x="9"/>
        <item x="7"/>
        <item x="2"/>
        <item x="0"/>
        <item x="4"/>
        <item x="8"/>
        <item x="5"/>
        <item x="6"/>
        <item x="3"/>
        <item t="default"/>
      </items>
    </pivotField>
    <pivotField compact="0" showAll="0">
      <items count="506">
        <item x="469"/>
        <item x="169"/>
        <item x="347"/>
        <item x="8"/>
        <item x="160"/>
        <item x="27"/>
        <item x="194"/>
        <item x="24"/>
        <item x="67"/>
        <item x="122"/>
        <item x="41"/>
        <item x="220"/>
        <item x="15"/>
        <item x="94"/>
        <item x="12"/>
        <item x="47"/>
        <item x="87"/>
        <item x="115"/>
        <item x="154"/>
        <item x="176"/>
        <item x="175"/>
        <item x="109"/>
        <item x="89"/>
        <item x="7"/>
        <item x="186"/>
        <item x="48"/>
        <item x="55"/>
        <item x="125"/>
        <item x="236"/>
        <item x="128"/>
        <item x="157"/>
        <item x="21"/>
        <item x="149"/>
        <item x="468"/>
        <item x="74"/>
        <item x="254"/>
        <item x="308"/>
        <item x="1"/>
        <item x="174"/>
        <item x="360"/>
        <item x="273"/>
        <item x="393"/>
        <item x="202"/>
        <item x="349"/>
        <item x="96"/>
        <item x="151"/>
        <item x="293"/>
        <item x="477"/>
        <item x="155"/>
        <item x="332"/>
        <item x="107"/>
        <item x="171"/>
        <item x="412"/>
        <item x="198"/>
        <item x="204"/>
        <item x="429"/>
        <item x="133"/>
        <item x="452"/>
        <item x="34"/>
        <item x="471"/>
        <item x="181"/>
        <item x="148"/>
        <item x="156"/>
        <item x="297"/>
        <item x="345"/>
        <item x="404"/>
        <item x="397"/>
        <item x="37"/>
        <item x="306"/>
        <item x="371"/>
        <item x="179"/>
        <item x="378"/>
        <item x="237"/>
        <item x="216"/>
        <item x="103"/>
        <item x="45"/>
        <item x="486"/>
        <item x="235"/>
        <item x="0"/>
        <item x="407"/>
        <item x="239"/>
        <item x="9"/>
        <item x="344"/>
        <item x="73"/>
        <item x="140"/>
        <item x="5"/>
        <item x="310"/>
        <item x="211"/>
        <item x="386"/>
        <item x="197"/>
        <item x="244"/>
        <item x="340"/>
        <item x="138"/>
        <item x="370"/>
        <item x="313"/>
        <item x="375"/>
        <item x="403"/>
        <item x="99"/>
        <item x="44"/>
        <item x="38"/>
        <item x="188"/>
        <item x="177"/>
        <item x="260"/>
        <item x="146"/>
        <item x="504"/>
        <item x="86"/>
        <item x="488"/>
        <item x="30"/>
        <item x="304"/>
        <item x="389"/>
        <item x="17"/>
        <item x="492"/>
        <item x="326"/>
        <item x="185"/>
        <item x="295"/>
        <item x="274"/>
        <item x="400"/>
        <item x="143"/>
        <item x="234"/>
        <item x="4"/>
        <item x="153"/>
        <item x="391"/>
        <item x="168"/>
        <item x="484"/>
        <item x="212"/>
        <item x="173"/>
        <item x="82"/>
        <item x="317"/>
        <item x="263"/>
        <item x="262"/>
        <item x="66"/>
        <item x="416"/>
        <item x="14"/>
        <item x="56"/>
        <item x="242"/>
        <item x="250"/>
        <item x="167"/>
        <item x="479"/>
        <item x="29"/>
        <item x="435"/>
        <item x="36"/>
        <item x="368"/>
        <item x="294"/>
        <item x="31"/>
        <item x="230"/>
        <item x="342"/>
        <item x="70"/>
        <item x="305"/>
        <item x="223"/>
        <item x="460"/>
        <item x="35"/>
        <item x="241"/>
        <item x="444"/>
        <item x="421"/>
        <item x="319"/>
        <item x="458"/>
        <item x="137"/>
        <item x="97"/>
        <item x="170"/>
        <item x="445"/>
        <item x="502"/>
        <item x="485"/>
        <item x="430"/>
        <item x="159"/>
        <item x="51"/>
        <item x="164"/>
        <item x="284"/>
        <item x="162"/>
        <item x="418"/>
        <item x="78"/>
        <item x="13"/>
        <item x="446"/>
        <item x="106"/>
        <item x="255"/>
        <item x="192"/>
        <item x="321"/>
        <item x="224"/>
        <item x="110"/>
        <item x="95"/>
        <item x="10"/>
        <item x="68"/>
        <item x="258"/>
        <item x="362"/>
        <item x="180"/>
        <item x="11"/>
        <item x="6"/>
        <item x="203"/>
        <item x="79"/>
        <item x="302"/>
        <item x="134"/>
        <item x="49"/>
        <item x="498"/>
        <item x="42"/>
        <item x="209"/>
        <item x="336"/>
        <item x="57"/>
        <item x="178"/>
        <item x="251"/>
        <item x="2"/>
        <item x="69"/>
        <item x="121"/>
        <item x="63"/>
        <item x="127"/>
        <item x="474"/>
        <item x="491"/>
        <item x="90"/>
        <item x="187"/>
        <item x="353"/>
        <item x="62"/>
        <item x="75"/>
        <item x="195"/>
        <item x="131"/>
        <item x="350"/>
        <item x="189"/>
        <item x="266"/>
        <item x="324"/>
        <item x="503"/>
        <item x="59"/>
        <item x="39"/>
        <item x="247"/>
        <item x="451"/>
        <item x="314"/>
        <item x="415"/>
        <item x="249"/>
        <item x="118"/>
        <item x="253"/>
        <item x="91"/>
        <item x="40"/>
        <item x="422"/>
        <item x="105"/>
        <item x="22"/>
        <item x="401"/>
        <item x="496"/>
        <item x="409"/>
        <item x="165"/>
        <item x="501"/>
        <item x="226"/>
        <item x="58"/>
        <item x="64"/>
        <item x="264"/>
        <item x="184"/>
        <item x="312"/>
        <item x="473"/>
        <item x="328"/>
        <item x="20"/>
        <item x="139"/>
        <item x="269"/>
        <item x="172"/>
        <item x="81"/>
        <item x="358"/>
        <item x="225"/>
        <item x="163"/>
        <item x="233"/>
        <item x="299"/>
        <item x="141"/>
        <item x="357"/>
        <item x="261"/>
        <item x="286"/>
        <item x="277"/>
        <item x="272"/>
        <item x="18"/>
        <item x="490"/>
        <item x="19"/>
        <item x="440"/>
        <item x="316"/>
        <item x="405"/>
        <item x="3"/>
        <item x="278"/>
        <item x="320"/>
        <item x="330"/>
        <item x="52"/>
        <item x="32"/>
        <item x="354"/>
        <item x="447"/>
        <item x="116"/>
        <item x="413"/>
        <item x="455"/>
        <item x="135"/>
        <item x="426"/>
        <item x="442"/>
        <item x="275"/>
        <item x="193"/>
        <item x="46"/>
        <item x="351"/>
        <item x="228"/>
        <item x="112"/>
        <item x="379"/>
        <item x="363"/>
        <item x="428"/>
        <item x="245"/>
        <item x="80"/>
        <item x="43"/>
        <item x="207"/>
        <item x="129"/>
        <item x="142"/>
        <item x="436"/>
        <item x="72"/>
        <item x="475"/>
        <item x="166"/>
        <item x="331"/>
        <item x="439"/>
        <item x="390"/>
        <item x="92"/>
        <item x="120"/>
        <item x="229"/>
        <item x="145"/>
        <item x="248"/>
        <item x="16"/>
        <item x="54"/>
        <item x="252"/>
        <item x="408"/>
        <item x="392"/>
        <item x="497"/>
        <item x="259"/>
        <item x="500"/>
        <item x="218"/>
        <item x="402"/>
        <item x="382"/>
        <item x="470"/>
        <item x="132"/>
        <item x="271"/>
        <item x="423"/>
        <item x="201"/>
        <item x="365"/>
        <item x="489"/>
        <item x="267"/>
        <item x="307"/>
        <item x="217"/>
        <item x="76"/>
        <item x="493"/>
        <item x="487"/>
        <item x="366"/>
        <item x="399"/>
        <item x="182"/>
        <item x="411"/>
        <item x="454"/>
        <item x="300"/>
        <item x="459"/>
        <item x="287"/>
        <item x="309"/>
        <item x="433"/>
        <item x="60"/>
        <item x="123"/>
        <item x="472"/>
        <item x="377"/>
        <item x="291"/>
        <item x="124"/>
        <item x="158"/>
        <item x="256"/>
        <item x="374"/>
        <item x="104"/>
        <item x="303"/>
        <item x="355"/>
        <item x="199"/>
        <item x="361"/>
        <item x="323"/>
        <item x="467"/>
        <item x="246"/>
        <item x="108"/>
        <item x="419"/>
        <item x="333"/>
        <item x="499"/>
        <item x="144"/>
        <item x="191"/>
        <item x="456"/>
        <item x="61"/>
        <item x="283"/>
        <item x="33"/>
        <item x="315"/>
        <item x="77"/>
        <item x="221"/>
        <item x="98"/>
        <item x="88"/>
        <item x="114"/>
        <item x="281"/>
        <item x="334"/>
        <item x="214"/>
        <item x="376"/>
        <item x="231"/>
        <item x="453"/>
        <item x="130"/>
        <item x="384"/>
        <item x="464"/>
        <item x="414"/>
        <item x="26"/>
        <item x="238"/>
        <item x="476"/>
        <item x="410"/>
        <item x="478"/>
        <item x="126"/>
        <item x="462"/>
        <item x="136"/>
        <item x="213"/>
        <item x="210"/>
        <item x="417"/>
        <item x="257"/>
        <item x="449"/>
        <item x="425"/>
        <item x="101"/>
        <item x="343"/>
        <item x="84"/>
        <item x="406"/>
        <item x="222"/>
        <item x="388"/>
        <item x="232"/>
        <item x="292"/>
        <item x="285"/>
        <item x="147"/>
        <item x="219"/>
        <item x="369"/>
        <item x="50"/>
        <item x="372"/>
        <item x="268"/>
        <item x="296"/>
        <item x="339"/>
        <item x="443"/>
        <item x="65"/>
        <item x="270"/>
        <item x="318"/>
        <item x="398"/>
        <item x="71"/>
        <item x="356"/>
        <item x="282"/>
        <item x="196"/>
        <item x="337"/>
        <item x="288"/>
        <item x="190"/>
        <item x="483"/>
        <item x="329"/>
        <item x="117"/>
        <item x="463"/>
        <item x="373"/>
        <item x="431"/>
        <item x="280"/>
        <item x="85"/>
        <item x="364"/>
        <item x="465"/>
        <item x="394"/>
        <item x="215"/>
        <item x="396"/>
        <item x="289"/>
        <item x="53"/>
        <item x="311"/>
        <item x="466"/>
        <item x="28"/>
        <item x="279"/>
        <item x="367"/>
        <item x="338"/>
        <item x="298"/>
        <item x="395"/>
        <item x="432"/>
        <item x="227"/>
        <item x="240"/>
        <item x="265"/>
        <item x="111"/>
        <item x="23"/>
        <item x="438"/>
        <item x="100"/>
        <item x="276"/>
        <item x="102"/>
        <item x="380"/>
        <item x="450"/>
        <item x="480"/>
        <item x="301"/>
        <item x="152"/>
        <item x="206"/>
        <item x="383"/>
        <item x="381"/>
        <item x="387"/>
        <item x="83"/>
        <item x="327"/>
        <item x="359"/>
        <item x="208"/>
        <item x="385"/>
        <item x="113"/>
        <item x="448"/>
        <item x="482"/>
        <item x="322"/>
        <item x="420"/>
        <item x="481"/>
        <item x="348"/>
        <item x="119"/>
        <item x="243"/>
        <item x="441"/>
        <item x="200"/>
        <item x="494"/>
        <item x="457"/>
        <item x="352"/>
        <item x="93"/>
        <item x="424"/>
        <item x="325"/>
        <item x="335"/>
        <item x="150"/>
        <item x="346"/>
        <item x="205"/>
        <item x="437"/>
        <item x="161"/>
        <item x="25"/>
        <item x="290"/>
        <item x="495"/>
        <item x="341"/>
        <item x="434"/>
        <item x="183"/>
        <item x="461"/>
        <item x="427"/>
        <item t="default"/>
      </items>
    </pivotField>
    <pivotField compact="0" showAll="0">
      <items count="6">
        <item x="0"/>
        <item x="4"/>
        <item x="1"/>
        <item x="2"/>
        <item x="3"/>
        <item t="default"/>
      </items>
    </pivotField>
    <pivotField compact="0" showAll="0">
      <items count="881">
        <item x="774"/>
        <item x="556"/>
        <item x="447"/>
        <item x="97"/>
        <item x="444"/>
        <item x="654"/>
        <item x="557"/>
        <item x="828"/>
        <item x="515"/>
        <item x="254"/>
        <item x="203"/>
        <item x="771"/>
        <item x="123"/>
        <item x="320"/>
        <item x="13"/>
        <item x="820"/>
        <item x="8"/>
        <item x="858"/>
        <item x="577"/>
        <item x="108"/>
        <item x="412"/>
        <item x="804"/>
        <item x="208"/>
        <item x="590"/>
        <item x="677"/>
        <item x="825"/>
        <item x="700"/>
        <item x="871"/>
        <item x="572"/>
        <item x="434"/>
        <item x="698"/>
        <item x="868"/>
        <item x="448"/>
        <item x="1"/>
        <item x="827"/>
        <item x="45"/>
        <item x="782"/>
        <item x="547"/>
        <item x="288"/>
        <item x="508"/>
        <item x="124"/>
        <item x="231"/>
        <item x="744"/>
        <item x="672"/>
        <item x="99"/>
        <item x="186"/>
        <item x="183"/>
        <item x="651"/>
        <item x="347"/>
        <item x="736"/>
        <item x="637"/>
        <item x="188"/>
        <item x="230"/>
        <item x="62"/>
        <item x="38"/>
        <item x="773"/>
        <item x="849"/>
        <item x="221"/>
        <item x="797"/>
        <item x="597"/>
        <item x="422"/>
        <item x="241"/>
        <item x="31"/>
        <item x="496"/>
        <item x="796"/>
        <item x="753"/>
        <item x="387"/>
        <item x="10"/>
        <item x="338"/>
        <item x="506"/>
        <item x="466"/>
        <item x="391"/>
        <item x="249"/>
        <item x="780"/>
        <item x="394"/>
        <item x="245"/>
        <item x="653"/>
        <item x="747"/>
        <item x="46"/>
        <item x="259"/>
        <item x="185"/>
        <item x="28"/>
        <item x="105"/>
        <item x="494"/>
        <item x="500"/>
        <item x="569"/>
        <item x="767"/>
        <item x="22"/>
        <item x="76"/>
        <item x="366"/>
        <item x="499"/>
        <item x="82"/>
        <item x="53"/>
        <item x="205"/>
        <item x="333"/>
        <item x="497"/>
        <item x="701"/>
        <item x="291"/>
        <item x="96"/>
        <item x="184"/>
        <item x="568"/>
        <item x="129"/>
        <item x="234"/>
        <item x="749"/>
        <item x="143"/>
        <item x="130"/>
        <item x="669"/>
        <item x="127"/>
        <item x="19"/>
        <item x="673"/>
        <item x="21"/>
        <item x="34"/>
        <item x="312"/>
        <item x="591"/>
        <item x="363"/>
        <item x="413"/>
        <item x="800"/>
        <item x="63"/>
        <item x="346"/>
        <item x="639"/>
        <item x="579"/>
        <item x="720"/>
        <item x="640"/>
        <item x="273"/>
        <item x="155"/>
        <item x="856"/>
        <item x="666"/>
        <item x="792"/>
        <item x="593"/>
        <item x="318"/>
        <item x="552"/>
        <item x="583"/>
        <item x="17"/>
        <item x="861"/>
        <item x="778"/>
        <item x="471"/>
        <item x="843"/>
        <item x="301"/>
        <item x="565"/>
        <item x="321"/>
        <item x="411"/>
        <item x="115"/>
        <item x="857"/>
        <item x="757"/>
        <item x="813"/>
        <item x="562"/>
        <item x="163"/>
        <item x="293"/>
        <item x="257"/>
        <item x="711"/>
        <item x="150"/>
        <item x="488"/>
        <item x="199"/>
        <item x="178"/>
        <item x="483"/>
        <item x="160"/>
        <item x="256"/>
        <item x="233"/>
        <item x="835"/>
        <item x="89"/>
        <item x="634"/>
        <item x="685"/>
        <item x="769"/>
        <item x="136"/>
        <item x="476"/>
        <item x="261"/>
        <item x="431"/>
        <item x="821"/>
        <item x="754"/>
        <item x="126"/>
        <item x="511"/>
        <item x="54"/>
        <item x="875"/>
        <item x="587"/>
        <item x="490"/>
        <item x="322"/>
        <item x="314"/>
        <item x="872"/>
        <item x="691"/>
        <item x="50"/>
        <item x="582"/>
        <item x="840"/>
        <item x="277"/>
        <item x="834"/>
        <item x="212"/>
        <item x="7"/>
        <item x="627"/>
        <item x="176"/>
        <item x="491"/>
        <item x="693"/>
        <item x="606"/>
        <item x="770"/>
        <item x="71"/>
        <item x="216"/>
        <item x="674"/>
        <item x="284"/>
        <item x="100"/>
        <item x="286"/>
        <item x="549"/>
        <item x="432"/>
        <item x="462"/>
        <item x="479"/>
        <item x="83"/>
        <item x="173"/>
        <item x="107"/>
        <item x="756"/>
        <item x="139"/>
        <item x="72"/>
        <item x="335"/>
        <item x="280"/>
        <item x="235"/>
        <item x="852"/>
        <item x="518"/>
        <item x="730"/>
        <item x="215"/>
        <item x="9"/>
        <item x="223"/>
        <item x="403"/>
        <item x="148"/>
        <item x="25"/>
        <item x="830"/>
        <item x="316"/>
        <item x="632"/>
        <item x="340"/>
        <item x="370"/>
        <item x="570"/>
        <item x="341"/>
        <item x="604"/>
        <item x="417"/>
        <item x="74"/>
        <item x="357"/>
        <item x="375"/>
        <item x="247"/>
        <item x="836"/>
        <item x="761"/>
        <item x="61"/>
        <item x="648"/>
        <item x="826"/>
        <item x="307"/>
        <item x="833"/>
        <item x="791"/>
        <item x="158"/>
        <item x="554"/>
        <item x="650"/>
        <item x="468"/>
        <item x="35"/>
        <item x="449"/>
        <item x="302"/>
        <item x="427"/>
        <item x="344"/>
        <item x="167"/>
        <item x="200"/>
        <item x="658"/>
        <item x="237"/>
        <item x="624"/>
        <item x="699"/>
        <item x="210"/>
        <item x="528"/>
        <item x="367"/>
        <item x="870"/>
        <item x="423"/>
        <item x="194"/>
        <item x="298"/>
        <item x="705"/>
        <item x="229"/>
        <item x="243"/>
        <item x="336"/>
        <item x="52"/>
        <item x="814"/>
        <item x="132"/>
        <item x="601"/>
        <item x="161"/>
        <item x="662"/>
        <item x="51"/>
        <item x="602"/>
        <item x="272"/>
        <item x="120"/>
        <item x="324"/>
        <item x="788"/>
        <item x="368"/>
        <item x="197"/>
        <item x="702"/>
        <item x="169"/>
        <item x="477"/>
        <item x="211"/>
        <item x="351"/>
        <item x="724"/>
        <item x="162"/>
        <item x="404"/>
        <item x="625"/>
        <item x="805"/>
        <item x="853"/>
        <item x="180"/>
        <item x="741"/>
        <item x="536"/>
        <item x="222"/>
        <item x="271"/>
        <item x="503"/>
        <item x="551"/>
        <item x="869"/>
        <item x="313"/>
        <item x="529"/>
        <item x="64"/>
        <item x="85"/>
        <item x="251"/>
        <item x="786"/>
        <item x="684"/>
        <item x="655"/>
        <item x="612"/>
        <item x="610"/>
        <item x="156"/>
        <item x="121"/>
        <item x="686"/>
        <item x="112"/>
        <item x="0"/>
        <item x="877"/>
        <item x="456"/>
        <item x="763"/>
        <item x="236"/>
        <item x="623"/>
        <item x="67"/>
        <item x="24"/>
        <item x="304"/>
        <item x="801"/>
        <item x="841"/>
        <item x="206"/>
        <item x="122"/>
        <item x="501"/>
        <item x="818"/>
        <item x="546"/>
        <item x="876"/>
        <item x="209"/>
        <item x="709"/>
        <item x="187"/>
        <item x="153"/>
        <item x="694"/>
        <item x="710"/>
        <item x="846"/>
        <item x="558"/>
        <item x="217"/>
        <item x="816"/>
        <item x="372"/>
        <item x="839"/>
        <item x="356"/>
        <item x="102"/>
        <item x="111"/>
        <item x="177"/>
        <item x="135"/>
        <item x="682"/>
        <item x="837"/>
        <item x="660"/>
        <item x="16"/>
        <item x="866"/>
        <item x="454"/>
        <item x="37"/>
        <item x="401"/>
        <item x="386"/>
        <item x="802"/>
        <item x="524"/>
        <item x="352"/>
        <item x="459"/>
        <item x="452"/>
        <item x="342"/>
        <item x="665"/>
        <item x="30"/>
        <item x="219"/>
        <item x="369"/>
        <item x="349"/>
        <item x="688"/>
        <item x="309"/>
        <item x="246"/>
        <item x="576"/>
        <item x="250"/>
        <item x="543"/>
        <item x="65"/>
        <item x="103"/>
        <item x="533"/>
        <item x="564"/>
        <item x="636"/>
        <item x="289"/>
        <item x="575"/>
        <item x="823"/>
        <item x="278"/>
        <item x="109"/>
        <item x="631"/>
        <item x="39"/>
        <item x="620"/>
        <item x="42"/>
        <item x="498"/>
        <item x="740"/>
        <item x="433"/>
        <item x="538"/>
        <item x="408"/>
        <item x="49"/>
        <item x="192"/>
        <item x="803"/>
        <item x="426"/>
        <item x="706"/>
        <item x="149"/>
        <item x="164"/>
        <item x="117"/>
        <item x="862"/>
        <item x="689"/>
        <item x="224"/>
        <item x="855"/>
        <item x="381"/>
        <item x="5"/>
        <item x="395"/>
        <item x="151"/>
        <item x="509"/>
        <item x="598"/>
        <item x="60"/>
        <item x="292"/>
        <item x="523"/>
        <item x="798"/>
        <item x="717"/>
        <item x="4"/>
        <item x="141"/>
        <item x="41"/>
        <item x="299"/>
        <item x="822"/>
        <item x="618"/>
        <item x="104"/>
        <item x="614"/>
        <item x="128"/>
        <item x="628"/>
        <item x="465"/>
        <item x="154"/>
        <item x="486"/>
        <item x="443"/>
        <item x="548"/>
        <item x="819"/>
        <item x="657"/>
        <item x="40"/>
        <item x="766"/>
        <item x="649"/>
        <item x="267"/>
        <item x="611"/>
        <item x="751"/>
        <item x="824"/>
        <item x="420"/>
        <item x="748"/>
        <item x="319"/>
        <item x="263"/>
        <item x="268"/>
        <item x="253"/>
        <item x="641"/>
        <item x="166"/>
        <item x="310"/>
        <item x="48"/>
        <item x="716"/>
        <item x="482"/>
        <item x="629"/>
        <item x="755"/>
        <item x="463"/>
        <item x="415"/>
        <item x="218"/>
        <item x="474"/>
        <item x="2"/>
        <item x="676"/>
        <item x="170"/>
        <item x="873"/>
        <item x="20"/>
        <item x="428"/>
        <item x="400"/>
        <item x="270"/>
        <item x="713"/>
        <item x="159"/>
        <item x="851"/>
        <item x="79"/>
        <item x="707"/>
        <item x="190"/>
        <item x="585"/>
        <item x="390"/>
        <item x="240"/>
        <item x="787"/>
        <item x="409"/>
        <item x="207"/>
        <item x="202"/>
        <item x="438"/>
        <item x="812"/>
        <item x="308"/>
        <item x="393"/>
        <item x="535"/>
        <item x="78"/>
        <item x="421"/>
        <item x="630"/>
        <item x="142"/>
        <item x="544"/>
        <item x="106"/>
        <item x="110"/>
        <item x="845"/>
        <item x="101"/>
        <item x="779"/>
        <item x="220"/>
        <item x="125"/>
        <item x="559"/>
        <item x="439"/>
        <item x="214"/>
        <item x="573"/>
        <item x="520"/>
        <item x="182"/>
        <item x="644"/>
        <item x="55"/>
        <item x="295"/>
        <item x="315"/>
        <item x="66"/>
        <item x="329"/>
        <item x="692"/>
        <item x="14"/>
        <item x="147"/>
        <item x="98"/>
        <item x="785"/>
        <item x="294"/>
        <item x="429"/>
        <item x="829"/>
        <item x="57"/>
        <item x="838"/>
        <item x="708"/>
        <item x="842"/>
        <item x="172"/>
        <item x="385"/>
        <item x="510"/>
        <item x="201"/>
        <item x="777"/>
        <item x="493"/>
        <item x="534"/>
        <item x="379"/>
        <item x="281"/>
        <item x="525"/>
        <item x="407"/>
        <item x="638"/>
        <item x="287"/>
        <item x="878"/>
        <item x="446"/>
        <item x="242"/>
        <item x="36"/>
        <item x="305"/>
        <item x="742"/>
        <item x="697"/>
        <item x="15"/>
        <item x="605"/>
        <item x="608"/>
        <item x="726"/>
        <item x="668"/>
        <item x="600"/>
        <item x="874"/>
        <item x="88"/>
        <item x="619"/>
        <item x="727"/>
        <item x="137"/>
        <item x="191"/>
        <item x="643"/>
        <item x="642"/>
        <item x="365"/>
        <item x="92"/>
        <item x="436"/>
        <item x="531"/>
        <item x="282"/>
        <item x="371"/>
        <item x="350"/>
        <item x="425"/>
        <item x="260"/>
        <item x="809"/>
        <item x="521"/>
        <item x="33"/>
        <item x="719"/>
        <item x="831"/>
        <item x="364"/>
        <item x="337"/>
        <item x="539"/>
        <item x="430"/>
        <item x="343"/>
        <item x="380"/>
        <item x="330"/>
        <item x="679"/>
        <item x="77"/>
        <item x="687"/>
        <item x="464"/>
        <item x="81"/>
        <item x="781"/>
        <item x="355"/>
        <item x="578"/>
        <item x="43"/>
        <item x="722"/>
        <item x="165"/>
        <item x="94"/>
        <item x="26"/>
        <item x="47"/>
        <item x="119"/>
        <item x="844"/>
        <item x="663"/>
        <item x="171"/>
        <item x="723"/>
        <item x="440"/>
        <item x="12"/>
        <item x="189"/>
        <item x="144"/>
        <item x="784"/>
        <item x="478"/>
        <item x="472"/>
        <item x="517"/>
        <item x="596"/>
        <item x="553"/>
        <item x="232"/>
        <item x="715"/>
        <item x="225"/>
        <item x="458"/>
        <item x="228"/>
        <item x="815"/>
        <item x="776"/>
        <item x="238"/>
        <item x="675"/>
        <item x="704"/>
        <item x="392"/>
        <item x="810"/>
        <item x="56"/>
        <item x="728"/>
        <item x="84"/>
        <item x="326"/>
        <item x="90"/>
        <item x="213"/>
        <item x="18"/>
        <item x="118"/>
        <item x="519"/>
        <item x="262"/>
        <item x="859"/>
        <item x="360"/>
        <item x="264"/>
        <item x="331"/>
        <item x="609"/>
        <item x="114"/>
        <item x="603"/>
        <item x="504"/>
        <item x="327"/>
        <item x="175"/>
        <item x="738"/>
        <item x="729"/>
        <item x="306"/>
        <item x="195"/>
        <item x="157"/>
        <item x="87"/>
        <item x="599"/>
        <item x="863"/>
        <item x="373"/>
        <item x="550"/>
        <item x="759"/>
        <item x="560"/>
        <item x="745"/>
        <item x="6"/>
        <item x="680"/>
        <item x="734"/>
        <item x="671"/>
        <item x="419"/>
        <item x="339"/>
        <item x="374"/>
        <item x="11"/>
        <item x="328"/>
        <item x="311"/>
        <item x="174"/>
        <item x="714"/>
        <item x="811"/>
        <item x="615"/>
        <item x="645"/>
        <item x="790"/>
        <item x="752"/>
        <item x="563"/>
        <item x="376"/>
        <item x="198"/>
        <item x="75"/>
        <item x="806"/>
        <item x="678"/>
        <item x="44"/>
        <item x="750"/>
        <item x="860"/>
        <item x="762"/>
        <item x="334"/>
        <item x="735"/>
        <item x="204"/>
        <item x="484"/>
        <item x="406"/>
        <item x="789"/>
        <item x="594"/>
        <item x="325"/>
        <item x="703"/>
        <item x="457"/>
        <item x="70"/>
        <item x="168"/>
        <item x="377"/>
        <item x="453"/>
        <item x="571"/>
        <item x="332"/>
        <item x="91"/>
        <item x="276"/>
        <item x="794"/>
        <item x="475"/>
        <item x="768"/>
        <item x="469"/>
        <item x="621"/>
        <item x="737"/>
        <item x="616"/>
        <item x="647"/>
        <item x="580"/>
        <item x="473"/>
        <item x="513"/>
        <item x="526"/>
        <item x="424"/>
        <item x="661"/>
        <item x="512"/>
        <item x="275"/>
        <item x="196"/>
        <item x="303"/>
        <item x="502"/>
        <item x="258"/>
        <item x="586"/>
        <item x="537"/>
        <item x="540"/>
        <item x="775"/>
        <item x="58"/>
        <item x="664"/>
        <item x="252"/>
        <item x="290"/>
        <item x="179"/>
        <item x="505"/>
        <item x="239"/>
        <item x="656"/>
        <item x="23"/>
        <item x="764"/>
        <item x="348"/>
        <item x="353"/>
        <item x="832"/>
        <item x="389"/>
        <item x="384"/>
        <item x="266"/>
        <item x="542"/>
        <item x="514"/>
        <item x="29"/>
        <item x="396"/>
        <item x="733"/>
        <item x="416"/>
        <item x="255"/>
        <item x="323"/>
        <item x="854"/>
        <item x="3"/>
        <item x="441"/>
        <item x="541"/>
        <item x="244"/>
        <item x="760"/>
        <item x="455"/>
        <item x="248"/>
        <item x="279"/>
        <item x="283"/>
        <item x="725"/>
        <item x="626"/>
        <item x="410"/>
        <item x="345"/>
        <item x="80"/>
        <item x="93"/>
        <item x="445"/>
        <item x="362"/>
        <item x="361"/>
        <item x="865"/>
        <item x="696"/>
        <item x="652"/>
        <item x="68"/>
        <item x="86"/>
        <item x="588"/>
        <item x="227"/>
        <item x="772"/>
        <item x="437"/>
        <item x="450"/>
        <item x="532"/>
        <item x="133"/>
        <item x="847"/>
        <item x="516"/>
        <item x="765"/>
        <item x="297"/>
        <item x="617"/>
        <item x="383"/>
        <item x="116"/>
        <item x="495"/>
        <item x="134"/>
        <item x="879"/>
        <item x="581"/>
        <item x="460"/>
        <item x="492"/>
        <item x="635"/>
        <item x="746"/>
        <item x="793"/>
        <item x="681"/>
        <item x="300"/>
        <item x="265"/>
        <item x="555"/>
        <item x="527"/>
        <item x="507"/>
        <item x="567"/>
        <item x="152"/>
        <item x="743"/>
        <item x="584"/>
        <item x="731"/>
        <item x="595"/>
        <item x="451"/>
        <item x="659"/>
        <item x="817"/>
        <item x="470"/>
        <item x="138"/>
        <item x="758"/>
        <item x="382"/>
        <item x="435"/>
        <item x="480"/>
        <item x="269"/>
        <item x="145"/>
        <item x="354"/>
        <item x="69"/>
        <item x="405"/>
        <item x="461"/>
        <item x="27"/>
        <item x="795"/>
        <item x="358"/>
        <item x="867"/>
        <item x="113"/>
        <item x="285"/>
        <item x="808"/>
        <item x="418"/>
        <item x="566"/>
        <item x="274"/>
        <item x="864"/>
        <item x="489"/>
        <item x="732"/>
        <item x="485"/>
        <item x="592"/>
        <item x="561"/>
        <item x="487"/>
        <item x="414"/>
        <item x="667"/>
        <item x="695"/>
        <item x="589"/>
        <item x="442"/>
        <item x="712"/>
        <item x="59"/>
        <item x="622"/>
        <item x="522"/>
        <item x="131"/>
        <item x="402"/>
        <item x="613"/>
        <item x="388"/>
        <item x="481"/>
        <item x="848"/>
        <item x="467"/>
        <item x="95"/>
        <item x="73"/>
        <item x="646"/>
        <item x="721"/>
        <item x="633"/>
        <item x="783"/>
        <item x="296"/>
        <item x="574"/>
        <item x="807"/>
        <item x="181"/>
        <item x="799"/>
        <item x="739"/>
        <item x="146"/>
        <item x="397"/>
        <item x="226"/>
        <item x="683"/>
        <item x="378"/>
        <item x="545"/>
        <item x="359"/>
        <item x="140"/>
        <item x="530"/>
        <item x="317"/>
        <item x="398"/>
        <item x="32"/>
        <item x="690"/>
        <item x="718"/>
        <item x="607"/>
        <item x="193"/>
        <item x="399"/>
        <item x="850"/>
        <item x="670"/>
        <item t="default"/>
      </items>
    </pivotField>
    <pivotField compact="0" showAll="0">
      <items count="1001">
        <item x="873"/>
        <item x="605"/>
        <item x="868"/>
        <item x="482"/>
        <item x="201"/>
        <item x="478"/>
        <item x="606"/>
        <item x="99"/>
        <item x="937"/>
        <item x="880"/>
        <item x="720"/>
        <item x="265"/>
        <item x="556"/>
        <item x="213"/>
        <item x="162"/>
        <item x="646"/>
        <item x="339"/>
        <item x="869"/>
        <item x="13"/>
        <item x="127"/>
        <item x="928"/>
        <item x="8"/>
        <item x="112"/>
        <item x="227"/>
        <item x="972"/>
        <item x="817"/>
        <item x="628"/>
        <item x="912"/>
        <item x="439"/>
        <item x="296"/>
        <item x="781"/>
        <item x="948"/>
        <item x="641"/>
        <item x="218"/>
        <item x="752"/>
        <item x="783"/>
        <item x="987"/>
        <item x="934"/>
        <item x="623"/>
        <item x="990"/>
        <item x="464"/>
        <item x="882"/>
        <item x="483"/>
        <item x="1"/>
        <item x="301"/>
        <item x="128"/>
        <item x="594"/>
        <item x="955"/>
        <item x="936"/>
        <item x="839"/>
        <item x="496"/>
        <item x="45"/>
        <item x="242"/>
        <item x="747"/>
        <item x="101"/>
        <item x="779"/>
        <item x="549"/>
        <item x="578"/>
        <item x="190"/>
        <item x="978"/>
        <item x="829"/>
        <item x="38"/>
        <item x="210"/>
        <item x="796"/>
        <item x="193"/>
        <item x="441"/>
        <item x="981"/>
        <item x="716"/>
        <item x="232"/>
        <item x="872"/>
        <item x="700"/>
        <item x="31"/>
        <item x="547"/>
        <item x="63"/>
        <item x="901"/>
        <item x="252"/>
        <item x="619"/>
        <item x="850"/>
        <item x="367"/>
        <item x="195"/>
        <item x="652"/>
        <item x="962"/>
        <item x="450"/>
        <item x="814"/>
        <item x="241"/>
        <item x="357"/>
        <item x="409"/>
        <item x="664"/>
        <item x="546"/>
        <item x="589"/>
        <item x="715"/>
        <item x="503"/>
        <item x="719"/>
        <item x="535"/>
        <item x="746"/>
        <item x="723"/>
        <item x="10"/>
        <item x="336"/>
        <item x="900"/>
        <item x="416"/>
        <item x="879"/>
        <item x="192"/>
        <item x="270"/>
        <item x="260"/>
        <item x="842"/>
        <item x="109"/>
        <item x="413"/>
        <item x="763"/>
        <item x="185"/>
        <item x="28"/>
        <item x="687"/>
        <item x="22"/>
        <item x="256"/>
        <item x="540"/>
        <item x="471"/>
        <item x="864"/>
        <item x="333"/>
        <item x="620"/>
        <item x="46"/>
        <item x="576"/>
        <item x="352"/>
        <item x="533"/>
        <item x="131"/>
        <item x="648"/>
        <item x="784"/>
        <item x="83"/>
        <item x="537"/>
        <item x="725"/>
        <item x="910"/>
        <item x="845"/>
        <item x="968"/>
        <item x="54"/>
        <item x="97"/>
        <item x="683"/>
        <item x="539"/>
        <item x="77"/>
        <item x="215"/>
        <item x="191"/>
        <item x="440"/>
        <item x="150"/>
        <item x="495"/>
        <item x="64"/>
        <item x="765"/>
        <item x="387"/>
        <item x="133"/>
        <item x="147"/>
        <item x="890"/>
        <item x="739"/>
        <item x="245"/>
        <item x="618"/>
        <item x="905"/>
        <item x="630"/>
        <item x="467"/>
        <item x="532"/>
        <item x="432"/>
        <item x="134"/>
        <item x="305"/>
        <item x="98"/>
        <item x="702"/>
        <item x="19"/>
        <item x="970"/>
        <item x="481"/>
        <item x="645"/>
        <item x="743"/>
        <item x="384"/>
        <item x="536"/>
        <item x="601"/>
        <item x="284"/>
        <item x="160"/>
        <item x="457"/>
        <item x="329"/>
        <item x="366"/>
        <item x="748"/>
        <item x="196"/>
        <item x="21"/>
        <item x="34"/>
        <item x="740"/>
        <item x="808"/>
        <item x="509"/>
        <item x="642"/>
        <item x="611"/>
        <item x="119"/>
        <item x="309"/>
        <item x="169"/>
        <item x="854"/>
        <item x="902"/>
        <item x="971"/>
        <item x="317"/>
        <item x="975"/>
        <item x="895"/>
        <item x="704"/>
        <item x="877"/>
        <item x="438"/>
        <item x="977"/>
        <item x="17"/>
        <item x="634"/>
        <item x="337"/>
        <item x="184"/>
        <item x="166"/>
        <item x="505"/>
        <item x="896"/>
        <item x="871"/>
        <item x="921"/>
        <item x="795"/>
        <item x="244"/>
        <item x="208"/>
        <item x="665"/>
        <item x="615"/>
        <item x="155"/>
        <item x="521"/>
        <item x="340"/>
        <item x="552"/>
        <item x="267"/>
        <item x="272"/>
        <item x="130"/>
        <item x="956"/>
        <item x="103"/>
        <item x="331"/>
        <item x="140"/>
        <item x="268"/>
        <item x="851"/>
        <item x="731"/>
        <item x="341"/>
        <item x="866"/>
        <item x="944"/>
        <item x="304"/>
        <item x="929"/>
        <item x="514"/>
        <item x="526"/>
        <item x="697"/>
        <item x="50"/>
        <item x="90"/>
        <item x="994"/>
        <item x="774"/>
        <item x="952"/>
        <item x="72"/>
        <item x="308"/>
        <item x="108"/>
        <item x="943"/>
        <item x="991"/>
        <item x="461"/>
        <item x="764"/>
        <item x="772"/>
        <item x="182"/>
        <item x="775"/>
        <item x="638"/>
        <item x="289"/>
        <item x="55"/>
        <item x="787"/>
        <item x="7"/>
        <item x="102"/>
        <item x="529"/>
        <item x="596"/>
        <item x="732"/>
        <item x="528"/>
        <item x="222"/>
        <item x="633"/>
        <item x="84"/>
        <item x="179"/>
        <item x="690"/>
        <item x="499"/>
        <item x="815"/>
        <item x="226"/>
        <item x="299"/>
        <item x="354"/>
        <item x="867"/>
        <item x="143"/>
        <item x="718"/>
        <item x="965"/>
        <item x="153"/>
        <item x="749"/>
        <item x="9"/>
        <item x="475"/>
        <item x="661"/>
        <item x="798"/>
        <item x="25"/>
        <item x="429"/>
        <item x="297"/>
        <item x="858"/>
        <item x="695"/>
        <item x="999"/>
        <item x="823"/>
        <item x="462"/>
        <item x="258"/>
        <item x="234"/>
        <item x="392"/>
        <item x="560"/>
        <item x="714"/>
        <item x="811"/>
        <item x="517"/>
        <item x="292"/>
        <item x="621"/>
        <item x="328"/>
        <item x="73"/>
        <item x="359"/>
        <item x="377"/>
        <item x="853"/>
        <item x="111"/>
        <item x="426"/>
        <item x="603"/>
        <item x="945"/>
        <item x="246"/>
        <item x="62"/>
        <item x="769"/>
        <item x="75"/>
        <item x="939"/>
        <item x="225"/>
        <item x="942"/>
        <item x="484"/>
        <item x="164"/>
        <item x="35"/>
        <item x="728"/>
        <item x="334"/>
        <item x="477"/>
        <item x="989"/>
        <item x="428"/>
        <item x="360"/>
        <item x="906"/>
        <item x="682"/>
        <item x="397"/>
        <item x="220"/>
        <item x="445"/>
        <item x="451"/>
        <item x="935"/>
        <item x="782"/>
        <item x="894"/>
        <item x="173"/>
        <item x="659"/>
        <item x="318"/>
        <item x="288"/>
        <item x="686"/>
        <item x="455"/>
        <item x="323"/>
        <item x="283"/>
        <item x="167"/>
        <item x="209"/>
        <item x="712"/>
        <item x="515"/>
        <item x="52"/>
        <item x="203"/>
        <item x="168"/>
        <item x="389"/>
        <item x="506"/>
        <item x="206"/>
        <item x="248"/>
        <item x="889"/>
        <item x="570"/>
        <item x="891"/>
        <item x="656"/>
        <item x="124"/>
        <item x="363"/>
        <item x="51"/>
        <item x="966"/>
        <item x="951"/>
        <item x="760"/>
        <item x="371"/>
        <item x="887"/>
        <item x="789"/>
        <item x="430"/>
        <item x="421"/>
        <item x="262"/>
        <item x="240"/>
        <item x="922"/>
        <item x="735"/>
        <item x="314"/>
        <item x="282"/>
        <item x="355"/>
        <item x="343"/>
        <item x="254"/>
        <item x="657"/>
        <item x="221"/>
        <item x="946"/>
        <item x="573"/>
        <item x="0"/>
        <item x="643"/>
        <item x="187"/>
        <item x="848"/>
        <item x="813"/>
        <item x="390"/>
        <item x="688"/>
        <item x="785"/>
        <item x="860"/>
        <item x="543"/>
        <item x="996"/>
        <item x="491"/>
        <item x="247"/>
        <item x="233"/>
        <item x="136"/>
        <item x="703"/>
        <item x="836"/>
        <item x="126"/>
        <item x="330"/>
        <item x="762"/>
        <item x="571"/>
        <item x="926"/>
        <item x="988"/>
        <item x="175"/>
        <item x="541"/>
        <item x="675"/>
        <item x="907"/>
        <item x="913"/>
        <item x="581"/>
        <item x="598"/>
        <item x="365"/>
        <item x="194"/>
        <item x="685"/>
        <item x="228"/>
        <item x="125"/>
        <item x="86"/>
        <item x="115"/>
        <item x="721"/>
        <item x="183"/>
        <item x="68"/>
        <item x="776"/>
        <item x="116"/>
        <item x="607"/>
        <item x="161"/>
        <item x="216"/>
        <item x="766"/>
        <item x="65"/>
        <item x="995"/>
        <item x="908"/>
        <item x="753"/>
        <item x="24"/>
        <item x="671"/>
        <item x="668"/>
        <item x="953"/>
        <item x="320"/>
        <item x="361"/>
        <item x="16"/>
        <item x="768"/>
        <item x="37"/>
        <item x="105"/>
        <item x="833"/>
        <item x="425"/>
        <item x="158"/>
        <item x="794"/>
        <item x="325"/>
        <item x="566"/>
        <item x="947"/>
        <item x="408"/>
        <item x="559"/>
        <item x="219"/>
        <item x="577"/>
        <item x="30"/>
        <item x="680"/>
        <item x="793"/>
        <item x="593"/>
        <item x="924"/>
        <item x="113"/>
        <item x="106"/>
        <item x="290"/>
        <item x="257"/>
        <item x="959"/>
        <item x="376"/>
        <item x="626"/>
        <item x="950"/>
        <item x="770"/>
        <item x="759"/>
        <item x="372"/>
        <item x="394"/>
        <item x="230"/>
        <item x="302"/>
        <item x="200"/>
        <item x="139"/>
        <item x="985"/>
        <item x="494"/>
        <item x="487"/>
        <item x="489"/>
        <item x="42"/>
        <item x="454"/>
        <item x="733"/>
        <item x="66"/>
        <item x="583"/>
        <item x="39"/>
        <item x="418"/>
        <item x="435"/>
        <item x="4"/>
        <item x="931"/>
        <item x="738"/>
        <item x="261"/>
        <item x="911"/>
        <item x="170"/>
        <item x="790"/>
        <item x="538"/>
        <item x="391"/>
        <item x="41"/>
        <item x="614"/>
        <item x="235"/>
        <item x="61"/>
        <item x="369"/>
        <item x="590"/>
        <item x="49"/>
        <item x="694"/>
        <item x="653"/>
        <item x="315"/>
        <item x="627"/>
        <item x="417"/>
        <item x="121"/>
        <item x="885"/>
        <item x="278"/>
        <item x="595"/>
        <item x="713"/>
        <item x="154"/>
        <item x="699"/>
        <item x="5"/>
        <item x="903"/>
        <item x="463"/>
        <item x="565"/>
        <item x="306"/>
        <item x="863"/>
        <item x="502"/>
        <item x="835"/>
        <item x="156"/>
        <item x="673"/>
        <item x="132"/>
        <item x="976"/>
        <item x="847"/>
        <item x="338"/>
        <item x="403"/>
        <item x="969"/>
        <item x="524"/>
        <item x="820"/>
        <item x="159"/>
        <item x="909"/>
        <item x="460"/>
        <item x="932"/>
        <item x="930"/>
        <item x="726"/>
        <item x="326"/>
        <item x="550"/>
        <item x="40"/>
        <item x="980"/>
        <item x="512"/>
        <item x="107"/>
        <item x="145"/>
        <item x="172"/>
        <item x="678"/>
        <item x="727"/>
        <item x="805"/>
        <item x="424"/>
        <item x="799"/>
        <item x="691"/>
        <item x="443"/>
        <item x="852"/>
        <item x="927"/>
        <item x="844"/>
        <item x="198"/>
        <item x="448"/>
        <item x="692"/>
        <item x="476"/>
        <item x="670"/>
        <item x="984"/>
        <item x="933"/>
        <item x="229"/>
        <item x="612"/>
        <item x="520"/>
        <item x="449"/>
        <item x="379"/>
        <item x="264"/>
        <item x="591"/>
        <item x="412"/>
        <item x="958"/>
        <item x="500"/>
        <item x="104"/>
        <item x="281"/>
        <item x="992"/>
        <item x="48"/>
        <item x="279"/>
        <item x="79"/>
        <item x="2"/>
        <item x="751"/>
        <item x="470"/>
        <item x="110"/>
        <item x="938"/>
        <item x="129"/>
        <item x="436"/>
        <item x="274"/>
        <item x="415"/>
        <item x="705"/>
        <item x="165"/>
        <item x="212"/>
        <item x="964"/>
        <item x="176"/>
        <item x="804"/>
        <item x="562"/>
        <item x="20"/>
        <item x="332"/>
        <item x="920"/>
        <item x="324"/>
        <item x="800"/>
        <item x="469"/>
        <item x="14"/>
        <item x="307"/>
        <item x="791"/>
        <item x="80"/>
        <item x="580"/>
        <item x="458"/>
        <item x="456"/>
        <item x="348"/>
        <item x="407"/>
        <item x="888"/>
        <item x="693"/>
        <item x="224"/>
        <item x="251"/>
        <item x="146"/>
        <item x="878"/>
        <item x="231"/>
        <item x="551"/>
        <item x="579"/>
        <item x="480"/>
        <item x="624"/>
        <item x="217"/>
        <item x="401"/>
        <item x="756"/>
        <item x="730"/>
        <item x="100"/>
        <item x="636"/>
        <item x="310"/>
        <item x="818"/>
        <item x="708"/>
        <item x="56"/>
        <item x="58"/>
        <item x="321"/>
        <item x="608"/>
        <item x="388"/>
        <item x="67"/>
        <item x="189"/>
        <item x="114"/>
        <item x="792"/>
        <item x="434"/>
        <item x="211"/>
        <item x="152"/>
        <item x="701"/>
        <item x="679"/>
        <item x="311"/>
        <item x="662"/>
        <item x="954"/>
        <item x="876"/>
        <item x="940"/>
        <item x="386"/>
        <item x="370"/>
        <item x="178"/>
        <item x="773"/>
        <item x="15"/>
        <item x="886"/>
        <item x="722"/>
        <item x="780"/>
        <item x="660"/>
        <item x="402"/>
        <item x="453"/>
        <item x="949"/>
        <item x="531"/>
        <item x="706"/>
        <item x="356"/>
        <item x="997"/>
        <item x="655"/>
        <item x="349"/>
        <item x="78"/>
        <item x="89"/>
        <item x="253"/>
        <item x="567"/>
        <item x="843"/>
        <item x="293"/>
        <item x="563"/>
        <item x="385"/>
        <item x="459"/>
        <item x="742"/>
        <item x="466"/>
        <item x="141"/>
        <item x="47"/>
        <item x="271"/>
        <item x="294"/>
        <item x="300"/>
        <item x="36"/>
        <item x="837"/>
        <item x="199"/>
        <item x="197"/>
        <item x="917"/>
        <item x="600"/>
        <item x="993"/>
        <item x="393"/>
        <item x="651"/>
        <item x="43"/>
        <item x="807"/>
        <item x="819"/>
        <item x="666"/>
        <item x="375"/>
        <item x="574"/>
        <item x="602"/>
        <item x="236"/>
        <item x="584"/>
        <item x="345"/>
        <item x="707"/>
        <item x="91"/>
        <item x="510"/>
        <item x="881"/>
        <item x="501"/>
        <item x="875"/>
        <item x="93"/>
        <item x="33"/>
        <item x="85"/>
        <item x="669"/>
        <item x="810"/>
        <item x="918"/>
        <item x="322"/>
        <item x="755"/>
        <item x="88"/>
        <item x="831"/>
        <item x="362"/>
        <item x="472"/>
        <item x="973"/>
        <item x="979"/>
        <item x="118"/>
        <item x="6"/>
        <item x="856"/>
        <item x="767"/>
        <item x="122"/>
        <item x="26"/>
        <item x="171"/>
        <item x="53"/>
        <item x="18"/>
        <item x="123"/>
        <item x="884"/>
        <item x="346"/>
        <item x="658"/>
        <item x="239"/>
        <item x="821"/>
        <item x="223"/>
        <item x="82"/>
        <item x="12"/>
        <item x="629"/>
        <item x="757"/>
        <item x="347"/>
        <item x="586"/>
        <item x="834"/>
        <item x="674"/>
        <item x="654"/>
        <item x="750"/>
        <item x="736"/>
        <item x="803"/>
        <item x="95"/>
        <item x="561"/>
        <item x="273"/>
        <item x="395"/>
        <item x="181"/>
        <item x="148"/>
        <item x="275"/>
        <item x="243"/>
        <item x="544"/>
        <item x="350"/>
        <item x="163"/>
        <item x="516"/>
        <item x="788"/>
        <item x="597"/>
        <item x="812"/>
        <item x="745"/>
        <item x="493"/>
        <item x="840"/>
        <item x="177"/>
        <item x="957"/>
        <item x="249"/>
        <item x="558"/>
        <item x="923"/>
        <item x="849"/>
        <item x="893"/>
        <item x="919"/>
        <item x="414"/>
        <item x="859"/>
        <item x="214"/>
        <item x="57"/>
        <item x="44"/>
        <item x="827"/>
        <item x="667"/>
        <item x="381"/>
        <item x="822"/>
        <item x="846"/>
        <item x="522"/>
        <item x="204"/>
        <item x="709"/>
        <item x="914"/>
        <item x="609"/>
        <item x="180"/>
        <item x="433"/>
        <item x="351"/>
        <item x="676"/>
        <item x="647"/>
        <item x="507"/>
        <item x="801"/>
        <item x="207"/>
        <item x="974"/>
        <item x="358"/>
        <item x="398"/>
        <item x="396"/>
        <item x="327"/>
        <item x="92"/>
        <item x="649"/>
        <item x="892"/>
        <item x="447"/>
        <item x="11"/>
        <item x="174"/>
        <item x="205"/>
        <item x="754"/>
        <item x="585"/>
        <item x="711"/>
        <item x="287"/>
        <item x="874"/>
        <item x="622"/>
        <item x="513"/>
        <item x="613"/>
        <item x="488"/>
        <item x="59"/>
        <item x="76"/>
        <item x="71"/>
        <item x="828"/>
        <item x="277"/>
        <item x="511"/>
        <item x="399"/>
        <item x="269"/>
        <item x="830"/>
        <item x="555"/>
        <item x="411"/>
        <item x="353"/>
        <item x="587"/>
        <item x="255"/>
        <item x="631"/>
        <item x="786"/>
        <item x="250"/>
        <item x="344"/>
        <item x="492"/>
        <item x="553"/>
        <item x="599"/>
        <item x="898"/>
        <item x="186"/>
        <item x="802"/>
        <item x="865"/>
        <item x="681"/>
        <item x="861"/>
        <item x="368"/>
        <item x="582"/>
        <item x="554"/>
        <item x="23"/>
        <item x="266"/>
        <item x="29"/>
        <item x="303"/>
        <item x="319"/>
        <item x="545"/>
        <item x="364"/>
        <item x="857"/>
        <item x="452"/>
        <item x="3"/>
        <item x="637"/>
        <item x="542"/>
        <item x="286"/>
        <item x="568"/>
        <item x="490"/>
        <item x="734"/>
        <item x="69"/>
        <item x="419"/>
        <item x="778"/>
        <item x="737"/>
        <item x="485"/>
        <item x="87"/>
        <item x="263"/>
        <item x="588"/>
        <item x="291"/>
        <item x="870"/>
        <item x="468"/>
        <item x="342"/>
        <item x="724"/>
        <item x="473"/>
        <item x="967"/>
        <item x="295"/>
        <item x="983"/>
        <item x="444"/>
        <item x="405"/>
        <item x="373"/>
        <item x="826"/>
        <item x="406"/>
        <item x="717"/>
        <item x="534"/>
        <item x="81"/>
        <item x="941"/>
        <item x="94"/>
        <item x="313"/>
        <item x="238"/>
        <item x="479"/>
        <item x="120"/>
        <item x="639"/>
        <item x="816"/>
        <item x="259"/>
        <item x="689"/>
        <item x="569"/>
        <item x="437"/>
        <item x="635"/>
        <item x="897"/>
        <item x="575"/>
        <item x="383"/>
        <item x="137"/>
        <item x="138"/>
        <item x="382"/>
        <item x="998"/>
        <item x="862"/>
        <item x="925"/>
        <item x="404"/>
        <item x="486"/>
        <item x="518"/>
        <item x="960"/>
        <item x="899"/>
        <item x="465"/>
        <item x="841"/>
        <item x="557"/>
        <item x="27"/>
        <item x="497"/>
        <item x="498"/>
        <item x="280"/>
        <item x="374"/>
        <item x="632"/>
        <item x="604"/>
        <item x="149"/>
        <item x="316"/>
        <item x="677"/>
        <item x="508"/>
        <item x="698"/>
        <item x="378"/>
        <item x="758"/>
        <item x="530"/>
        <item x="157"/>
        <item x="142"/>
        <item x="525"/>
        <item x="617"/>
        <item x="276"/>
        <item x="650"/>
        <item x="825"/>
        <item x="285"/>
        <item x="982"/>
        <item x="548"/>
        <item x="442"/>
        <item x="298"/>
        <item x="523"/>
        <item x="729"/>
        <item x="838"/>
        <item x="916"/>
        <item x="777"/>
        <item x="986"/>
        <item x="616"/>
        <item x="672"/>
        <item x="961"/>
        <item x="135"/>
        <item x="824"/>
        <item x="610"/>
        <item x="70"/>
        <item x="644"/>
        <item x="60"/>
        <item x="74"/>
        <item x="504"/>
        <item x="855"/>
        <item x="809"/>
        <item x="431"/>
        <item x="117"/>
        <item x="527"/>
        <item x="446"/>
        <item x="915"/>
        <item x="684"/>
        <item x="741"/>
        <item x="797"/>
        <item x="420"/>
        <item x="427"/>
        <item x="710"/>
        <item x="410"/>
        <item x="474"/>
        <item x="832"/>
        <item x="151"/>
        <item x="519"/>
        <item x="696"/>
        <item x="380"/>
        <item x="640"/>
        <item x="572"/>
        <item x="564"/>
        <item x="237"/>
        <item x="761"/>
        <item x="96"/>
        <item x="32"/>
        <item x="806"/>
        <item x="904"/>
        <item x="625"/>
        <item x="312"/>
        <item x="883"/>
        <item x="771"/>
        <item x="422"/>
        <item x="400"/>
        <item x="188"/>
        <item x="423"/>
        <item x="144"/>
        <item x="592"/>
        <item x="335"/>
        <item x="663"/>
        <item x="963"/>
        <item x="202"/>
        <item x="744"/>
        <item t="default"/>
      </items>
    </pivotField>
    <pivotField compact="0" showAll="0">
      <items count="1000">
        <item x="872"/>
        <item x="605"/>
        <item x="99"/>
        <item x="719"/>
        <item x="482"/>
        <item x="646"/>
        <item x="556"/>
        <item x="478"/>
        <item x="867"/>
        <item x="201"/>
        <item x="127"/>
        <item x="227"/>
        <item x="868"/>
        <item x="606"/>
        <item x="628"/>
        <item x="13"/>
        <item x="971"/>
        <item x="936"/>
        <item x="927"/>
        <item x="816"/>
        <item x="8"/>
        <item x="879"/>
        <item x="265"/>
        <item x="112"/>
        <item x="213"/>
        <item x="933"/>
        <item x="162"/>
        <item x="339"/>
        <item x="45"/>
        <item x="464"/>
        <item x="496"/>
        <item x="989"/>
        <item x="782"/>
        <item x="218"/>
        <item x="483"/>
        <item x="751"/>
        <item x="947"/>
        <item x="623"/>
        <item x="641"/>
        <item x="439"/>
        <item x="441"/>
        <item x="549"/>
        <item x="296"/>
        <item x="241"/>
        <item x="210"/>
        <item x="911"/>
        <item x="367"/>
        <item x="547"/>
        <item x="778"/>
        <item x="986"/>
        <item x="589"/>
        <item x="195"/>
        <item x="935"/>
        <item x="193"/>
        <item x="715"/>
        <item x="899"/>
        <item x="1"/>
        <item x="413"/>
        <item x="961"/>
        <item x="242"/>
        <item x="535"/>
        <item x="578"/>
        <item x="780"/>
        <item x="594"/>
        <item x="746"/>
        <item x="699"/>
        <item x="10"/>
        <item x="190"/>
        <item x="101"/>
        <item x="828"/>
        <item x="450"/>
        <item x="63"/>
        <item x="838"/>
        <item x="46"/>
        <item x="954"/>
        <item x="977"/>
        <item x="881"/>
        <item x="260"/>
        <item x="652"/>
        <item x="301"/>
        <item x="619"/>
        <item x="256"/>
        <item x="128"/>
        <item x="871"/>
        <item x="738"/>
        <item x="387"/>
        <item x="533"/>
        <item x="409"/>
        <item x="38"/>
        <item x="252"/>
        <item x="900"/>
        <item x="232"/>
        <item x="305"/>
        <item x="687"/>
        <item x="98"/>
        <item x="336"/>
        <item x="722"/>
        <item x="878"/>
        <item x="795"/>
        <item x="747"/>
        <item x="503"/>
        <item x="21"/>
        <item x="980"/>
        <item x="532"/>
        <item x="77"/>
        <item x="642"/>
        <item x="34"/>
        <item x="714"/>
        <item x="546"/>
        <item x="185"/>
        <item x="357"/>
        <item x="196"/>
        <item x="539"/>
        <item x="495"/>
        <item x="742"/>
        <item x="150"/>
        <item x="31"/>
        <item x="28"/>
        <item x="457"/>
        <item x="849"/>
        <item x="664"/>
        <item x="416"/>
        <item x="703"/>
        <item x="618"/>
        <item x="215"/>
        <item x="955"/>
        <item x="467"/>
        <item x="841"/>
        <item x="620"/>
        <item x="54"/>
        <item x="329"/>
        <item x="813"/>
        <item x="83"/>
        <item x="540"/>
        <item x="764"/>
        <item x="648"/>
        <item x="526"/>
        <item x="724"/>
        <item x="133"/>
        <item x="134"/>
        <item x="270"/>
        <item x="901"/>
        <item x="863"/>
        <item x="245"/>
        <item x="894"/>
        <item x="192"/>
        <item x="109"/>
        <item x="337"/>
        <item x="384"/>
        <item x="108"/>
        <item x="191"/>
        <item x="19"/>
        <item x="537"/>
        <item x="615"/>
        <item x="718"/>
        <item x="763"/>
        <item x="889"/>
        <item x="576"/>
        <item x="97"/>
        <item x="147"/>
        <item x="340"/>
        <item x="366"/>
        <item x="352"/>
        <item x="745"/>
        <item x="665"/>
        <item x="807"/>
        <item x="22"/>
        <item x="333"/>
        <item x="762"/>
        <item x="783"/>
        <item x="634"/>
        <item x="17"/>
        <item x="268"/>
        <item x="528"/>
        <item x="432"/>
        <item x="471"/>
        <item x="90"/>
        <item x="308"/>
        <item x="683"/>
        <item x="739"/>
        <item x="461"/>
        <item x="844"/>
        <item x="876"/>
        <item x="870"/>
        <item x="661"/>
        <item x="696"/>
        <item x="967"/>
        <item x="974"/>
        <item x="976"/>
        <item x="160"/>
        <item x="284"/>
        <item x="904"/>
        <item x="730"/>
        <item x="55"/>
        <item x="943"/>
        <item x="920"/>
        <item x="297"/>
        <item x="701"/>
        <item x="774"/>
        <item x="438"/>
        <item x="155"/>
        <item x="633"/>
        <item x="131"/>
        <item x="517"/>
        <item x="317"/>
        <item x="638"/>
        <item x="462"/>
        <item x="909"/>
        <item x="64"/>
        <item x="905"/>
        <item x="429"/>
        <item x="440"/>
        <item x="509"/>
        <item x="630"/>
        <item x="866"/>
        <item x="969"/>
        <item x="645"/>
        <item x="514"/>
        <item x="505"/>
        <item x="521"/>
        <item x="428"/>
        <item x="794"/>
        <item x="601"/>
        <item x="970"/>
        <item x="111"/>
        <item x="690"/>
        <item x="748"/>
        <item x="659"/>
        <item x="865"/>
        <item x="246"/>
        <item x="426"/>
        <item x="208"/>
        <item x="119"/>
        <item x="928"/>
        <item x="267"/>
        <item x="481"/>
        <item x="852"/>
        <item x="853"/>
        <item x="506"/>
        <item x="993"/>
        <item x="222"/>
        <item x="363"/>
        <item x="682"/>
        <item x="225"/>
        <item x="73"/>
        <item x="169"/>
        <item x="895"/>
        <item x="309"/>
        <item x="445"/>
        <item x="184"/>
        <item x="611"/>
        <item x="536"/>
        <item x="140"/>
        <item x="771"/>
        <item x="226"/>
        <item x="711"/>
        <item x="990"/>
        <item x="166"/>
        <item x="244"/>
        <item x="334"/>
        <item x="299"/>
        <item x="292"/>
        <item x="850"/>
        <item x="360"/>
        <item x="397"/>
        <item x="289"/>
        <item x="272"/>
        <item x="938"/>
        <item x="7"/>
        <item x="560"/>
        <item x="529"/>
        <item x="323"/>
        <item x="136"/>
        <item x="130"/>
        <item x="248"/>
        <item x="50"/>
        <item x="797"/>
        <item x="822"/>
        <item x="328"/>
        <item x="552"/>
        <item x="942"/>
        <item x="182"/>
        <item x="103"/>
        <item x="499"/>
        <item x="314"/>
        <item x="951"/>
        <item x="65"/>
        <item x="234"/>
        <item x="341"/>
        <item x="786"/>
        <item x="175"/>
        <item x="75"/>
        <item x="331"/>
        <item x="934"/>
        <item x="675"/>
        <item x="84"/>
        <item x="143"/>
        <item x="893"/>
        <item x="209"/>
        <item x="254"/>
        <item x="596"/>
        <item x="455"/>
        <item x="102"/>
        <item x="359"/>
        <item x="354"/>
        <item x="964"/>
        <item x="304"/>
        <item x="355"/>
        <item x="179"/>
        <item x="318"/>
        <item x="671"/>
        <item x="668"/>
        <item x="25"/>
        <item x="621"/>
        <item x="475"/>
        <item x="773"/>
        <item x="392"/>
        <item x="72"/>
        <item x="945"/>
        <item x="9"/>
        <item x="784"/>
        <item x="377"/>
        <item x="912"/>
        <item x="570"/>
        <item x="390"/>
        <item x="240"/>
        <item x="573"/>
        <item x="694"/>
        <item x="173"/>
        <item x="832"/>
        <item x="593"/>
        <item x="581"/>
        <item x="788"/>
        <item x="153"/>
        <item x="998"/>
        <item x="944"/>
        <item x="86"/>
        <item x="288"/>
        <item x="921"/>
        <item x="941"/>
        <item x="394"/>
        <item x="657"/>
        <item x="389"/>
        <item x="164"/>
        <item x="62"/>
        <item x="792"/>
        <item x="258"/>
        <item x="734"/>
        <item x="598"/>
        <item x="35"/>
        <item x="958"/>
        <item x="343"/>
        <item x="731"/>
        <item x="814"/>
        <item x="835"/>
        <item x="161"/>
        <item x="732"/>
        <item x="484"/>
        <item x="219"/>
        <item x="686"/>
        <item x="812"/>
        <item x="720"/>
        <item x="203"/>
        <item x="139"/>
        <item x="768"/>
        <item x="717"/>
        <item x="688"/>
        <item x="765"/>
        <item x="781"/>
        <item x="233"/>
        <item x="752"/>
        <item x="603"/>
        <item x="987"/>
        <item x="984"/>
        <item x="949"/>
        <item x="477"/>
        <item x="421"/>
        <item x="727"/>
        <item x="221"/>
        <item x="116"/>
        <item x="330"/>
        <item x="376"/>
        <item x="220"/>
        <item x="571"/>
        <item x="857"/>
        <item x="187"/>
        <item x="24"/>
        <item x="656"/>
        <item x="543"/>
        <item x="713"/>
        <item x="489"/>
        <item x="320"/>
        <item x="51"/>
        <item x="758"/>
        <item x="834"/>
        <item x="627"/>
        <item x="698"/>
        <item x="369"/>
        <item x="810"/>
        <item x="125"/>
        <item x="52"/>
        <item x="737"/>
        <item x="923"/>
        <item x="952"/>
        <item x="124"/>
        <item x="451"/>
        <item x="847"/>
        <item x="550"/>
        <item x="890"/>
        <item x="68"/>
        <item x="158"/>
        <item x="391"/>
        <item x="804"/>
        <item x="371"/>
        <item x="761"/>
        <item x="430"/>
        <item x="888"/>
        <item x="988"/>
        <item x="643"/>
        <item x="206"/>
        <item x="282"/>
        <item x="793"/>
        <item x="167"/>
        <item x="494"/>
        <item x="798"/>
        <item x="372"/>
        <item x="487"/>
        <item x="463"/>
        <item x="216"/>
        <item x="932"/>
        <item x="590"/>
        <item x="968"/>
        <item x="702"/>
        <item x="965"/>
        <item x="685"/>
        <item x="975"/>
        <item x="283"/>
        <item x="403"/>
        <item x="994"/>
        <item x="476"/>
        <item x="145"/>
        <item x="691"/>
        <item x="261"/>
        <item x="168"/>
        <item x="274"/>
        <item x="515"/>
        <item x="678"/>
        <item x="230"/>
        <item x="950"/>
        <item x="759"/>
        <item x="614"/>
        <item x="704"/>
        <item x="693"/>
        <item x="262"/>
        <item x="995"/>
        <item x="803"/>
        <item x="107"/>
        <item x="491"/>
        <item x="926"/>
        <item x="886"/>
        <item x="156"/>
        <item x="105"/>
        <item x="946"/>
        <item x="729"/>
        <item x="247"/>
        <item x="859"/>
        <item x="66"/>
        <item x="775"/>
        <item x="929"/>
        <item x="0"/>
        <item x="906"/>
        <item x="636"/>
        <item x="930"/>
        <item x="279"/>
        <item x="194"/>
        <item x="541"/>
        <item x="154"/>
        <item x="607"/>
        <item x="126"/>
        <item x="925"/>
        <item x="408"/>
        <item x="257"/>
        <item x="306"/>
        <item x="559"/>
        <item x="39"/>
        <item x="425"/>
        <item x="16"/>
        <item x="566"/>
        <item x="302"/>
        <item x="37"/>
        <item x="565"/>
        <item x="538"/>
        <item x="49"/>
        <item x="670"/>
        <item x="365"/>
        <item x="5"/>
        <item x="884"/>
        <item x="456"/>
        <item x="121"/>
        <item x="228"/>
        <item x="264"/>
        <item x="30"/>
        <item x="42"/>
        <item x="48"/>
        <item x="217"/>
        <item x="159"/>
        <item x="183"/>
        <item x="626"/>
        <item x="583"/>
        <item x="417"/>
        <item x="524"/>
        <item x="132"/>
        <item x="115"/>
        <item x="435"/>
        <item x="673"/>
        <item x="251"/>
        <item x="910"/>
        <item x="106"/>
        <item x="176"/>
        <item x="902"/>
        <item x="448"/>
        <item x="725"/>
        <item x="40"/>
        <item x="789"/>
        <item x="300"/>
        <item x="307"/>
        <item x="948"/>
        <item x="235"/>
        <item x="907"/>
        <item x="80"/>
        <item x="114"/>
        <item x="290"/>
        <item x="20"/>
        <item x="170"/>
        <item x="790"/>
        <item x="325"/>
        <item x="799"/>
        <item x="843"/>
        <item x="767"/>
        <item x="361"/>
        <item x="885"/>
        <item x="772"/>
        <item x="113"/>
        <item x="36"/>
        <item x="666"/>
        <item x="502"/>
        <item x="388"/>
        <item x="454"/>
        <item x="887"/>
        <item x="819"/>
        <item x="200"/>
        <item x="653"/>
        <item x="836"/>
        <item x="612"/>
        <item x="2"/>
        <item x="577"/>
        <item x="293"/>
        <item x="500"/>
        <item x="61"/>
        <item x="93"/>
        <item x="963"/>
        <item x="669"/>
        <item x="520"/>
        <item x="311"/>
        <item x="750"/>
        <item x="706"/>
        <item x="680"/>
        <item x="82"/>
        <item x="165"/>
        <item x="983"/>
        <item x="567"/>
        <item x="379"/>
        <item x="418"/>
        <item x="362"/>
        <item x="608"/>
        <item x="991"/>
        <item x="315"/>
        <item x="992"/>
        <item x="189"/>
        <item x="818"/>
        <item x="931"/>
        <item x="769"/>
        <item x="146"/>
        <item x="956"/>
        <item x="629"/>
        <item x="229"/>
        <item x="862"/>
        <item x="692"/>
        <item x="41"/>
        <item x="253"/>
        <item x="469"/>
        <item x="586"/>
        <item x="172"/>
        <item x="95"/>
        <item x="152"/>
        <item x="33"/>
        <item x="531"/>
        <item x="67"/>
        <item x="846"/>
        <item x="726"/>
        <item x="4"/>
        <item x="281"/>
        <item x="877"/>
        <item x="580"/>
        <item x="178"/>
        <item x="996"/>
        <item x="953"/>
        <item x="177"/>
        <item x="460"/>
        <item x="56"/>
        <item x="595"/>
        <item x="851"/>
        <item x="755"/>
        <item x="766"/>
        <item x="231"/>
        <item x="707"/>
        <item x="324"/>
        <item x="908"/>
        <item x="919"/>
        <item x="57"/>
        <item x="754"/>
        <item x="414"/>
        <item x="741"/>
        <item x="436"/>
        <item x="624"/>
        <item x="338"/>
        <item x="212"/>
        <item x="199"/>
        <item x="326"/>
        <item x="443"/>
        <item x="712"/>
        <item x="811"/>
        <item x="558"/>
        <item x="574"/>
        <item x="278"/>
        <item x="791"/>
        <item x="875"/>
        <item x="224"/>
        <item x="412"/>
        <item x="141"/>
        <item x="310"/>
        <item x="415"/>
        <item x="100"/>
        <item x="53"/>
        <item x="58"/>
        <item x="516"/>
        <item x="512"/>
        <item x="171"/>
        <item x="393"/>
        <item x="979"/>
        <item x="922"/>
        <item x="211"/>
        <item x="148"/>
        <item x="89"/>
        <item x="198"/>
        <item x="662"/>
        <item x="735"/>
        <item x="110"/>
        <item x="655"/>
        <item x="493"/>
        <item x="806"/>
        <item x="243"/>
        <item x="249"/>
        <item x="584"/>
        <item x="79"/>
        <item x="348"/>
        <item x="294"/>
        <item x="916"/>
        <item x="424"/>
        <item x="779"/>
        <item x="381"/>
        <item x="447"/>
        <item x="562"/>
        <item x="466"/>
        <item x="11"/>
        <item x="76"/>
        <item x="660"/>
        <item x="14"/>
        <item x="271"/>
        <item x="667"/>
        <item x="787"/>
        <item x="458"/>
        <item x="501"/>
        <item x="332"/>
        <item x="129"/>
        <item x="12"/>
        <item x="15"/>
        <item x="591"/>
        <item x="104"/>
        <item x="26"/>
        <item x="809"/>
        <item x="434"/>
        <item x="880"/>
        <item x="123"/>
        <item x="957"/>
        <item x="449"/>
        <item x="470"/>
        <item x="551"/>
        <item x="700"/>
        <item x="613"/>
        <item x="802"/>
        <item x="353"/>
        <item x="396"/>
        <item x="821"/>
        <item x="563"/>
        <item x="705"/>
        <item x="568"/>
        <item x="204"/>
        <item x="649"/>
        <item x="385"/>
        <item x="407"/>
        <item x="749"/>
        <item x="358"/>
        <item x="401"/>
        <item x="883"/>
        <item x="327"/>
        <item x="842"/>
        <item x="579"/>
        <item x="344"/>
        <item x="321"/>
        <item x="937"/>
        <item x="459"/>
        <item x="733"/>
        <item x="609"/>
        <item x="375"/>
        <item x="239"/>
        <item x="480"/>
        <item x="472"/>
        <item x="452"/>
        <item x="492"/>
        <item x="681"/>
        <item x="679"/>
        <item x="453"/>
        <item x="820"/>
        <item x="785"/>
        <item x="864"/>
        <item x="356"/>
        <item x="940"/>
        <item x="386"/>
        <item x="286"/>
        <item x="43"/>
        <item x="263"/>
        <item x="561"/>
        <item x="259"/>
        <item x="753"/>
        <item x="817"/>
        <item x="223"/>
        <item x="827"/>
        <item x="897"/>
        <item x="273"/>
        <item x="800"/>
        <item x="554"/>
        <item x="542"/>
        <item x="370"/>
        <item x="826"/>
        <item x="349"/>
        <item x="723"/>
        <item x="437"/>
        <item x="637"/>
        <item x="180"/>
        <item x="350"/>
        <item x="275"/>
        <item x="721"/>
        <item x="78"/>
        <item x="736"/>
        <item x="373"/>
        <item x="398"/>
        <item x="406"/>
        <item x="402"/>
        <item x="939"/>
        <item x="544"/>
        <item x="207"/>
        <item x="917"/>
        <item x="18"/>
        <item x="825"/>
        <item x="319"/>
        <item x="689"/>
        <item x="510"/>
        <item x="181"/>
        <item x="815"/>
        <item x="163"/>
        <item x="399"/>
        <item x="833"/>
        <item x="444"/>
        <item x="122"/>
        <item x="874"/>
        <item x="85"/>
        <item x="71"/>
        <item x="47"/>
        <item x="677"/>
        <item x="597"/>
        <item x="708"/>
        <item x="602"/>
        <item x="839"/>
        <item x="582"/>
        <item x="197"/>
        <item x="651"/>
        <item x="236"/>
        <item x="658"/>
        <item x="382"/>
        <item x="972"/>
        <item x="395"/>
        <item x="654"/>
        <item x="346"/>
        <item x="744"/>
        <item x="303"/>
        <item x="918"/>
        <item x="488"/>
        <item x="345"/>
        <item x="966"/>
        <item x="118"/>
        <item x="91"/>
        <item x="600"/>
        <item x="545"/>
        <item x="829"/>
        <item x="631"/>
        <item x="383"/>
        <item x="588"/>
        <item x="973"/>
        <item x="913"/>
        <item x="823"/>
        <item x="622"/>
        <item x="891"/>
        <item x="830"/>
        <item x="892"/>
        <item x="553"/>
        <item x="342"/>
        <item x="756"/>
        <item x="473"/>
        <item x="174"/>
        <item x="801"/>
        <item x="530"/>
        <item x="513"/>
        <item x="848"/>
        <item x="845"/>
        <item x="322"/>
        <item x="287"/>
        <item x="978"/>
        <item x="88"/>
        <item x="23"/>
        <item x="44"/>
        <item x="854"/>
        <item x="855"/>
        <item x="419"/>
        <item x="557"/>
        <item x="347"/>
        <item x="511"/>
        <item x="295"/>
        <item x="6"/>
        <item x="647"/>
        <item x="431"/>
        <item x="860"/>
        <item x="433"/>
        <item x="959"/>
        <item x="92"/>
        <item x="674"/>
        <item x="186"/>
        <item x="522"/>
        <item x="858"/>
        <item x="479"/>
        <item x="81"/>
        <item x="368"/>
        <item x="697"/>
        <item x="837"/>
        <item x="710"/>
        <item x="269"/>
        <item x="29"/>
        <item x="94"/>
        <item x="250"/>
        <item x="575"/>
        <item x="861"/>
        <item x="214"/>
        <item x="276"/>
        <item x="291"/>
        <item x="3"/>
        <item x="640"/>
        <item x="548"/>
        <item x="351"/>
        <item x="757"/>
        <item x="446"/>
        <item x="137"/>
        <item x="117"/>
        <item x="632"/>
        <item x="266"/>
        <item x="639"/>
        <item x="490"/>
        <item x="507"/>
        <item x="728"/>
        <item x="856"/>
        <item x="497"/>
        <item x="676"/>
        <item x="617"/>
        <item x="70"/>
        <item x="59"/>
        <item x="205"/>
        <item x="316"/>
        <item x="650"/>
        <item x="585"/>
        <item x="873"/>
        <item x="238"/>
        <item x="527"/>
        <item x="716"/>
        <item x="157"/>
        <item x="474"/>
        <item x="982"/>
        <item x="997"/>
        <item x="411"/>
        <item x="840"/>
        <item x="599"/>
        <item x="555"/>
        <item x="138"/>
        <item x="364"/>
        <item x="740"/>
        <item x="277"/>
        <item x="564"/>
        <item x="604"/>
        <item x="96"/>
        <item x="587"/>
        <item x="255"/>
        <item x="985"/>
        <item x="777"/>
        <item x="120"/>
        <item x="142"/>
        <item x="188"/>
        <item x="882"/>
        <item x="796"/>
        <item x="313"/>
        <item x="87"/>
        <item x="869"/>
        <item x="69"/>
        <item x="468"/>
        <item x="616"/>
        <item x="644"/>
        <item x="592"/>
        <item x="915"/>
        <item x="896"/>
        <item x="335"/>
        <item x="312"/>
        <item x="485"/>
        <item x="508"/>
        <item x="625"/>
        <item x="405"/>
        <item x="610"/>
        <item x="663"/>
        <item x="298"/>
        <item x="410"/>
        <item x="534"/>
        <item x="519"/>
        <item x="427"/>
        <item x="486"/>
        <item x="523"/>
        <item x="285"/>
        <item x="924"/>
        <item x="903"/>
        <item x="569"/>
        <item x="981"/>
        <item x="149"/>
        <item x="378"/>
        <item x="635"/>
        <item x="60"/>
        <item x="684"/>
        <item x="824"/>
        <item x="280"/>
        <item x="695"/>
        <item x="374"/>
        <item x="709"/>
        <item x="465"/>
        <item x="400"/>
        <item x="776"/>
        <item x="404"/>
        <item x="518"/>
        <item x="498"/>
        <item x="525"/>
        <item x="442"/>
        <item x="27"/>
        <item x="144"/>
        <item x="898"/>
        <item x="237"/>
        <item x="151"/>
        <item x="504"/>
        <item x="202"/>
        <item x="831"/>
        <item x="760"/>
        <item x="135"/>
        <item x="672"/>
        <item x="422"/>
        <item x="808"/>
        <item x="74"/>
        <item x="960"/>
        <item x="770"/>
        <item x="914"/>
        <item x="420"/>
        <item x="572"/>
        <item x="32"/>
        <item x="380"/>
        <item x="805"/>
        <item x="743"/>
        <item x="423"/>
        <item x="962"/>
        <item t="default"/>
      </items>
    </pivotField>
    <pivotField compact="0" showAll="0">
      <items count="6">
        <item x="4"/>
        <item x="1"/>
        <item x="2"/>
        <item x="0"/>
        <item x="3"/>
        <item t="default"/>
      </items>
    </pivotField>
  </pivotFields>
  <dataFields count="1">
    <dataField name="Sum of Quantity" fld="11" baseField="0" baseItem="0"/>
  </dataFields>
  <formats count="2">
    <format dxfId="16">
      <pivotArea collapsedLevelsAreSubtotals="1" fieldPosition="0"/>
    </format>
    <format dxfId="1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4:K5" firstHeaderRow="1" firstDataRow="1" firstDataCol="0"/>
  <pivotFields count="18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3" showAll="0">
      <items count="870">
        <item x="463"/>
        <item x="846"/>
        <item x="681"/>
        <item x="535"/>
        <item x="60"/>
        <item x="593"/>
        <item x="740"/>
        <item x="460"/>
        <item x="294"/>
        <item x="1"/>
        <item x="314"/>
        <item x="541"/>
        <item x="202"/>
        <item x="730"/>
        <item x="738"/>
        <item x="788"/>
        <item x="753"/>
        <item x="544"/>
        <item x="668"/>
        <item x="839"/>
        <item x="127"/>
        <item x="167"/>
        <item x="426"/>
        <item x="353"/>
        <item x="157"/>
        <item x="173"/>
        <item x="770"/>
        <item x="98"/>
        <item x="244"/>
        <item x="309"/>
        <item x="713"/>
        <item x="205"/>
        <item x="394"/>
        <item x="284"/>
        <item x="443"/>
        <item x="594"/>
        <item x="452"/>
        <item x="233"/>
        <item x="145"/>
        <item x="503"/>
        <item x="112"/>
        <item x="349"/>
        <item x="623"/>
        <item x="5"/>
        <item x="436"/>
        <item x="449"/>
        <item x="31"/>
        <item x="429"/>
        <item x="56"/>
        <item x="263"/>
        <item x="332"/>
        <item x="250"/>
        <item x="658"/>
        <item x="478"/>
        <item x="781"/>
        <item x="780"/>
        <item x="558"/>
        <item x="225"/>
        <item x="734"/>
        <item x="58"/>
        <item x="257"/>
        <item x="397"/>
        <item x="651"/>
        <item x="446"/>
        <item x="739"/>
        <item x="38"/>
        <item x="570"/>
        <item x="674"/>
        <item x="678"/>
        <item x="363"/>
        <item x="64"/>
        <item x="50"/>
        <item x="650"/>
        <item x="259"/>
        <item x="94"/>
        <item x="42"/>
        <item x="842"/>
        <item x="136"/>
        <item x="416"/>
        <item x="340"/>
        <item x="652"/>
        <item x="362"/>
        <item x="230"/>
        <item x="796"/>
        <item x="827"/>
        <item x="445"/>
        <item x="71"/>
        <item x="573"/>
        <item x="237"/>
        <item x="274"/>
        <item x="341"/>
        <item x="849"/>
        <item x="319"/>
        <item x="840"/>
        <item x="755"/>
        <item x="7"/>
        <item x="74"/>
        <item x="241"/>
        <item x="597"/>
        <item x="571"/>
        <item x="741"/>
        <item x="80"/>
        <item x="361"/>
        <item x="239"/>
        <item x="763"/>
        <item x="572"/>
        <item x="454"/>
        <item x="260"/>
        <item x="812"/>
        <item x="860"/>
        <item x="771"/>
        <item x="621"/>
        <item x="243"/>
        <item x="425"/>
        <item x="302"/>
        <item x="862"/>
        <item x="841"/>
        <item x="369"/>
        <item x="404"/>
        <item x="473"/>
        <item x="692"/>
        <item x="620"/>
        <item x="635"/>
        <item x="427"/>
        <item x="670"/>
        <item x="291"/>
        <item x="356"/>
        <item x="727"/>
        <item x="156"/>
        <item x="728"/>
        <item x="59"/>
        <item x="660"/>
        <item x="502"/>
        <item x="608"/>
        <item x="715"/>
        <item x="154"/>
        <item x="851"/>
        <item x="686"/>
        <item x="547"/>
        <item x="750"/>
        <item x="810"/>
        <item x="866"/>
        <item x="227"/>
        <item x="415"/>
        <item x="368"/>
        <item x="474"/>
        <item x="435"/>
        <item x="613"/>
        <item x="55"/>
        <item x="461"/>
        <item x="702"/>
        <item x="663"/>
        <item x="639"/>
        <item x="717"/>
        <item x="430"/>
        <item x="277"/>
        <item x="457"/>
        <item x="467"/>
        <item x="774"/>
        <item x="856"/>
        <item x="604"/>
        <item x="704"/>
        <item x="297"/>
        <item x="689"/>
        <item x="95"/>
        <item x="49"/>
        <item x="464"/>
        <item x="761"/>
        <item x="45"/>
        <item x="61"/>
        <item x="335"/>
        <item x="207"/>
        <item x="582"/>
        <item x="308"/>
        <item x="602"/>
        <item x="596"/>
        <item x="823"/>
        <item x="428"/>
        <item x="165"/>
        <item x="666"/>
        <item x="848"/>
        <item x="364"/>
        <item x="766"/>
        <item x="414"/>
        <item x="705"/>
        <item x="684"/>
        <item x="79"/>
        <item x="568"/>
        <item x="591"/>
        <item x="661"/>
        <item x="69"/>
        <item x="347"/>
        <item x="703"/>
        <item x="822"/>
        <item x="342"/>
        <item x="270"/>
        <item x="527"/>
        <item x="521"/>
        <item x="399"/>
        <item x="269"/>
        <item x="820"/>
        <item x="808"/>
        <item x="105"/>
        <item x="479"/>
        <item x="134"/>
        <item x="486"/>
        <item x="749"/>
        <item x="378"/>
        <item x="376"/>
        <item x="707"/>
        <item x="492"/>
        <item x="328"/>
        <item x="804"/>
        <item x="690"/>
        <item x="86"/>
        <item x="281"/>
        <item x="236"/>
        <item x="616"/>
        <item x="737"/>
        <item x="516"/>
        <item x="301"/>
        <item x="627"/>
        <item x="410"/>
        <item x="197"/>
        <item x="107"/>
        <item x="359"/>
        <item x="603"/>
        <item x="310"/>
        <item x="262"/>
        <item x="272"/>
        <item x="529"/>
        <item x="557"/>
        <item x="667"/>
        <item x="861"/>
        <item x="282"/>
        <item x="444"/>
        <item x="760"/>
        <item x="712"/>
        <item x="137"/>
        <item x="148"/>
        <item x="792"/>
        <item x="66"/>
        <item x="407"/>
        <item x="756"/>
        <item x="857"/>
        <item x="176"/>
        <item x="510"/>
        <item x="488"/>
        <item x="221"/>
        <item x="609"/>
        <item x="395"/>
        <item x="343"/>
        <item x="396"/>
        <item x="574"/>
        <item x="706"/>
        <item x="54"/>
        <item x="195"/>
        <item x="838"/>
        <item x="859"/>
        <item x="631"/>
        <item x="789"/>
        <item x="605"/>
        <item x="231"/>
        <item x="182"/>
        <item x="628"/>
        <item x="653"/>
        <item x="642"/>
        <item x="567"/>
        <item x="352"/>
        <item x="336"/>
        <item x="240"/>
        <item x="24"/>
        <item x="806"/>
        <item x="638"/>
        <item x="142"/>
        <item x="279"/>
        <item x="581"/>
        <item x="471"/>
        <item x="480"/>
        <item x="592"/>
        <item x="665"/>
        <item x="267"/>
        <item x="424"/>
        <item x="485"/>
        <item x="276"/>
        <item x="106"/>
        <item x="864"/>
        <item x="190"/>
        <item x="374"/>
        <item x="380"/>
        <item x="483"/>
        <item x="500"/>
        <item x="174"/>
        <item x="214"/>
        <item x="48"/>
        <item x="767"/>
        <item x="283"/>
        <item x="847"/>
        <item x="62"/>
        <item x="186"/>
        <item x="590"/>
        <item x="579"/>
        <item x="15"/>
        <item x="800"/>
        <item x="828"/>
        <item x="512"/>
        <item x="273"/>
        <item x="138"/>
        <item x="412"/>
        <item x="4"/>
        <item x="9"/>
        <item x="311"/>
        <item x="709"/>
        <item x="313"/>
        <item x="409"/>
        <item x="817"/>
        <item x="813"/>
        <item x="293"/>
        <item x="832"/>
        <item x="185"/>
        <item x="805"/>
        <item x="496"/>
        <item x="522"/>
        <item x="216"/>
        <item x="625"/>
        <item x="458"/>
        <item x="589"/>
        <item x="724"/>
        <item x="693"/>
        <item x="456"/>
        <item x="144"/>
        <item x="179"/>
        <item x="537"/>
        <item x="664"/>
        <item x="344"/>
        <item x="299"/>
        <item x="633"/>
        <item x="618"/>
        <item x="726"/>
        <item x="815"/>
        <item x="700"/>
        <item x="83"/>
        <item x="504"/>
        <item x="526"/>
        <item x="489"/>
        <item x="401"/>
        <item x="814"/>
        <item x="247"/>
        <item x="475"/>
        <item x="531"/>
        <item x="192"/>
        <item x="23"/>
        <item x="354"/>
        <item x="122"/>
        <item x="868"/>
        <item x="711"/>
        <item x="324"/>
        <item x="204"/>
        <item x="434"/>
        <item x="769"/>
        <item x="114"/>
        <item x="556"/>
        <item x="256"/>
        <item x="534"/>
        <item x="109"/>
        <item x="494"/>
        <item x="89"/>
        <item x="152"/>
        <item x="200"/>
        <item x="773"/>
        <item x="536"/>
        <item x="679"/>
        <item x="784"/>
        <item x="509"/>
        <item x="826"/>
        <item x="809"/>
        <item x="382"/>
        <item x="470"/>
        <item x="733"/>
        <item x="524"/>
        <item x="39"/>
        <item x="63"/>
        <item x="358"/>
        <item x="555"/>
        <item x="543"/>
        <item x="300"/>
        <item x="682"/>
        <item x="306"/>
        <item x="224"/>
        <item x="41"/>
        <item x="119"/>
        <item x="765"/>
        <item x="562"/>
        <item x="392"/>
        <item x="491"/>
        <item x="217"/>
        <item x="160"/>
        <item x="447"/>
        <item x="104"/>
        <item x="578"/>
        <item x="791"/>
        <item x="261"/>
        <item x="836"/>
        <item x="559"/>
        <item x="220"/>
        <item x="824"/>
        <item x="600"/>
        <item x="853"/>
        <item x="235"/>
        <item x="296"/>
        <item x="44"/>
        <item x="552"/>
        <item x="545"/>
        <item x="388"/>
        <item x="289"/>
        <item x="747"/>
        <item x="218"/>
        <item x="701"/>
        <item x="469"/>
        <item x="169"/>
        <item x="360"/>
        <item x="391"/>
        <item x="655"/>
        <item x="271"/>
        <item x="525"/>
        <item x="698"/>
        <item x="331"/>
        <item x="212"/>
        <item x="81"/>
        <item x="103"/>
        <item x="607"/>
        <item x="188"/>
        <item x="264"/>
        <item x="453"/>
        <item x="742"/>
        <item x="845"/>
        <item x="163"/>
        <item x="811"/>
        <item x="153"/>
        <item x="736"/>
        <item x="708"/>
        <item x="21"/>
        <item x="17"/>
        <item x="648"/>
        <item x="166"/>
        <item x="423"/>
        <item x="433"/>
        <item x="748"/>
        <item x="829"/>
        <item x="694"/>
        <item x="637"/>
        <item x="797"/>
        <item x="43"/>
        <item x="387"/>
        <item x="268"/>
        <item x="67"/>
        <item x="722"/>
        <item x="852"/>
        <item x="158"/>
        <item x="75"/>
        <item x="70"/>
        <item x="288"/>
        <item x="833"/>
        <item x="367"/>
        <item x="778"/>
        <item x="252"/>
        <item x="175"/>
        <item x="304"/>
        <item x="830"/>
        <item x="450"/>
        <item x="164"/>
        <item x="764"/>
        <item x="643"/>
        <item x="348"/>
        <item x="209"/>
        <item x="511"/>
        <item x="10"/>
        <item x="222"/>
        <item x="161"/>
        <item x="29"/>
        <item x="121"/>
        <item x="646"/>
        <item x="683"/>
        <item x="355"/>
        <item x="398"/>
        <item x="515"/>
        <item x="234"/>
        <item x="657"/>
        <item x="125"/>
        <item x="584"/>
        <item x="208"/>
        <item x="76"/>
        <item x="180"/>
        <item x="626"/>
        <item x="818"/>
        <item x="357"/>
        <item x="588"/>
        <item x="287"/>
        <item x="280"/>
        <item x="775"/>
        <item x="57"/>
        <item x="799"/>
        <item x="19"/>
        <item x="232"/>
        <item x="405"/>
        <item x="614"/>
        <item x="238"/>
        <item x="575"/>
        <item x="533"/>
        <item x="669"/>
        <item x="381"/>
        <item x="659"/>
        <item x="194"/>
        <item x="146"/>
        <item x="551"/>
        <item x="448"/>
        <item x="499"/>
        <item x="47"/>
        <item x="321"/>
        <item x="333"/>
        <item x="6"/>
        <item x="844"/>
        <item x="691"/>
        <item x="131"/>
        <item x="680"/>
        <item x="13"/>
        <item x="34"/>
        <item x="636"/>
        <item x="777"/>
        <item x="576"/>
        <item x="254"/>
        <item x="246"/>
        <item x="85"/>
        <item x="513"/>
        <item x="586"/>
        <item x="553"/>
        <item x="37"/>
        <item x="505"/>
        <item x="497"/>
        <item x="834"/>
        <item x="501"/>
        <item x="569"/>
        <item x="745"/>
        <item x="87"/>
        <item x="772"/>
        <item x="632"/>
        <item x="419"/>
        <item x="312"/>
        <item x="484"/>
        <item x="126"/>
        <item x="743"/>
        <item x="370"/>
        <item x="517"/>
        <item x="801"/>
        <item x="482"/>
        <item x="542"/>
        <item x="487"/>
        <item x="723"/>
        <item x="386"/>
        <item x="601"/>
        <item x="290"/>
        <item x="468"/>
        <item x="675"/>
        <item x="539"/>
        <item x="477"/>
        <item x="226"/>
        <item x="393"/>
        <item x="402"/>
        <item x="93"/>
        <item x="215"/>
        <item x="84"/>
        <item x="606"/>
        <item x="400"/>
        <item x="519"/>
        <item x="100"/>
        <item x="110"/>
        <item x="339"/>
        <item x="518"/>
        <item x="720"/>
        <item x="139"/>
        <item x="731"/>
        <item x="821"/>
        <item x="564"/>
        <item x="73"/>
        <item x="656"/>
        <item x="794"/>
        <item x="699"/>
        <item x="390"/>
        <item x="441"/>
        <item x="323"/>
        <item x="530"/>
        <item x="735"/>
        <item x="170"/>
        <item x="191"/>
        <item x="520"/>
        <item x="617"/>
        <item x="406"/>
        <item x="345"/>
        <item x="320"/>
        <item x="803"/>
        <item x="253"/>
        <item x="265"/>
        <item x="649"/>
        <item x="798"/>
        <item x="719"/>
        <item x="687"/>
        <item x="550"/>
        <item x="20"/>
        <item x="850"/>
        <item x="65"/>
        <item x="523"/>
        <item x="51"/>
        <item x="802"/>
        <item x="130"/>
        <item x="140"/>
        <item x="286"/>
        <item x="375"/>
        <item x="384"/>
        <item x="132"/>
        <item x="451"/>
        <item x="27"/>
        <item x="595"/>
        <item x="442"/>
        <item x="786"/>
        <item x="26"/>
        <item x="566"/>
        <item x="68"/>
        <item x="816"/>
        <item x="472"/>
        <item x="385"/>
        <item x="338"/>
        <item x="258"/>
        <item x="583"/>
        <item x="305"/>
        <item x="783"/>
        <item x="421"/>
        <item x="560"/>
        <item x="752"/>
        <item x="622"/>
        <item x="193"/>
        <item x="696"/>
        <item x="865"/>
        <item x="315"/>
        <item x="718"/>
        <item x="99"/>
        <item x="757"/>
        <item x="508"/>
        <item x="439"/>
        <item x="28"/>
        <item x="540"/>
        <item x="211"/>
        <item x="379"/>
        <item x="337"/>
        <item x="629"/>
        <item x="124"/>
        <item x="143"/>
        <item x="346"/>
        <item x="754"/>
        <item x="619"/>
        <item x="0"/>
        <item x="548"/>
        <item x="418"/>
        <item x="549"/>
        <item x="561"/>
        <item x="327"/>
        <item x="831"/>
        <item x="481"/>
        <item x="255"/>
        <item x="688"/>
        <item x="495"/>
        <item x="662"/>
        <item x="77"/>
        <item x="611"/>
        <item x="867"/>
        <item x="672"/>
        <item x="721"/>
        <item x="417"/>
        <item x="785"/>
        <item x="459"/>
        <item x="776"/>
        <item x="554"/>
        <item x="565"/>
        <item x="710"/>
        <item x="598"/>
        <item x="599"/>
        <item x="90"/>
        <item x="168"/>
        <item x="12"/>
        <item x="610"/>
        <item x="266"/>
        <item x="825"/>
        <item x="438"/>
        <item x="30"/>
        <item x="135"/>
        <item x="538"/>
        <item x="53"/>
        <item x="177"/>
        <item x="455"/>
        <item x="807"/>
        <item x="108"/>
        <item x="744"/>
        <item x="476"/>
        <item x="714"/>
        <item x="350"/>
        <item x="685"/>
        <item x="779"/>
        <item x="695"/>
        <item x="147"/>
        <item x="580"/>
        <item x="181"/>
        <item x="506"/>
        <item x="371"/>
        <item x="507"/>
        <item x="630"/>
        <item x="585"/>
        <item x="782"/>
        <item x="615"/>
        <item x="206"/>
        <item x="187"/>
        <item x="843"/>
        <item x="729"/>
        <item x="612"/>
        <item x="141"/>
        <item x="329"/>
        <item x="278"/>
        <item x="372"/>
        <item x="577"/>
        <item x="835"/>
        <item x="837"/>
        <item x="440"/>
        <item x="644"/>
        <item x="725"/>
        <item x="14"/>
        <item x="641"/>
        <item x="196"/>
        <item x="854"/>
        <item x="88"/>
        <item x="716"/>
        <item x="795"/>
        <item x="422"/>
        <item x="863"/>
        <item x="624"/>
        <item x="546"/>
        <item x="462"/>
        <item x="116"/>
        <item x="697"/>
        <item x="97"/>
        <item x="242"/>
        <item x="101"/>
        <item x="162"/>
        <item x="330"/>
        <item x="117"/>
        <item x="322"/>
        <item x="150"/>
        <item x="33"/>
        <item x="466"/>
        <item x="408"/>
        <item x="184"/>
        <item x="431"/>
        <item x="128"/>
        <item x="102"/>
        <item x="758"/>
        <item x="298"/>
        <item x="178"/>
        <item x="248"/>
        <item x="120"/>
        <item x="532"/>
        <item x="389"/>
        <item x="133"/>
        <item x="759"/>
        <item x="498"/>
        <item x="22"/>
        <item x="11"/>
        <item x="78"/>
        <item x="229"/>
        <item x="113"/>
        <item x="203"/>
        <item x="787"/>
        <item x="171"/>
        <item x="490"/>
        <item x="149"/>
        <item x="411"/>
        <item x="292"/>
        <item x="52"/>
        <item x="493"/>
        <item x="40"/>
        <item x="377"/>
        <item x="129"/>
        <item x="111"/>
        <item x="676"/>
        <item x="514"/>
        <item x="198"/>
        <item x="18"/>
        <item x="317"/>
        <item x="213"/>
        <item x="295"/>
        <item x="123"/>
        <item x="326"/>
        <item x="228"/>
        <item x="647"/>
        <item x="32"/>
        <item x="155"/>
        <item x="465"/>
        <item x="793"/>
        <item x="96"/>
        <item x="115"/>
        <item x="189"/>
        <item x="92"/>
        <item x="159"/>
        <item x="201"/>
        <item x="316"/>
        <item x="671"/>
        <item x="403"/>
        <item x="3"/>
        <item x="36"/>
        <item x="210"/>
        <item x="199"/>
        <item x="303"/>
        <item x="334"/>
        <item x="366"/>
        <item x="307"/>
        <item x="858"/>
        <item x="91"/>
        <item x="8"/>
        <item x="151"/>
        <item x="172"/>
        <item x="654"/>
        <item x="413"/>
        <item x="275"/>
        <item x="790"/>
        <item x="72"/>
        <item x="325"/>
        <item x="25"/>
        <item x="373"/>
        <item x="318"/>
        <item x="563"/>
        <item x="528"/>
        <item x="183"/>
        <item x="16"/>
        <item x="2"/>
        <item x="245"/>
        <item x="437"/>
        <item x="855"/>
        <item x="118"/>
        <item x="223"/>
        <item x="219"/>
        <item x="673"/>
        <item x="249"/>
        <item x="285"/>
        <item x="587"/>
        <item x="640"/>
        <item x="732"/>
        <item x="35"/>
        <item x="746"/>
        <item x="432"/>
        <item x="751"/>
        <item x="46"/>
        <item x="677"/>
        <item x="634"/>
        <item x="251"/>
        <item x="82"/>
        <item x="420"/>
        <item x="645"/>
        <item x="351"/>
        <item x="762"/>
        <item x="365"/>
        <item x="819"/>
        <item x="383"/>
        <item x="768"/>
        <item t="default"/>
      </items>
    </pivotField>
    <pivotField compact="0" showAll="0">
      <items count="13">
        <item x="1"/>
        <item x="5"/>
        <item x="3"/>
        <item x="0"/>
        <item x="7"/>
        <item x="6"/>
        <item x="2"/>
        <item x="4"/>
        <item x="11"/>
        <item x="9"/>
        <item x="10"/>
        <item x="8"/>
        <item t="default"/>
      </items>
    </pivotField>
    <pivotField compact="0" showAll="0">
      <items count="14">
        <item x="3"/>
        <item x="1"/>
        <item x="8"/>
        <item x="11"/>
        <item x="2"/>
        <item x="4"/>
        <item x="5"/>
        <item x="0"/>
        <item x="7"/>
        <item x="12"/>
        <item x="6"/>
        <item x="9"/>
        <item x="10"/>
        <item t="default"/>
      </items>
    </pivotField>
    <pivotField compact="0" showAll="0">
      <items count="7">
        <item x="1"/>
        <item x="5"/>
        <item x="2"/>
        <item x="3"/>
        <item x="0"/>
        <item x="4"/>
        <item t="default"/>
      </items>
    </pivotField>
    <pivotField compact="0" showAll="0">
      <items count="6">
        <item x="4"/>
        <item x="0"/>
        <item x="3"/>
        <item x="1"/>
        <item x="2"/>
        <item t="default"/>
      </items>
    </pivotField>
    <pivotField compact="0" showAll="0">
      <items count="19">
        <item x="6"/>
        <item x="12"/>
        <item x="4"/>
        <item x="17"/>
        <item x="7"/>
        <item x="9"/>
        <item x="0"/>
        <item x="16"/>
        <item x="1"/>
        <item x="10"/>
        <item x="3"/>
        <item x="15"/>
        <item x="14"/>
        <item x="11"/>
        <item x="2"/>
        <item x="5"/>
        <item x="8"/>
        <item x="13"/>
        <item t="default"/>
      </items>
    </pivotField>
    <pivotField compact="0" showAll="0">
      <items count="54">
        <item x="30"/>
        <item x="36"/>
        <item x="49"/>
        <item x="21"/>
        <item x="27"/>
        <item x="32"/>
        <item x="20"/>
        <item x="3"/>
        <item x="13"/>
        <item x="41"/>
        <item x="2"/>
        <item x="22"/>
        <item x="14"/>
        <item x="11"/>
        <item x="16"/>
        <item x="15"/>
        <item x="51"/>
        <item x="50"/>
        <item x="37"/>
        <item x="40"/>
        <item x="43"/>
        <item x="34"/>
        <item x="17"/>
        <item x="1"/>
        <item x="29"/>
        <item x="44"/>
        <item x="12"/>
        <item x="26"/>
        <item x="47"/>
        <item x="33"/>
        <item x="42"/>
        <item x="28"/>
        <item x="31"/>
        <item x="48"/>
        <item x="9"/>
        <item x="38"/>
        <item x="45"/>
        <item x="6"/>
        <item x="39"/>
        <item x="35"/>
        <item x="8"/>
        <item x="5"/>
        <item x="23"/>
        <item x="0"/>
        <item x="46"/>
        <item x="25"/>
        <item x="10"/>
        <item x="4"/>
        <item x="19"/>
        <item x="24"/>
        <item x="18"/>
        <item x="52"/>
        <item x="7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4">
        <item x="7"/>
        <item x="5"/>
        <item m="1" x="12"/>
        <item x="8"/>
        <item x="9"/>
        <item x="2"/>
        <item x="3"/>
        <item x="4"/>
        <item x="1"/>
        <item x="10"/>
        <item x="6"/>
        <item x="0"/>
        <item x="1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1"/>
        <item x="9"/>
        <item x="7"/>
        <item x="2"/>
        <item x="0"/>
        <item x="4"/>
        <item x="8"/>
        <item x="5"/>
        <item x="6"/>
        <item x="3"/>
        <item t="default"/>
      </items>
    </pivotField>
    <pivotField compact="0" showAll="0">
      <items count="506">
        <item x="469"/>
        <item x="169"/>
        <item x="347"/>
        <item x="8"/>
        <item x="160"/>
        <item x="27"/>
        <item x="194"/>
        <item x="24"/>
        <item x="67"/>
        <item x="122"/>
        <item x="41"/>
        <item x="220"/>
        <item x="15"/>
        <item x="94"/>
        <item x="12"/>
        <item x="47"/>
        <item x="87"/>
        <item x="115"/>
        <item x="154"/>
        <item x="176"/>
        <item x="175"/>
        <item x="109"/>
        <item x="89"/>
        <item x="7"/>
        <item x="186"/>
        <item x="48"/>
        <item x="55"/>
        <item x="125"/>
        <item x="236"/>
        <item x="128"/>
        <item x="157"/>
        <item x="21"/>
        <item x="149"/>
        <item x="468"/>
        <item x="74"/>
        <item x="254"/>
        <item x="308"/>
        <item x="1"/>
        <item x="174"/>
        <item x="360"/>
        <item x="273"/>
        <item x="393"/>
        <item x="202"/>
        <item x="349"/>
        <item x="96"/>
        <item x="151"/>
        <item x="293"/>
        <item x="477"/>
        <item x="155"/>
        <item x="332"/>
        <item x="107"/>
        <item x="171"/>
        <item x="412"/>
        <item x="198"/>
        <item x="204"/>
        <item x="429"/>
        <item x="133"/>
        <item x="452"/>
        <item x="34"/>
        <item x="471"/>
        <item x="181"/>
        <item x="148"/>
        <item x="156"/>
        <item x="297"/>
        <item x="345"/>
        <item x="404"/>
        <item x="397"/>
        <item x="37"/>
        <item x="306"/>
        <item x="371"/>
        <item x="179"/>
        <item x="378"/>
        <item x="237"/>
        <item x="216"/>
        <item x="103"/>
        <item x="45"/>
        <item x="486"/>
        <item x="235"/>
        <item x="0"/>
        <item x="407"/>
        <item x="239"/>
        <item x="9"/>
        <item x="344"/>
        <item x="73"/>
        <item x="140"/>
        <item x="5"/>
        <item x="310"/>
        <item x="211"/>
        <item x="386"/>
        <item x="197"/>
        <item x="244"/>
        <item x="340"/>
        <item x="138"/>
        <item x="370"/>
        <item x="313"/>
        <item x="375"/>
        <item x="403"/>
        <item x="99"/>
        <item x="44"/>
        <item x="38"/>
        <item x="188"/>
        <item x="177"/>
        <item x="260"/>
        <item x="146"/>
        <item x="504"/>
        <item x="86"/>
        <item x="488"/>
        <item x="30"/>
        <item x="304"/>
        <item x="389"/>
        <item x="17"/>
        <item x="492"/>
        <item x="326"/>
        <item x="185"/>
        <item x="295"/>
        <item x="274"/>
        <item x="400"/>
        <item x="143"/>
        <item x="234"/>
        <item x="4"/>
        <item x="153"/>
        <item x="391"/>
        <item x="168"/>
        <item x="484"/>
        <item x="212"/>
        <item x="173"/>
        <item x="82"/>
        <item x="317"/>
        <item x="263"/>
        <item x="262"/>
        <item x="66"/>
        <item x="416"/>
        <item x="14"/>
        <item x="56"/>
        <item x="242"/>
        <item x="250"/>
        <item x="167"/>
        <item x="479"/>
        <item x="29"/>
        <item x="435"/>
        <item x="36"/>
        <item x="368"/>
        <item x="294"/>
        <item x="31"/>
        <item x="230"/>
        <item x="342"/>
        <item x="70"/>
        <item x="305"/>
        <item x="223"/>
        <item x="460"/>
        <item x="35"/>
        <item x="241"/>
        <item x="444"/>
        <item x="421"/>
        <item x="319"/>
        <item x="458"/>
        <item x="137"/>
        <item x="97"/>
        <item x="170"/>
        <item x="445"/>
        <item x="502"/>
        <item x="485"/>
        <item x="430"/>
        <item x="159"/>
        <item x="51"/>
        <item x="164"/>
        <item x="284"/>
        <item x="162"/>
        <item x="418"/>
        <item x="78"/>
        <item x="13"/>
        <item x="446"/>
        <item x="106"/>
        <item x="255"/>
        <item x="192"/>
        <item x="321"/>
        <item x="224"/>
        <item x="110"/>
        <item x="95"/>
        <item x="10"/>
        <item x="68"/>
        <item x="258"/>
        <item x="362"/>
        <item x="180"/>
        <item x="11"/>
        <item x="6"/>
        <item x="203"/>
        <item x="79"/>
        <item x="302"/>
        <item x="134"/>
        <item x="49"/>
        <item x="498"/>
        <item x="42"/>
        <item x="209"/>
        <item x="336"/>
        <item x="57"/>
        <item x="178"/>
        <item x="251"/>
        <item x="2"/>
        <item x="69"/>
        <item x="121"/>
        <item x="63"/>
        <item x="127"/>
        <item x="474"/>
        <item x="491"/>
        <item x="90"/>
        <item x="187"/>
        <item x="353"/>
        <item x="62"/>
        <item x="75"/>
        <item x="195"/>
        <item x="131"/>
        <item x="350"/>
        <item x="189"/>
        <item x="266"/>
        <item x="324"/>
        <item x="503"/>
        <item x="59"/>
        <item x="39"/>
        <item x="247"/>
        <item x="451"/>
        <item x="314"/>
        <item x="415"/>
        <item x="249"/>
        <item x="118"/>
        <item x="253"/>
        <item x="91"/>
        <item x="40"/>
        <item x="422"/>
        <item x="105"/>
        <item x="22"/>
        <item x="401"/>
        <item x="496"/>
        <item x="409"/>
        <item x="165"/>
        <item x="501"/>
        <item x="226"/>
        <item x="58"/>
        <item x="64"/>
        <item x="264"/>
        <item x="184"/>
        <item x="312"/>
        <item x="473"/>
        <item x="328"/>
        <item x="20"/>
        <item x="139"/>
        <item x="269"/>
        <item x="172"/>
        <item x="81"/>
        <item x="358"/>
        <item x="225"/>
        <item x="163"/>
        <item x="233"/>
        <item x="299"/>
        <item x="141"/>
        <item x="357"/>
        <item x="261"/>
        <item x="286"/>
        <item x="277"/>
        <item x="272"/>
        <item x="18"/>
        <item x="490"/>
        <item x="19"/>
        <item x="440"/>
        <item x="316"/>
        <item x="405"/>
        <item x="3"/>
        <item x="278"/>
        <item x="320"/>
        <item x="330"/>
        <item x="52"/>
        <item x="32"/>
        <item x="354"/>
        <item x="447"/>
        <item x="116"/>
        <item x="413"/>
        <item x="455"/>
        <item x="135"/>
        <item x="426"/>
        <item x="442"/>
        <item x="275"/>
        <item x="193"/>
        <item x="46"/>
        <item x="351"/>
        <item x="228"/>
        <item x="112"/>
        <item x="379"/>
        <item x="363"/>
        <item x="428"/>
        <item x="245"/>
        <item x="80"/>
        <item x="43"/>
        <item x="207"/>
        <item x="129"/>
        <item x="142"/>
        <item x="436"/>
        <item x="72"/>
        <item x="475"/>
        <item x="166"/>
        <item x="331"/>
        <item x="439"/>
        <item x="390"/>
        <item x="92"/>
        <item x="120"/>
        <item x="229"/>
        <item x="145"/>
        <item x="248"/>
        <item x="16"/>
        <item x="54"/>
        <item x="252"/>
        <item x="408"/>
        <item x="392"/>
        <item x="497"/>
        <item x="259"/>
        <item x="500"/>
        <item x="218"/>
        <item x="402"/>
        <item x="382"/>
        <item x="470"/>
        <item x="132"/>
        <item x="271"/>
        <item x="423"/>
        <item x="201"/>
        <item x="365"/>
        <item x="489"/>
        <item x="267"/>
        <item x="307"/>
        <item x="217"/>
        <item x="76"/>
        <item x="493"/>
        <item x="487"/>
        <item x="366"/>
        <item x="399"/>
        <item x="182"/>
        <item x="411"/>
        <item x="454"/>
        <item x="300"/>
        <item x="459"/>
        <item x="287"/>
        <item x="309"/>
        <item x="433"/>
        <item x="60"/>
        <item x="123"/>
        <item x="472"/>
        <item x="377"/>
        <item x="291"/>
        <item x="124"/>
        <item x="158"/>
        <item x="256"/>
        <item x="374"/>
        <item x="104"/>
        <item x="303"/>
        <item x="355"/>
        <item x="199"/>
        <item x="361"/>
        <item x="323"/>
        <item x="467"/>
        <item x="246"/>
        <item x="108"/>
        <item x="419"/>
        <item x="333"/>
        <item x="499"/>
        <item x="144"/>
        <item x="191"/>
        <item x="456"/>
        <item x="61"/>
        <item x="283"/>
        <item x="33"/>
        <item x="315"/>
        <item x="77"/>
        <item x="221"/>
        <item x="98"/>
        <item x="88"/>
        <item x="114"/>
        <item x="281"/>
        <item x="334"/>
        <item x="214"/>
        <item x="376"/>
        <item x="231"/>
        <item x="453"/>
        <item x="130"/>
        <item x="384"/>
        <item x="464"/>
        <item x="414"/>
        <item x="26"/>
        <item x="238"/>
        <item x="476"/>
        <item x="410"/>
        <item x="478"/>
        <item x="126"/>
        <item x="462"/>
        <item x="136"/>
        <item x="213"/>
        <item x="210"/>
        <item x="417"/>
        <item x="257"/>
        <item x="449"/>
        <item x="425"/>
        <item x="101"/>
        <item x="343"/>
        <item x="84"/>
        <item x="406"/>
        <item x="222"/>
        <item x="388"/>
        <item x="232"/>
        <item x="292"/>
        <item x="285"/>
        <item x="147"/>
        <item x="219"/>
        <item x="369"/>
        <item x="50"/>
        <item x="372"/>
        <item x="268"/>
        <item x="296"/>
        <item x="339"/>
        <item x="443"/>
        <item x="65"/>
        <item x="270"/>
        <item x="318"/>
        <item x="398"/>
        <item x="71"/>
        <item x="356"/>
        <item x="282"/>
        <item x="196"/>
        <item x="337"/>
        <item x="288"/>
        <item x="190"/>
        <item x="483"/>
        <item x="329"/>
        <item x="117"/>
        <item x="463"/>
        <item x="373"/>
        <item x="431"/>
        <item x="280"/>
        <item x="85"/>
        <item x="364"/>
        <item x="465"/>
        <item x="394"/>
        <item x="215"/>
        <item x="396"/>
        <item x="289"/>
        <item x="53"/>
        <item x="311"/>
        <item x="466"/>
        <item x="28"/>
        <item x="279"/>
        <item x="367"/>
        <item x="338"/>
        <item x="298"/>
        <item x="395"/>
        <item x="432"/>
        <item x="227"/>
        <item x="240"/>
        <item x="265"/>
        <item x="111"/>
        <item x="23"/>
        <item x="438"/>
        <item x="100"/>
        <item x="276"/>
        <item x="102"/>
        <item x="380"/>
        <item x="450"/>
        <item x="480"/>
        <item x="301"/>
        <item x="152"/>
        <item x="206"/>
        <item x="383"/>
        <item x="381"/>
        <item x="387"/>
        <item x="83"/>
        <item x="327"/>
        <item x="359"/>
        <item x="208"/>
        <item x="385"/>
        <item x="113"/>
        <item x="448"/>
        <item x="482"/>
        <item x="322"/>
        <item x="420"/>
        <item x="481"/>
        <item x="348"/>
        <item x="119"/>
        <item x="243"/>
        <item x="441"/>
        <item x="200"/>
        <item x="494"/>
        <item x="457"/>
        <item x="352"/>
        <item x="93"/>
        <item x="424"/>
        <item x="325"/>
        <item x="335"/>
        <item x="150"/>
        <item x="346"/>
        <item x="205"/>
        <item x="437"/>
        <item x="161"/>
        <item x="25"/>
        <item x="290"/>
        <item x="495"/>
        <item x="341"/>
        <item x="434"/>
        <item x="183"/>
        <item x="461"/>
        <item x="427"/>
        <item t="default"/>
      </items>
    </pivotField>
    <pivotField dataField="1" compact="0" showAll="0">
      <items count="6">
        <item x="0"/>
        <item x="4"/>
        <item x="1"/>
        <item x="2"/>
        <item x="3"/>
        <item t="default"/>
      </items>
    </pivotField>
    <pivotField compact="0" showAll="0">
      <items count="881">
        <item x="774"/>
        <item x="556"/>
        <item x="447"/>
        <item x="97"/>
        <item x="444"/>
        <item x="654"/>
        <item x="557"/>
        <item x="828"/>
        <item x="515"/>
        <item x="254"/>
        <item x="203"/>
        <item x="771"/>
        <item x="123"/>
        <item x="320"/>
        <item x="13"/>
        <item x="820"/>
        <item x="8"/>
        <item x="858"/>
        <item x="577"/>
        <item x="108"/>
        <item x="412"/>
        <item x="804"/>
        <item x="208"/>
        <item x="590"/>
        <item x="677"/>
        <item x="825"/>
        <item x="700"/>
        <item x="871"/>
        <item x="572"/>
        <item x="434"/>
        <item x="698"/>
        <item x="868"/>
        <item x="448"/>
        <item x="1"/>
        <item x="827"/>
        <item x="45"/>
        <item x="782"/>
        <item x="547"/>
        <item x="288"/>
        <item x="508"/>
        <item x="124"/>
        <item x="231"/>
        <item x="744"/>
        <item x="672"/>
        <item x="99"/>
        <item x="186"/>
        <item x="183"/>
        <item x="651"/>
        <item x="347"/>
        <item x="736"/>
        <item x="637"/>
        <item x="188"/>
        <item x="230"/>
        <item x="62"/>
        <item x="38"/>
        <item x="773"/>
        <item x="849"/>
        <item x="221"/>
        <item x="797"/>
        <item x="597"/>
        <item x="422"/>
        <item x="241"/>
        <item x="31"/>
        <item x="496"/>
        <item x="796"/>
        <item x="753"/>
        <item x="387"/>
        <item x="10"/>
        <item x="338"/>
        <item x="506"/>
        <item x="466"/>
        <item x="391"/>
        <item x="249"/>
        <item x="780"/>
        <item x="394"/>
        <item x="245"/>
        <item x="653"/>
        <item x="747"/>
        <item x="46"/>
        <item x="259"/>
        <item x="185"/>
        <item x="28"/>
        <item x="105"/>
        <item x="494"/>
        <item x="500"/>
        <item x="569"/>
        <item x="767"/>
        <item x="22"/>
        <item x="76"/>
        <item x="366"/>
        <item x="499"/>
        <item x="82"/>
        <item x="53"/>
        <item x="205"/>
        <item x="333"/>
        <item x="497"/>
        <item x="701"/>
        <item x="291"/>
        <item x="96"/>
        <item x="184"/>
        <item x="568"/>
        <item x="129"/>
        <item x="234"/>
        <item x="749"/>
        <item x="143"/>
        <item x="130"/>
        <item x="669"/>
        <item x="127"/>
        <item x="19"/>
        <item x="673"/>
        <item x="21"/>
        <item x="34"/>
        <item x="312"/>
        <item x="591"/>
        <item x="363"/>
        <item x="413"/>
        <item x="800"/>
        <item x="63"/>
        <item x="346"/>
        <item x="639"/>
        <item x="579"/>
        <item x="720"/>
        <item x="640"/>
        <item x="273"/>
        <item x="155"/>
        <item x="856"/>
        <item x="666"/>
        <item x="792"/>
        <item x="593"/>
        <item x="318"/>
        <item x="552"/>
        <item x="583"/>
        <item x="17"/>
        <item x="861"/>
        <item x="778"/>
        <item x="471"/>
        <item x="843"/>
        <item x="301"/>
        <item x="565"/>
        <item x="321"/>
        <item x="411"/>
        <item x="115"/>
        <item x="857"/>
        <item x="757"/>
        <item x="813"/>
        <item x="562"/>
        <item x="163"/>
        <item x="293"/>
        <item x="257"/>
        <item x="711"/>
        <item x="150"/>
        <item x="488"/>
        <item x="199"/>
        <item x="178"/>
        <item x="483"/>
        <item x="160"/>
        <item x="256"/>
        <item x="233"/>
        <item x="835"/>
        <item x="89"/>
        <item x="634"/>
        <item x="685"/>
        <item x="769"/>
        <item x="136"/>
        <item x="476"/>
        <item x="261"/>
        <item x="431"/>
        <item x="821"/>
        <item x="754"/>
        <item x="126"/>
        <item x="511"/>
        <item x="54"/>
        <item x="875"/>
        <item x="587"/>
        <item x="490"/>
        <item x="322"/>
        <item x="314"/>
        <item x="872"/>
        <item x="691"/>
        <item x="50"/>
        <item x="582"/>
        <item x="840"/>
        <item x="277"/>
        <item x="834"/>
        <item x="212"/>
        <item x="7"/>
        <item x="627"/>
        <item x="176"/>
        <item x="491"/>
        <item x="693"/>
        <item x="606"/>
        <item x="770"/>
        <item x="71"/>
        <item x="216"/>
        <item x="674"/>
        <item x="284"/>
        <item x="100"/>
        <item x="286"/>
        <item x="549"/>
        <item x="432"/>
        <item x="462"/>
        <item x="479"/>
        <item x="83"/>
        <item x="173"/>
        <item x="107"/>
        <item x="756"/>
        <item x="139"/>
        <item x="72"/>
        <item x="335"/>
        <item x="280"/>
        <item x="235"/>
        <item x="852"/>
        <item x="518"/>
        <item x="730"/>
        <item x="215"/>
        <item x="9"/>
        <item x="223"/>
        <item x="403"/>
        <item x="148"/>
        <item x="25"/>
        <item x="830"/>
        <item x="316"/>
        <item x="632"/>
        <item x="340"/>
        <item x="370"/>
        <item x="570"/>
        <item x="341"/>
        <item x="604"/>
        <item x="417"/>
        <item x="74"/>
        <item x="357"/>
        <item x="375"/>
        <item x="247"/>
        <item x="836"/>
        <item x="761"/>
        <item x="61"/>
        <item x="648"/>
        <item x="826"/>
        <item x="307"/>
        <item x="833"/>
        <item x="791"/>
        <item x="158"/>
        <item x="554"/>
        <item x="650"/>
        <item x="468"/>
        <item x="35"/>
        <item x="449"/>
        <item x="302"/>
        <item x="427"/>
        <item x="344"/>
        <item x="167"/>
        <item x="200"/>
        <item x="658"/>
        <item x="237"/>
        <item x="624"/>
        <item x="699"/>
        <item x="210"/>
        <item x="528"/>
        <item x="367"/>
        <item x="870"/>
        <item x="423"/>
        <item x="194"/>
        <item x="298"/>
        <item x="705"/>
        <item x="229"/>
        <item x="243"/>
        <item x="336"/>
        <item x="52"/>
        <item x="814"/>
        <item x="132"/>
        <item x="601"/>
        <item x="161"/>
        <item x="662"/>
        <item x="51"/>
        <item x="602"/>
        <item x="272"/>
        <item x="120"/>
        <item x="324"/>
        <item x="788"/>
        <item x="368"/>
        <item x="197"/>
        <item x="702"/>
        <item x="169"/>
        <item x="477"/>
        <item x="211"/>
        <item x="351"/>
        <item x="724"/>
        <item x="162"/>
        <item x="404"/>
        <item x="625"/>
        <item x="805"/>
        <item x="853"/>
        <item x="180"/>
        <item x="741"/>
        <item x="536"/>
        <item x="222"/>
        <item x="271"/>
        <item x="503"/>
        <item x="551"/>
        <item x="869"/>
        <item x="313"/>
        <item x="529"/>
        <item x="64"/>
        <item x="85"/>
        <item x="251"/>
        <item x="786"/>
        <item x="684"/>
        <item x="655"/>
        <item x="612"/>
        <item x="610"/>
        <item x="156"/>
        <item x="121"/>
        <item x="686"/>
        <item x="112"/>
        <item x="0"/>
        <item x="877"/>
        <item x="456"/>
        <item x="763"/>
        <item x="236"/>
        <item x="623"/>
        <item x="67"/>
        <item x="24"/>
        <item x="304"/>
        <item x="801"/>
        <item x="841"/>
        <item x="206"/>
        <item x="122"/>
        <item x="501"/>
        <item x="818"/>
        <item x="546"/>
        <item x="876"/>
        <item x="209"/>
        <item x="709"/>
        <item x="187"/>
        <item x="153"/>
        <item x="694"/>
        <item x="710"/>
        <item x="846"/>
        <item x="558"/>
        <item x="217"/>
        <item x="816"/>
        <item x="372"/>
        <item x="839"/>
        <item x="356"/>
        <item x="102"/>
        <item x="111"/>
        <item x="177"/>
        <item x="135"/>
        <item x="682"/>
        <item x="837"/>
        <item x="660"/>
        <item x="16"/>
        <item x="866"/>
        <item x="454"/>
        <item x="37"/>
        <item x="401"/>
        <item x="386"/>
        <item x="802"/>
        <item x="524"/>
        <item x="352"/>
        <item x="459"/>
        <item x="452"/>
        <item x="342"/>
        <item x="665"/>
        <item x="30"/>
        <item x="219"/>
        <item x="369"/>
        <item x="349"/>
        <item x="688"/>
        <item x="309"/>
        <item x="246"/>
        <item x="576"/>
        <item x="250"/>
        <item x="543"/>
        <item x="65"/>
        <item x="103"/>
        <item x="533"/>
        <item x="564"/>
        <item x="636"/>
        <item x="289"/>
        <item x="575"/>
        <item x="823"/>
        <item x="278"/>
        <item x="109"/>
        <item x="631"/>
        <item x="39"/>
        <item x="620"/>
        <item x="42"/>
        <item x="498"/>
        <item x="740"/>
        <item x="433"/>
        <item x="538"/>
        <item x="408"/>
        <item x="49"/>
        <item x="192"/>
        <item x="803"/>
        <item x="426"/>
        <item x="706"/>
        <item x="149"/>
        <item x="164"/>
        <item x="117"/>
        <item x="862"/>
        <item x="689"/>
        <item x="224"/>
        <item x="855"/>
        <item x="381"/>
        <item x="5"/>
        <item x="395"/>
        <item x="151"/>
        <item x="509"/>
        <item x="598"/>
        <item x="60"/>
        <item x="292"/>
        <item x="523"/>
        <item x="798"/>
        <item x="717"/>
        <item x="4"/>
        <item x="141"/>
        <item x="41"/>
        <item x="299"/>
        <item x="822"/>
        <item x="618"/>
        <item x="104"/>
        <item x="614"/>
        <item x="128"/>
        <item x="628"/>
        <item x="465"/>
        <item x="154"/>
        <item x="486"/>
        <item x="443"/>
        <item x="548"/>
        <item x="819"/>
        <item x="657"/>
        <item x="40"/>
        <item x="766"/>
        <item x="649"/>
        <item x="267"/>
        <item x="611"/>
        <item x="751"/>
        <item x="824"/>
        <item x="420"/>
        <item x="748"/>
        <item x="319"/>
        <item x="263"/>
        <item x="268"/>
        <item x="253"/>
        <item x="641"/>
        <item x="166"/>
        <item x="310"/>
        <item x="48"/>
        <item x="716"/>
        <item x="482"/>
        <item x="629"/>
        <item x="755"/>
        <item x="463"/>
        <item x="415"/>
        <item x="218"/>
        <item x="474"/>
        <item x="2"/>
        <item x="676"/>
        <item x="170"/>
        <item x="873"/>
        <item x="20"/>
        <item x="428"/>
        <item x="400"/>
        <item x="270"/>
        <item x="713"/>
        <item x="159"/>
        <item x="851"/>
        <item x="79"/>
        <item x="707"/>
        <item x="190"/>
        <item x="585"/>
        <item x="390"/>
        <item x="240"/>
        <item x="787"/>
        <item x="409"/>
        <item x="207"/>
        <item x="202"/>
        <item x="438"/>
        <item x="812"/>
        <item x="308"/>
        <item x="393"/>
        <item x="535"/>
        <item x="78"/>
        <item x="421"/>
        <item x="630"/>
        <item x="142"/>
        <item x="544"/>
        <item x="106"/>
        <item x="110"/>
        <item x="845"/>
        <item x="101"/>
        <item x="779"/>
        <item x="220"/>
        <item x="125"/>
        <item x="559"/>
        <item x="439"/>
        <item x="214"/>
        <item x="573"/>
        <item x="520"/>
        <item x="182"/>
        <item x="644"/>
        <item x="55"/>
        <item x="295"/>
        <item x="315"/>
        <item x="66"/>
        <item x="329"/>
        <item x="692"/>
        <item x="14"/>
        <item x="147"/>
        <item x="98"/>
        <item x="785"/>
        <item x="294"/>
        <item x="429"/>
        <item x="829"/>
        <item x="57"/>
        <item x="838"/>
        <item x="708"/>
        <item x="842"/>
        <item x="172"/>
        <item x="385"/>
        <item x="510"/>
        <item x="201"/>
        <item x="777"/>
        <item x="493"/>
        <item x="534"/>
        <item x="379"/>
        <item x="281"/>
        <item x="525"/>
        <item x="407"/>
        <item x="638"/>
        <item x="287"/>
        <item x="878"/>
        <item x="446"/>
        <item x="242"/>
        <item x="36"/>
        <item x="305"/>
        <item x="742"/>
        <item x="697"/>
        <item x="15"/>
        <item x="605"/>
        <item x="608"/>
        <item x="726"/>
        <item x="668"/>
        <item x="600"/>
        <item x="874"/>
        <item x="88"/>
        <item x="619"/>
        <item x="727"/>
        <item x="137"/>
        <item x="191"/>
        <item x="643"/>
        <item x="642"/>
        <item x="365"/>
        <item x="92"/>
        <item x="436"/>
        <item x="531"/>
        <item x="282"/>
        <item x="371"/>
        <item x="350"/>
        <item x="425"/>
        <item x="260"/>
        <item x="809"/>
        <item x="521"/>
        <item x="33"/>
        <item x="719"/>
        <item x="831"/>
        <item x="364"/>
        <item x="337"/>
        <item x="539"/>
        <item x="430"/>
        <item x="343"/>
        <item x="380"/>
        <item x="330"/>
        <item x="679"/>
        <item x="77"/>
        <item x="687"/>
        <item x="464"/>
        <item x="81"/>
        <item x="781"/>
        <item x="355"/>
        <item x="578"/>
        <item x="43"/>
        <item x="722"/>
        <item x="165"/>
        <item x="94"/>
        <item x="26"/>
        <item x="47"/>
        <item x="119"/>
        <item x="844"/>
        <item x="663"/>
        <item x="171"/>
        <item x="723"/>
        <item x="440"/>
        <item x="12"/>
        <item x="189"/>
        <item x="144"/>
        <item x="784"/>
        <item x="478"/>
        <item x="472"/>
        <item x="517"/>
        <item x="596"/>
        <item x="553"/>
        <item x="232"/>
        <item x="715"/>
        <item x="225"/>
        <item x="458"/>
        <item x="228"/>
        <item x="815"/>
        <item x="776"/>
        <item x="238"/>
        <item x="675"/>
        <item x="704"/>
        <item x="392"/>
        <item x="810"/>
        <item x="56"/>
        <item x="728"/>
        <item x="84"/>
        <item x="326"/>
        <item x="90"/>
        <item x="213"/>
        <item x="18"/>
        <item x="118"/>
        <item x="519"/>
        <item x="262"/>
        <item x="859"/>
        <item x="360"/>
        <item x="264"/>
        <item x="331"/>
        <item x="609"/>
        <item x="114"/>
        <item x="603"/>
        <item x="504"/>
        <item x="327"/>
        <item x="175"/>
        <item x="738"/>
        <item x="729"/>
        <item x="306"/>
        <item x="195"/>
        <item x="157"/>
        <item x="87"/>
        <item x="599"/>
        <item x="863"/>
        <item x="373"/>
        <item x="550"/>
        <item x="759"/>
        <item x="560"/>
        <item x="745"/>
        <item x="6"/>
        <item x="680"/>
        <item x="734"/>
        <item x="671"/>
        <item x="419"/>
        <item x="339"/>
        <item x="374"/>
        <item x="11"/>
        <item x="328"/>
        <item x="311"/>
        <item x="174"/>
        <item x="714"/>
        <item x="811"/>
        <item x="615"/>
        <item x="645"/>
        <item x="790"/>
        <item x="752"/>
        <item x="563"/>
        <item x="376"/>
        <item x="198"/>
        <item x="75"/>
        <item x="806"/>
        <item x="678"/>
        <item x="44"/>
        <item x="750"/>
        <item x="860"/>
        <item x="762"/>
        <item x="334"/>
        <item x="735"/>
        <item x="204"/>
        <item x="484"/>
        <item x="406"/>
        <item x="789"/>
        <item x="594"/>
        <item x="325"/>
        <item x="703"/>
        <item x="457"/>
        <item x="70"/>
        <item x="168"/>
        <item x="377"/>
        <item x="453"/>
        <item x="571"/>
        <item x="332"/>
        <item x="91"/>
        <item x="276"/>
        <item x="794"/>
        <item x="475"/>
        <item x="768"/>
        <item x="469"/>
        <item x="621"/>
        <item x="737"/>
        <item x="616"/>
        <item x="647"/>
        <item x="580"/>
        <item x="473"/>
        <item x="513"/>
        <item x="526"/>
        <item x="424"/>
        <item x="661"/>
        <item x="512"/>
        <item x="275"/>
        <item x="196"/>
        <item x="303"/>
        <item x="502"/>
        <item x="258"/>
        <item x="586"/>
        <item x="537"/>
        <item x="540"/>
        <item x="775"/>
        <item x="58"/>
        <item x="664"/>
        <item x="252"/>
        <item x="290"/>
        <item x="179"/>
        <item x="505"/>
        <item x="239"/>
        <item x="656"/>
        <item x="23"/>
        <item x="764"/>
        <item x="348"/>
        <item x="353"/>
        <item x="832"/>
        <item x="389"/>
        <item x="384"/>
        <item x="266"/>
        <item x="542"/>
        <item x="514"/>
        <item x="29"/>
        <item x="396"/>
        <item x="733"/>
        <item x="416"/>
        <item x="255"/>
        <item x="323"/>
        <item x="854"/>
        <item x="3"/>
        <item x="441"/>
        <item x="541"/>
        <item x="244"/>
        <item x="760"/>
        <item x="455"/>
        <item x="248"/>
        <item x="279"/>
        <item x="283"/>
        <item x="725"/>
        <item x="626"/>
        <item x="410"/>
        <item x="345"/>
        <item x="80"/>
        <item x="93"/>
        <item x="445"/>
        <item x="362"/>
        <item x="361"/>
        <item x="865"/>
        <item x="696"/>
        <item x="652"/>
        <item x="68"/>
        <item x="86"/>
        <item x="588"/>
        <item x="227"/>
        <item x="772"/>
        <item x="437"/>
        <item x="450"/>
        <item x="532"/>
        <item x="133"/>
        <item x="847"/>
        <item x="516"/>
        <item x="765"/>
        <item x="297"/>
        <item x="617"/>
        <item x="383"/>
        <item x="116"/>
        <item x="495"/>
        <item x="134"/>
        <item x="879"/>
        <item x="581"/>
        <item x="460"/>
        <item x="492"/>
        <item x="635"/>
        <item x="746"/>
        <item x="793"/>
        <item x="681"/>
        <item x="300"/>
        <item x="265"/>
        <item x="555"/>
        <item x="527"/>
        <item x="507"/>
        <item x="567"/>
        <item x="152"/>
        <item x="743"/>
        <item x="584"/>
        <item x="731"/>
        <item x="595"/>
        <item x="451"/>
        <item x="659"/>
        <item x="817"/>
        <item x="470"/>
        <item x="138"/>
        <item x="758"/>
        <item x="382"/>
        <item x="435"/>
        <item x="480"/>
        <item x="269"/>
        <item x="145"/>
        <item x="354"/>
        <item x="69"/>
        <item x="405"/>
        <item x="461"/>
        <item x="27"/>
        <item x="795"/>
        <item x="358"/>
        <item x="867"/>
        <item x="113"/>
        <item x="285"/>
        <item x="808"/>
        <item x="418"/>
        <item x="566"/>
        <item x="274"/>
        <item x="864"/>
        <item x="489"/>
        <item x="732"/>
        <item x="485"/>
        <item x="592"/>
        <item x="561"/>
        <item x="487"/>
        <item x="414"/>
        <item x="667"/>
        <item x="695"/>
        <item x="589"/>
        <item x="442"/>
        <item x="712"/>
        <item x="59"/>
        <item x="622"/>
        <item x="522"/>
        <item x="131"/>
        <item x="402"/>
        <item x="613"/>
        <item x="388"/>
        <item x="481"/>
        <item x="848"/>
        <item x="467"/>
        <item x="95"/>
        <item x="73"/>
        <item x="646"/>
        <item x="721"/>
        <item x="633"/>
        <item x="783"/>
        <item x="296"/>
        <item x="574"/>
        <item x="807"/>
        <item x="181"/>
        <item x="799"/>
        <item x="739"/>
        <item x="146"/>
        <item x="397"/>
        <item x="226"/>
        <item x="683"/>
        <item x="378"/>
        <item x="545"/>
        <item x="359"/>
        <item x="140"/>
        <item x="530"/>
        <item x="317"/>
        <item x="398"/>
        <item x="32"/>
        <item x="690"/>
        <item x="718"/>
        <item x="607"/>
        <item x="193"/>
        <item x="399"/>
        <item x="850"/>
        <item x="670"/>
        <item t="default"/>
      </items>
    </pivotField>
    <pivotField compact="0" showAll="0">
      <items count="1001">
        <item x="873"/>
        <item x="605"/>
        <item x="868"/>
        <item x="482"/>
        <item x="201"/>
        <item x="478"/>
        <item x="606"/>
        <item x="99"/>
        <item x="937"/>
        <item x="880"/>
        <item x="720"/>
        <item x="265"/>
        <item x="556"/>
        <item x="213"/>
        <item x="162"/>
        <item x="646"/>
        <item x="339"/>
        <item x="869"/>
        <item x="13"/>
        <item x="127"/>
        <item x="928"/>
        <item x="8"/>
        <item x="112"/>
        <item x="227"/>
        <item x="972"/>
        <item x="817"/>
        <item x="628"/>
        <item x="912"/>
        <item x="439"/>
        <item x="296"/>
        <item x="781"/>
        <item x="948"/>
        <item x="641"/>
        <item x="218"/>
        <item x="752"/>
        <item x="783"/>
        <item x="987"/>
        <item x="934"/>
        <item x="623"/>
        <item x="990"/>
        <item x="464"/>
        <item x="882"/>
        <item x="483"/>
        <item x="1"/>
        <item x="301"/>
        <item x="128"/>
        <item x="594"/>
        <item x="955"/>
        <item x="936"/>
        <item x="839"/>
        <item x="496"/>
        <item x="45"/>
        <item x="242"/>
        <item x="747"/>
        <item x="101"/>
        <item x="779"/>
        <item x="549"/>
        <item x="578"/>
        <item x="190"/>
        <item x="978"/>
        <item x="829"/>
        <item x="38"/>
        <item x="210"/>
        <item x="796"/>
        <item x="193"/>
        <item x="441"/>
        <item x="981"/>
        <item x="716"/>
        <item x="232"/>
        <item x="872"/>
        <item x="700"/>
        <item x="31"/>
        <item x="547"/>
        <item x="63"/>
        <item x="901"/>
        <item x="252"/>
        <item x="619"/>
        <item x="850"/>
        <item x="367"/>
        <item x="195"/>
        <item x="652"/>
        <item x="962"/>
        <item x="450"/>
        <item x="814"/>
        <item x="241"/>
        <item x="357"/>
        <item x="409"/>
        <item x="664"/>
        <item x="546"/>
        <item x="589"/>
        <item x="715"/>
        <item x="503"/>
        <item x="719"/>
        <item x="535"/>
        <item x="746"/>
        <item x="723"/>
        <item x="10"/>
        <item x="336"/>
        <item x="900"/>
        <item x="416"/>
        <item x="879"/>
        <item x="192"/>
        <item x="270"/>
        <item x="260"/>
        <item x="842"/>
        <item x="109"/>
        <item x="413"/>
        <item x="763"/>
        <item x="185"/>
        <item x="28"/>
        <item x="687"/>
        <item x="22"/>
        <item x="256"/>
        <item x="540"/>
        <item x="471"/>
        <item x="864"/>
        <item x="333"/>
        <item x="620"/>
        <item x="46"/>
        <item x="576"/>
        <item x="352"/>
        <item x="533"/>
        <item x="131"/>
        <item x="648"/>
        <item x="784"/>
        <item x="83"/>
        <item x="537"/>
        <item x="725"/>
        <item x="910"/>
        <item x="845"/>
        <item x="968"/>
        <item x="54"/>
        <item x="97"/>
        <item x="683"/>
        <item x="539"/>
        <item x="77"/>
        <item x="215"/>
        <item x="191"/>
        <item x="440"/>
        <item x="150"/>
        <item x="495"/>
        <item x="64"/>
        <item x="765"/>
        <item x="387"/>
        <item x="133"/>
        <item x="147"/>
        <item x="890"/>
        <item x="739"/>
        <item x="245"/>
        <item x="618"/>
        <item x="905"/>
        <item x="630"/>
        <item x="467"/>
        <item x="532"/>
        <item x="432"/>
        <item x="134"/>
        <item x="305"/>
        <item x="98"/>
        <item x="702"/>
        <item x="19"/>
        <item x="970"/>
        <item x="481"/>
        <item x="645"/>
        <item x="743"/>
        <item x="384"/>
        <item x="536"/>
        <item x="601"/>
        <item x="284"/>
        <item x="160"/>
        <item x="457"/>
        <item x="329"/>
        <item x="366"/>
        <item x="748"/>
        <item x="196"/>
        <item x="21"/>
        <item x="34"/>
        <item x="740"/>
        <item x="808"/>
        <item x="509"/>
        <item x="642"/>
        <item x="611"/>
        <item x="119"/>
        <item x="309"/>
        <item x="169"/>
        <item x="854"/>
        <item x="902"/>
        <item x="971"/>
        <item x="317"/>
        <item x="975"/>
        <item x="895"/>
        <item x="704"/>
        <item x="877"/>
        <item x="438"/>
        <item x="977"/>
        <item x="17"/>
        <item x="634"/>
        <item x="337"/>
        <item x="184"/>
        <item x="166"/>
        <item x="505"/>
        <item x="896"/>
        <item x="871"/>
        <item x="921"/>
        <item x="795"/>
        <item x="244"/>
        <item x="208"/>
        <item x="665"/>
        <item x="615"/>
        <item x="155"/>
        <item x="521"/>
        <item x="340"/>
        <item x="552"/>
        <item x="267"/>
        <item x="272"/>
        <item x="130"/>
        <item x="956"/>
        <item x="103"/>
        <item x="331"/>
        <item x="140"/>
        <item x="268"/>
        <item x="851"/>
        <item x="731"/>
        <item x="341"/>
        <item x="866"/>
        <item x="944"/>
        <item x="304"/>
        <item x="929"/>
        <item x="514"/>
        <item x="526"/>
        <item x="697"/>
        <item x="50"/>
        <item x="90"/>
        <item x="994"/>
        <item x="774"/>
        <item x="952"/>
        <item x="72"/>
        <item x="308"/>
        <item x="108"/>
        <item x="943"/>
        <item x="991"/>
        <item x="461"/>
        <item x="764"/>
        <item x="772"/>
        <item x="182"/>
        <item x="775"/>
        <item x="638"/>
        <item x="289"/>
        <item x="55"/>
        <item x="787"/>
        <item x="7"/>
        <item x="102"/>
        <item x="529"/>
        <item x="596"/>
        <item x="732"/>
        <item x="528"/>
        <item x="222"/>
        <item x="633"/>
        <item x="84"/>
        <item x="179"/>
        <item x="690"/>
        <item x="499"/>
        <item x="815"/>
        <item x="226"/>
        <item x="299"/>
        <item x="354"/>
        <item x="867"/>
        <item x="143"/>
        <item x="718"/>
        <item x="965"/>
        <item x="153"/>
        <item x="749"/>
        <item x="9"/>
        <item x="475"/>
        <item x="661"/>
        <item x="798"/>
        <item x="25"/>
        <item x="429"/>
        <item x="297"/>
        <item x="858"/>
        <item x="695"/>
        <item x="999"/>
        <item x="823"/>
        <item x="462"/>
        <item x="258"/>
        <item x="234"/>
        <item x="392"/>
        <item x="560"/>
        <item x="714"/>
        <item x="811"/>
        <item x="517"/>
        <item x="292"/>
        <item x="621"/>
        <item x="328"/>
        <item x="73"/>
        <item x="359"/>
        <item x="377"/>
        <item x="853"/>
        <item x="111"/>
        <item x="426"/>
        <item x="603"/>
        <item x="945"/>
        <item x="246"/>
        <item x="62"/>
        <item x="769"/>
        <item x="75"/>
        <item x="939"/>
        <item x="225"/>
        <item x="942"/>
        <item x="484"/>
        <item x="164"/>
        <item x="35"/>
        <item x="728"/>
        <item x="334"/>
        <item x="477"/>
        <item x="989"/>
        <item x="428"/>
        <item x="360"/>
        <item x="906"/>
        <item x="682"/>
        <item x="397"/>
        <item x="220"/>
        <item x="445"/>
        <item x="451"/>
        <item x="935"/>
        <item x="782"/>
        <item x="894"/>
        <item x="173"/>
        <item x="659"/>
        <item x="318"/>
        <item x="288"/>
        <item x="686"/>
        <item x="455"/>
        <item x="323"/>
        <item x="283"/>
        <item x="167"/>
        <item x="209"/>
        <item x="712"/>
        <item x="515"/>
        <item x="52"/>
        <item x="203"/>
        <item x="168"/>
        <item x="389"/>
        <item x="506"/>
        <item x="206"/>
        <item x="248"/>
        <item x="889"/>
        <item x="570"/>
        <item x="891"/>
        <item x="656"/>
        <item x="124"/>
        <item x="363"/>
        <item x="51"/>
        <item x="966"/>
        <item x="951"/>
        <item x="760"/>
        <item x="371"/>
        <item x="887"/>
        <item x="789"/>
        <item x="430"/>
        <item x="421"/>
        <item x="262"/>
        <item x="240"/>
        <item x="922"/>
        <item x="735"/>
        <item x="314"/>
        <item x="282"/>
        <item x="355"/>
        <item x="343"/>
        <item x="254"/>
        <item x="657"/>
        <item x="221"/>
        <item x="946"/>
        <item x="573"/>
        <item x="0"/>
        <item x="643"/>
        <item x="187"/>
        <item x="848"/>
        <item x="813"/>
        <item x="390"/>
        <item x="688"/>
        <item x="785"/>
        <item x="860"/>
        <item x="543"/>
        <item x="996"/>
        <item x="491"/>
        <item x="247"/>
        <item x="233"/>
        <item x="136"/>
        <item x="703"/>
        <item x="836"/>
        <item x="126"/>
        <item x="330"/>
        <item x="762"/>
        <item x="571"/>
        <item x="926"/>
        <item x="988"/>
        <item x="175"/>
        <item x="541"/>
        <item x="675"/>
        <item x="907"/>
        <item x="913"/>
        <item x="581"/>
        <item x="598"/>
        <item x="365"/>
        <item x="194"/>
        <item x="685"/>
        <item x="228"/>
        <item x="125"/>
        <item x="86"/>
        <item x="115"/>
        <item x="721"/>
        <item x="183"/>
        <item x="68"/>
        <item x="776"/>
        <item x="116"/>
        <item x="607"/>
        <item x="161"/>
        <item x="216"/>
        <item x="766"/>
        <item x="65"/>
        <item x="995"/>
        <item x="908"/>
        <item x="753"/>
        <item x="24"/>
        <item x="671"/>
        <item x="668"/>
        <item x="953"/>
        <item x="320"/>
        <item x="361"/>
        <item x="16"/>
        <item x="768"/>
        <item x="37"/>
        <item x="105"/>
        <item x="833"/>
        <item x="425"/>
        <item x="158"/>
        <item x="794"/>
        <item x="325"/>
        <item x="566"/>
        <item x="947"/>
        <item x="408"/>
        <item x="559"/>
        <item x="219"/>
        <item x="577"/>
        <item x="30"/>
        <item x="680"/>
        <item x="793"/>
        <item x="593"/>
        <item x="924"/>
        <item x="113"/>
        <item x="106"/>
        <item x="290"/>
        <item x="257"/>
        <item x="959"/>
        <item x="376"/>
        <item x="626"/>
        <item x="950"/>
        <item x="770"/>
        <item x="759"/>
        <item x="372"/>
        <item x="394"/>
        <item x="230"/>
        <item x="302"/>
        <item x="200"/>
        <item x="139"/>
        <item x="985"/>
        <item x="494"/>
        <item x="487"/>
        <item x="489"/>
        <item x="42"/>
        <item x="454"/>
        <item x="733"/>
        <item x="66"/>
        <item x="583"/>
        <item x="39"/>
        <item x="418"/>
        <item x="435"/>
        <item x="4"/>
        <item x="931"/>
        <item x="738"/>
        <item x="261"/>
        <item x="911"/>
        <item x="170"/>
        <item x="790"/>
        <item x="538"/>
        <item x="391"/>
        <item x="41"/>
        <item x="614"/>
        <item x="235"/>
        <item x="61"/>
        <item x="369"/>
        <item x="590"/>
        <item x="49"/>
        <item x="694"/>
        <item x="653"/>
        <item x="315"/>
        <item x="627"/>
        <item x="417"/>
        <item x="121"/>
        <item x="885"/>
        <item x="278"/>
        <item x="595"/>
        <item x="713"/>
        <item x="154"/>
        <item x="699"/>
        <item x="5"/>
        <item x="903"/>
        <item x="463"/>
        <item x="565"/>
        <item x="306"/>
        <item x="863"/>
        <item x="502"/>
        <item x="835"/>
        <item x="156"/>
        <item x="673"/>
        <item x="132"/>
        <item x="976"/>
        <item x="847"/>
        <item x="338"/>
        <item x="403"/>
        <item x="969"/>
        <item x="524"/>
        <item x="820"/>
        <item x="159"/>
        <item x="909"/>
        <item x="460"/>
        <item x="932"/>
        <item x="930"/>
        <item x="726"/>
        <item x="326"/>
        <item x="550"/>
        <item x="40"/>
        <item x="980"/>
        <item x="512"/>
        <item x="107"/>
        <item x="145"/>
        <item x="172"/>
        <item x="678"/>
        <item x="727"/>
        <item x="805"/>
        <item x="424"/>
        <item x="799"/>
        <item x="691"/>
        <item x="443"/>
        <item x="852"/>
        <item x="927"/>
        <item x="844"/>
        <item x="198"/>
        <item x="448"/>
        <item x="692"/>
        <item x="476"/>
        <item x="670"/>
        <item x="984"/>
        <item x="933"/>
        <item x="229"/>
        <item x="612"/>
        <item x="520"/>
        <item x="449"/>
        <item x="379"/>
        <item x="264"/>
        <item x="591"/>
        <item x="412"/>
        <item x="958"/>
        <item x="500"/>
        <item x="104"/>
        <item x="281"/>
        <item x="992"/>
        <item x="48"/>
        <item x="279"/>
        <item x="79"/>
        <item x="2"/>
        <item x="751"/>
        <item x="470"/>
        <item x="110"/>
        <item x="938"/>
        <item x="129"/>
        <item x="436"/>
        <item x="274"/>
        <item x="415"/>
        <item x="705"/>
        <item x="165"/>
        <item x="212"/>
        <item x="964"/>
        <item x="176"/>
        <item x="804"/>
        <item x="562"/>
        <item x="20"/>
        <item x="332"/>
        <item x="920"/>
        <item x="324"/>
        <item x="800"/>
        <item x="469"/>
        <item x="14"/>
        <item x="307"/>
        <item x="791"/>
        <item x="80"/>
        <item x="580"/>
        <item x="458"/>
        <item x="456"/>
        <item x="348"/>
        <item x="407"/>
        <item x="888"/>
        <item x="693"/>
        <item x="224"/>
        <item x="251"/>
        <item x="146"/>
        <item x="878"/>
        <item x="231"/>
        <item x="551"/>
        <item x="579"/>
        <item x="480"/>
        <item x="624"/>
        <item x="217"/>
        <item x="401"/>
        <item x="756"/>
        <item x="730"/>
        <item x="100"/>
        <item x="636"/>
        <item x="310"/>
        <item x="818"/>
        <item x="708"/>
        <item x="56"/>
        <item x="58"/>
        <item x="321"/>
        <item x="608"/>
        <item x="388"/>
        <item x="67"/>
        <item x="189"/>
        <item x="114"/>
        <item x="792"/>
        <item x="434"/>
        <item x="211"/>
        <item x="152"/>
        <item x="701"/>
        <item x="679"/>
        <item x="311"/>
        <item x="662"/>
        <item x="954"/>
        <item x="876"/>
        <item x="940"/>
        <item x="386"/>
        <item x="370"/>
        <item x="178"/>
        <item x="773"/>
        <item x="15"/>
        <item x="886"/>
        <item x="722"/>
        <item x="780"/>
        <item x="660"/>
        <item x="402"/>
        <item x="453"/>
        <item x="949"/>
        <item x="531"/>
        <item x="706"/>
        <item x="356"/>
        <item x="997"/>
        <item x="655"/>
        <item x="349"/>
        <item x="78"/>
        <item x="89"/>
        <item x="253"/>
        <item x="567"/>
        <item x="843"/>
        <item x="293"/>
        <item x="563"/>
        <item x="385"/>
        <item x="459"/>
        <item x="742"/>
        <item x="466"/>
        <item x="141"/>
        <item x="47"/>
        <item x="271"/>
        <item x="294"/>
        <item x="300"/>
        <item x="36"/>
        <item x="837"/>
        <item x="199"/>
        <item x="197"/>
        <item x="917"/>
        <item x="600"/>
        <item x="993"/>
        <item x="393"/>
        <item x="651"/>
        <item x="43"/>
        <item x="807"/>
        <item x="819"/>
        <item x="666"/>
        <item x="375"/>
        <item x="574"/>
        <item x="602"/>
        <item x="236"/>
        <item x="584"/>
        <item x="345"/>
        <item x="707"/>
        <item x="91"/>
        <item x="510"/>
        <item x="881"/>
        <item x="501"/>
        <item x="875"/>
        <item x="93"/>
        <item x="33"/>
        <item x="85"/>
        <item x="669"/>
        <item x="810"/>
        <item x="918"/>
        <item x="322"/>
        <item x="755"/>
        <item x="88"/>
        <item x="831"/>
        <item x="362"/>
        <item x="472"/>
        <item x="973"/>
        <item x="979"/>
        <item x="118"/>
        <item x="6"/>
        <item x="856"/>
        <item x="767"/>
        <item x="122"/>
        <item x="26"/>
        <item x="171"/>
        <item x="53"/>
        <item x="18"/>
        <item x="123"/>
        <item x="884"/>
        <item x="346"/>
        <item x="658"/>
        <item x="239"/>
        <item x="821"/>
        <item x="223"/>
        <item x="82"/>
        <item x="12"/>
        <item x="629"/>
        <item x="757"/>
        <item x="347"/>
        <item x="586"/>
        <item x="834"/>
        <item x="674"/>
        <item x="654"/>
        <item x="750"/>
        <item x="736"/>
        <item x="803"/>
        <item x="95"/>
        <item x="561"/>
        <item x="273"/>
        <item x="395"/>
        <item x="181"/>
        <item x="148"/>
        <item x="275"/>
        <item x="243"/>
        <item x="544"/>
        <item x="350"/>
        <item x="163"/>
        <item x="516"/>
        <item x="788"/>
        <item x="597"/>
        <item x="812"/>
        <item x="745"/>
        <item x="493"/>
        <item x="840"/>
        <item x="177"/>
        <item x="957"/>
        <item x="249"/>
        <item x="558"/>
        <item x="923"/>
        <item x="849"/>
        <item x="893"/>
        <item x="919"/>
        <item x="414"/>
        <item x="859"/>
        <item x="214"/>
        <item x="57"/>
        <item x="44"/>
        <item x="827"/>
        <item x="667"/>
        <item x="381"/>
        <item x="822"/>
        <item x="846"/>
        <item x="522"/>
        <item x="204"/>
        <item x="709"/>
        <item x="914"/>
        <item x="609"/>
        <item x="180"/>
        <item x="433"/>
        <item x="351"/>
        <item x="676"/>
        <item x="647"/>
        <item x="507"/>
        <item x="801"/>
        <item x="207"/>
        <item x="974"/>
        <item x="358"/>
        <item x="398"/>
        <item x="396"/>
        <item x="327"/>
        <item x="92"/>
        <item x="649"/>
        <item x="892"/>
        <item x="447"/>
        <item x="11"/>
        <item x="174"/>
        <item x="205"/>
        <item x="754"/>
        <item x="585"/>
        <item x="711"/>
        <item x="287"/>
        <item x="874"/>
        <item x="622"/>
        <item x="513"/>
        <item x="613"/>
        <item x="488"/>
        <item x="59"/>
        <item x="76"/>
        <item x="71"/>
        <item x="828"/>
        <item x="277"/>
        <item x="511"/>
        <item x="399"/>
        <item x="269"/>
        <item x="830"/>
        <item x="555"/>
        <item x="411"/>
        <item x="353"/>
        <item x="587"/>
        <item x="255"/>
        <item x="631"/>
        <item x="786"/>
        <item x="250"/>
        <item x="344"/>
        <item x="492"/>
        <item x="553"/>
        <item x="599"/>
        <item x="898"/>
        <item x="186"/>
        <item x="802"/>
        <item x="865"/>
        <item x="681"/>
        <item x="861"/>
        <item x="368"/>
        <item x="582"/>
        <item x="554"/>
        <item x="23"/>
        <item x="266"/>
        <item x="29"/>
        <item x="303"/>
        <item x="319"/>
        <item x="545"/>
        <item x="364"/>
        <item x="857"/>
        <item x="452"/>
        <item x="3"/>
        <item x="637"/>
        <item x="542"/>
        <item x="286"/>
        <item x="568"/>
        <item x="490"/>
        <item x="734"/>
        <item x="69"/>
        <item x="419"/>
        <item x="778"/>
        <item x="737"/>
        <item x="485"/>
        <item x="87"/>
        <item x="263"/>
        <item x="588"/>
        <item x="291"/>
        <item x="870"/>
        <item x="468"/>
        <item x="342"/>
        <item x="724"/>
        <item x="473"/>
        <item x="967"/>
        <item x="295"/>
        <item x="983"/>
        <item x="444"/>
        <item x="405"/>
        <item x="373"/>
        <item x="826"/>
        <item x="406"/>
        <item x="717"/>
        <item x="534"/>
        <item x="81"/>
        <item x="941"/>
        <item x="94"/>
        <item x="313"/>
        <item x="238"/>
        <item x="479"/>
        <item x="120"/>
        <item x="639"/>
        <item x="816"/>
        <item x="259"/>
        <item x="689"/>
        <item x="569"/>
        <item x="437"/>
        <item x="635"/>
        <item x="897"/>
        <item x="575"/>
        <item x="383"/>
        <item x="137"/>
        <item x="138"/>
        <item x="382"/>
        <item x="998"/>
        <item x="862"/>
        <item x="925"/>
        <item x="404"/>
        <item x="486"/>
        <item x="518"/>
        <item x="960"/>
        <item x="899"/>
        <item x="465"/>
        <item x="841"/>
        <item x="557"/>
        <item x="27"/>
        <item x="497"/>
        <item x="498"/>
        <item x="280"/>
        <item x="374"/>
        <item x="632"/>
        <item x="604"/>
        <item x="149"/>
        <item x="316"/>
        <item x="677"/>
        <item x="508"/>
        <item x="698"/>
        <item x="378"/>
        <item x="758"/>
        <item x="530"/>
        <item x="157"/>
        <item x="142"/>
        <item x="525"/>
        <item x="617"/>
        <item x="276"/>
        <item x="650"/>
        <item x="825"/>
        <item x="285"/>
        <item x="982"/>
        <item x="548"/>
        <item x="442"/>
        <item x="298"/>
        <item x="523"/>
        <item x="729"/>
        <item x="838"/>
        <item x="916"/>
        <item x="777"/>
        <item x="986"/>
        <item x="616"/>
        <item x="672"/>
        <item x="961"/>
        <item x="135"/>
        <item x="824"/>
        <item x="610"/>
        <item x="70"/>
        <item x="644"/>
        <item x="60"/>
        <item x="74"/>
        <item x="504"/>
        <item x="855"/>
        <item x="809"/>
        <item x="431"/>
        <item x="117"/>
        <item x="527"/>
        <item x="446"/>
        <item x="915"/>
        <item x="684"/>
        <item x="741"/>
        <item x="797"/>
        <item x="420"/>
        <item x="427"/>
        <item x="710"/>
        <item x="410"/>
        <item x="474"/>
        <item x="832"/>
        <item x="151"/>
        <item x="519"/>
        <item x="696"/>
        <item x="380"/>
        <item x="640"/>
        <item x="572"/>
        <item x="564"/>
        <item x="237"/>
        <item x="761"/>
        <item x="96"/>
        <item x="32"/>
        <item x="806"/>
        <item x="904"/>
        <item x="625"/>
        <item x="312"/>
        <item x="883"/>
        <item x="771"/>
        <item x="422"/>
        <item x="400"/>
        <item x="188"/>
        <item x="423"/>
        <item x="144"/>
        <item x="592"/>
        <item x="335"/>
        <item x="663"/>
        <item x="963"/>
        <item x="202"/>
        <item x="744"/>
        <item t="default"/>
      </items>
    </pivotField>
    <pivotField compact="0" showAll="0">
      <items count="1000">
        <item x="872"/>
        <item x="605"/>
        <item x="99"/>
        <item x="719"/>
        <item x="482"/>
        <item x="646"/>
        <item x="556"/>
        <item x="478"/>
        <item x="867"/>
        <item x="201"/>
        <item x="127"/>
        <item x="227"/>
        <item x="868"/>
        <item x="606"/>
        <item x="628"/>
        <item x="13"/>
        <item x="971"/>
        <item x="936"/>
        <item x="927"/>
        <item x="816"/>
        <item x="8"/>
        <item x="879"/>
        <item x="265"/>
        <item x="112"/>
        <item x="213"/>
        <item x="933"/>
        <item x="162"/>
        <item x="339"/>
        <item x="45"/>
        <item x="464"/>
        <item x="496"/>
        <item x="989"/>
        <item x="782"/>
        <item x="218"/>
        <item x="483"/>
        <item x="751"/>
        <item x="947"/>
        <item x="623"/>
        <item x="641"/>
        <item x="439"/>
        <item x="441"/>
        <item x="549"/>
        <item x="296"/>
        <item x="241"/>
        <item x="210"/>
        <item x="911"/>
        <item x="367"/>
        <item x="547"/>
        <item x="778"/>
        <item x="986"/>
        <item x="589"/>
        <item x="195"/>
        <item x="935"/>
        <item x="193"/>
        <item x="715"/>
        <item x="899"/>
        <item x="1"/>
        <item x="413"/>
        <item x="961"/>
        <item x="242"/>
        <item x="535"/>
        <item x="578"/>
        <item x="780"/>
        <item x="594"/>
        <item x="746"/>
        <item x="699"/>
        <item x="10"/>
        <item x="190"/>
        <item x="101"/>
        <item x="828"/>
        <item x="450"/>
        <item x="63"/>
        <item x="838"/>
        <item x="46"/>
        <item x="954"/>
        <item x="977"/>
        <item x="881"/>
        <item x="260"/>
        <item x="652"/>
        <item x="301"/>
        <item x="619"/>
        <item x="256"/>
        <item x="128"/>
        <item x="871"/>
        <item x="738"/>
        <item x="387"/>
        <item x="533"/>
        <item x="409"/>
        <item x="38"/>
        <item x="252"/>
        <item x="900"/>
        <item x="232"/>
        <item x="305"/>
        <item x="687"/>
        <item x="98"/>
        <item x="336"/>
        <item x="722"/>
        <item x="878"/>
        <item x="795"/>
        <item x="747"/>
        <item x="503"/>
        <item x="21"/>
        <item x="980"/>
        <item x="532"/>
        <item x="77"/>
        <item x="642"/>
        <item x="34"/>
        <item x="714"/>
        <item x="546"/>
        <item x="185"/>
        <item x="357"/>
        <item x="196"/>
        <item x="539"/>
        <item x="495"/>
        <item x="742"/>
        <item x="150"/>
        <item x="31"/>
        <item x="28"/>
        <item x="457"/>
        <item x="849"/>
        <item x="664"/>
        <item x="416"/>
        <item x="703"/>
        <item x="618"/>
        <item x="215"/>
        <item x="955"/>
        <item x="467"/>
        <item x="841"/>
        <item x="620"/>
        <item x="54"/>
        <item x="329"/>
        <item x="813"/>
        <item x="83"/>
        <item x="540"/>
        <item x="764"/>
        <item x="648"/>
        <item x="526"/>
        <item x="724"/>
        <item x="133"/>
        <item x="134"/>
        <item x="270"/>
        <item x="901"/>
        <item x="863"/>
        <item x="245"/>
        <item x="894"/>
        <item x="192"/>
        <item x="109"/>
        <item x="337"/>
        <item x="384"/>
        <item x="108"/>
        <item x="191"/>
        <item x="19"/>
        <item x="537"/>
        <item x="615"/>
        <item x="718"/>
        <item x="763"/>
        <item x="889"/>
        <item x="576"/>
        <item x="97"/>
        <item x="147"/>
        <item x="340"/>
        <item x="366"/>
        <item x="352"/>
        <item x="745"/>
        <item x="665"/>
        <item x="807"/>
        <item x="22"/>
        <item x="333"/>
        <item x="762"/>
        <item x="783"/>
        <item x="634"/>
        <item x="17"/>
        <item x="268"/>
        <item x="528"/>
        <item x="432"/>
        <item x="471"/>
        <item x="90"/>
        <item x="308"/>
        <item x="683"/>
        <item x="739"/>
        <item x="461"/>
        <item x="844"/>
        <item x="876"/>
        <item x="870"/>
        <item x="661"/>
        <item x="696"/>
        <item x="967"/>
        <item x="974"/>
        <item x="976"/>
        <item x="160"/>
        <item x="284"/>
        <item x="904"/>
        <item x="730"/>
        <item x="55"/>
        <item x="943"/>
        <item x="920"/>
        <item x="297"/>
        <item x="701"/>
        <item x="774"/>
        <item x="438"/>
        <item x="155"/>
        <item x="633"/>
        <item x="131"/>
        <item x="517"/>
        <item x="317"/>
        <item x="638"/>
        <item x="462"/>
        <item x="909"/>
        <item x="64"/>
        <item x="905"/>
        <item x="429"/>
        <item x="440"/>
        <item x="509"/>
        <item x="630"/>
        <item x="866"/>
        <item x="969"/>
        <item x="645"/>
        <item x="514"/>
        <item x="505"/>
        <item x="521"/>
        <item x="428"/>
        <item x="794"/>
        <item x="601"/>
        <item x="970"/>
        <item x="111"/>
        <item x="690"/>
        <item x="748"/>
        <item x="659"/>
        <item x="865"/>
        <item x="246"/>
        <item x="426"/>
        <item x="208"/>
        <item x="119"/>
        <item x="928"/>
        <item x="267"/>
        <item x="481"/>
        <item x="852"/>
        <item x="853"/>
        <item x="506"/>
        <item x="993"/>
        <item x="222"/>
        <item x="363"/>
        <item x="682"/>
        <item x="225"/>
        <item x="73"/>
        <item x="169"/>
        <item x="895"/>
        <item x="309"/>
        <item x="445"/>
        <item x="184"/>
        <item x="611"/>
        <item x="536"/>
        <item x="140"/>
        <item x="771"/>
        <item x="226"/>
        <item x="711"/>
        <item x="990"/>
        <item x="166"/>
        <item x="244"/>
        <item x="334"/>
        <item x="299"/>
        <item x="292"/>
        <item x="850"/>
        <item x="360"/>
        <item x="397"/>
        <item x="289"/>
        <item x="272"/>
        <item x="938"/>
        <item x="7"/>
        <item x="560"/>
        <item x="529"/>
        <item x="323"/>
        <item x="136"/>
        <item x="130"/>
        <item x="248"/>
        <item x="50"/>
        <item x="797"/>
        <item x="822"/>
        <item x="328"/>
        <item x="552"/>
        <item x="942"/>
        <item x="182"/>
        <item x="103"/>
        <item x="499"/>
        <item x="314"/>
        <item x="951"/>
        <item x="65"/>
        <item x="234"/>
        <item x="341"/>
        <item x="786"/>
        <item x="175"/>
        <item x="75"/>
        <item x="331"/>
        <item x="934"/>
        <item x="675"/>
        <item x="84"/>
        <item x="143"/>
        <item x="893"/>
        <item x="209"/>
        <item x="254"/>
        <item x="596"/>
        <item x="455"/>
        <item x="102"/>
        <item x="359"/>
        <item x="354"/>
        <item x="964"/>
        <item x="304"/>
        <item x="355"/>
        <item x="179"/>
        <item x="318"/>
        <item x="671"/>
        <item x="668"/>
        <item x="25"/>
        <item x="621"/>
        <item x="475"/>
        <item x="773"/>
        <item x="392"/>
        <item x="72"/>
        <item x="945"/>
        <item x="9"/>
        <item x="784"/>
        <item x="377"/>
        <item x="912"/>
        <item x="570"/>
        <item x="390"/>
        <item x="240"/>
        <item x="573"/>
        <item x="694"/>
        <item x="173"/>
        <item x="832"/>
        <item x="593"/>
        <item x="581"/>
        <item x="788"/>
        <item x="153"/>
        <item x="998"/>
        <item x="944"/>
        <item x="86"/>
        <item x="288"/>
        <item x="921"/>
        <item x="941"/>
        <item x="394"/>
        <item x="657"/>
        <item x="389"/>
        <item x="164"/>
        <item x="62"/>
        <item x="792"/>
        <item x="258"/>
        <item x="734"/>
        <item x="598"/>
        <item x="35"/>
        <item x="958"/>
        <item x="343"/>
        <item x="731"/>
        <item x="814"/>
        <item x="835"/>
        <item x="161"/>
        <item x="732"/>
        <item x="484"/>
        <item x="219"/>
        <item x="686"/>
        <item x="812"/>
        <item x="720"/>
        <item x="203"/>
        <item x="139"/>
        <item x="768"/>
        <item x="717"/>
        <item x="688"/>
        <item x="765"/>
        <item x="781"/>
        <item x="233"/>
        <item x="752"/>
        <item x="603"/>
        <item x="987"/>
        <item x="984"/>
        <item x="949"/>
        <item x="477"/>
        <item x="421"/>
        <item x="727"/>
        <item x="221"/>
        <item x="116"/>
        <item x="330"/>
        <item x="376"/>
        <item x="220"/>
        <item x="571"/>
        <item x="857"/>
        <item x="187"/>
        <item x="24"/>
        <item x="656"/>
        <item x="543"/>
        <item x="713"/>
        <item x="489"/>
        <item x="320"/>
        <item x="51"/>
        <item x="758"/>
        <item x="834"/>
        <item x="627"/>
        <item x="698"/>
        <item x="369"/>
        <item x="810"/>
        <item x="125"/>
        <item x="52"/>
        <item x="737"/>
        <item x="923"/>
        <item x="952"/>
        <item x="124"/>
        <item x="451"/>
        <item x="847"/>
        <item x="550"/>
        <item x="890"/>
        <item x="68"/>
        <item x="158"/>
        <item x="391"/>
        <item x="804"/>
        <item x="371"/>
        <item x="761"/>
        <item x="430"/>
        <item x="888"/>
        <item x="988"/>
        <item x="643"/>
        <item x="206"/>
        <item x="282"/>
        <item x="793"/>
        <item x="167"/>
        <item x="494"/>
        <item x="798"/>
        <item x="372"/>
        <item x="487"/>
        <item x="463"/>
        <item x="216"/>
        <item x="932"/>
        <item x="590"/>
        <item x="968"/>
        <item x="702"/>
        <item x="965"/>
        <item x="685"/>
        <item x="975"/>
        <item x="283"/>
        <item x="403"/>
        <item x="994"/>
        <item x="476"/>
        <item x="145"/>
        <item x="691"/>
        <item x="261"/>
        <item x="168"/>
        <item x="274"/>
        <item x="515"/>
        <item x="678"/>
        <item x="230"/>
        <item x="950"/>
        <item x="759"/>
        <item x="614"/>
        <item x="704"/>
        <item x="693"/>
        <item x="262"/>
        <item x="995"/>
        <item x="803"/>
        <item x="107"/>
        <item x="491"/>
        <item x="926"/>
        <item x="886"/>
        <item x="156"/>
        <item x="105"/>
        <item x="946"/>
        <item x="729"/>
        <item x="247"/>
        <item x="859"/>
        <item x="66"/>
        <item x="775"/>
        <item x="929"/>
        <item x="0"/>
        <item x="906"/>
        <item x="636"/>
        <item x="930"/>
        <item x="279"/>
        <item x="194"/>
        <item x="541"/>
        <item x="154"/>
        <item x="607"/>
        <item x="126"/>
        <item x="925"/>
        <item x="408"/>
        <item x="257"/>
        <item x="306"/>
        <item x="559"/>
        <item x="39"/>
        <item x="425"/>
        <item x="16"/>
        <item x="566"/>
        <item x="302"/>
        <item x="37"/>
        <item x="565"/>
        <item x="538"/>
        <item x="49"/>
        <item x="670"/>
        <item x="365"/>
        <item x="5"/>
        <item x="884"/>
        <item x="456"/>
        <item x="121"/>
        <item x="228"/>
        <item x="264"/>
        <item x="30"/>
        <item x="42"/>
        <item x="48"/>
        <item x="217"/>
        <item x="159"/>
        <item x="183"/>
        <item x="626"/>
        <item x="583"/>
        <item x="417"/>
        <item x="524"/>
        <item x="132"/>
        <item x="115"/>
        <item x="435"/>
        <item x="673"/>
        <item x="251"/>
        <item x="910"/>
        <item x="106"/>
        <item x="176"/>
        <item x="902"/>
        <item x="448"/>
        <item x="725"/>
        <item x="40"/>
        <item x="789"/>
        <item x="300"/>
        <item x="307"/>
        <item x="948"/>
        <item x="235"/>
        <item x="907"/>
        <item x="80"/>
        <item x="114"/>
        <item x="290"/>
        <item x="20"/>
        <item x="170"/>
        <item x="790"/>
        <item x="325"/>
        <item x="799"/>
        <item x="843"/>
        <item x="767"/>
        <item x="361"/>
        <item x="885"/>
        <item x="772"/>
        <item x="113"/>
        <item x="36"/>
        <item x="666"/>
        <item x="502"/>
        <item x="388"/>
        <item x="454"/>
        <item x="887"/>
        <item x="819"/>
        <item x="200"/>
        <item x="653"/>
        <item x="836"/>
        <item x="612"/>
        <item x="2"/>
        <item x="577"/>
        <item x="293"/>
        <item x="500"/>
        <item x="61"/>
        <item x="93"/>
        <item x="963"/>
        <item x="669"/>
        <item x="520"/>
        <item x="311"/>
        <item x="750"/>
        <item x="706"/>
        <item x="680"/>
        <item x="82"/>
        <item x="165"/>
        <item x="983"/>
        <item x="567"/>
        <item x="379"/>
        <item x="418"/>
        <item x="362"/>
        <item x="608"/>
        <item x="991"/>
        <item x="315"/>
        <item x="992"/>
        <item x="189"/>
        <item x="818"/>
        <item x="931"/>
        <item x="769"/>
        <item x="146"/>
        <item x="956"/>
        <item x="629"/>
        <item x="229"/>
        <item x="862"/>
        <item x="692"/>
        <item x="41"/>
        <item x="253"/>
        <item x="469"/>
        <item x="586"/>
        <item x="172"/>
        <item x="95"/>
        <item x="152"/>
        <item x="33"/>
        <item x="531"/>
        <item x="67"/>
        <item x="846"/>
        <item x="726"/>
        <item x="4"/>
        <item x="281"/>
        <item x="877"/>
        <item x="580"/>
        <item x="178"/>
        <item x="996"/>
        <item x="953"/>
        <item x="177"/>
        <item x="460"/>
        <item x="56"/>
        <item x="595"/>
        <item x="851"/>
        <item x="755"/>
        <item x="766"/>
        <item x="231"/>
        <item x="707"/>
        <item x="324"/>
        <item x="908"/>
        <item x="919"/>
        <item x="57"/>
        <item x="754"/>
        <item x="414"/>
        <item x="741"/>
        <item x="436"/>
        <item x="624"/>
        <item x="338"/>
        <item x="212"/>
        <item x="199"/>
        <item x="326"/>
        <item x="443"/>
        <item x="712"/>
        <item x="811"/>
        <item x="558"/>
        <item x="574"/>
        <item x="278"/>
        <item x="791"/>
        <item x="875"/>
        <item x="224"/>
        <item x="412"/>
        <item x="141"/>
        <item x="310"/>
        <item x="415"/>
        <item x="100"/>
        <item x="53"/>
        <item x="58"/>
        <item x="516"/>
        <item x="512"/>
        <item x="171"/>
        <item x="393"/>
        <item x="979"/>
        <item x="922"/>
        <item x="211"/>
        <item x="148"/>
        <item x="89"/>
        <item x="198"/>
        <item x="662"/>
        <item x="735"/>
        <item x="110"/>
        <item x="655"/>
        <item x="493"/>
        <item x="806"/>
        <item x="243"/>
        <item x="249"/>
        <item x="584"/>
        <item x="79"/>
        <item x="348"/>
        <item x="294"/>
        <item x="916"/>
        <item x="424"/>
        <item x="779"/>
        <item x="381"/>
        <item x="447"/>
        <item x="562"/>
        <item x="466"/>
        <item x="11"/>
        <item x="76"/>
        <item x="660"/>
        <item x="14"/>
        <item x="271"/>
        <item x="667"/>
        <item x="787"/>
        <item x="458"/>
        <item x="501"/>
        <item x="332"/>
        <item x="129"/>
        <item x="12"/>
        <item x="15"/>
        <item x="591"/>
        <item x="104"/>
        <item x="26"/>
        <item x="809"/>
        <item x="434"/>
        <item x="880"/>
        <item x="123"/>
        <item x="957"/>
        <item x="449"/>
        <item x="470"/>
        <item x="551"/>
        <item x="700"/>
        <item x="613"/>
        <item x="802"/>
        <item x="353"/>
        <item x="396"/>
        <item x="821"/>
        <item x="563"/>
        <item x="705"/>
        <item x="568"/>
        <item x="204"/>
        <item x="649"/>
        <item x="385"/>
        <item x="407"/>
        <item x="749"/>
        <item x="358"/>
        <item x="401"/>
        <item x="883"/>
        <item x="327"/>
        <item x="842"/>
        <item x="579"/>
        <item x="344"/>
        <item x="321"/>
        <item x="937"/>
        <item x="459"/>
        <item x="733"/>
        <item x="609"/>
        <item x="375"/>
        <item x="239"/>
        <item x="480"/>
        <item x="472"/>
        <item x="452"/>
        <item x="492"/>
        <item x="681"/>
        <item x="679"/>
        <item x="453"/>
        <item x="820"/>
        <item x="785"/>
        <item x="864"/>
        <item x="356"/>
        <item x="940"/>
        <item x="386"/>
        <item x="286"/>
        <item x="43"/>
        <item x="263"/>
        <item x="561"/>
        <item x="259"/>
        <item x="753"/>
        <item x="817"/>
        <item x="223"/>
        <item x="827"/>
        <item x="897"/>
        <item x="273"/>
        <item x="800"/>
        <item x="554"/>
        <item x="542"/>
        <item x="370"/>
        <item x="826"/>
        <item x="349"/>
        <item x="723"/>
        <item x="437"/>
        <item x="637"/>
        <item x="180"/>
        <item x="350"/>
        <item x="275"/>
        <item x="721"/>
        <item x="78"/>
        <item x="736"/>
        <item x="373"/>
        <item x="398"/>
        <item x="406"/>
        <item x="402"/>
        <item x="939"/>
        <item x="544"/>
        <item x="207"/>
        <item x="917"/>
        <item x="18"/>
        <item x="825"/>
        <item x="319"/>
        <item x="689"/>
        <item x="510"/>
        <item x="181"/>
        <item x="815"/>
        <item x="163"/>
        <item x="399"/>
        <item x="833"/>
        <item x="444"/>
        <item x="122"/>
        <item x="874"/>
        <item x="85"/>
        <item x="71"/>
        <item x="47"/>
        <item x="677"/>
        <item x="597"/>
        <item x="708"/>
        <item x="602"/>
        <item x="839"/>
        <item x="582"/>
        <item x="197"/>
        <item x="651"/>
        <item x="236"/>
        <item x="658"/>
        <item x="382"/>
        <item x="972"/>
        <item x="395"/>
        <item x="654"/>
        <item x="346"/>
        <item x="744"/>
        <item x="303"/>
        <item x="918"/>
        <item x="488"/>
        <item x="345"/>
        <item x="966"/>
        <item x="118"/>
        <item x="91"/>
        <item x="600"/>
        <item x="545"/>
        <item x="829"/>
        <item x="631"/>
        <item x="383"/>
        <item x="588"/>
        <item x="973"/>
        <item x="913"/>
        <item x="823"/>
        <item x="622"/>
        <item x="891"/>
        <item x="830"/>
        <item x="892"/>
        <item x="553"/>
        <item x="342"/>
        <item x="756"/>
        <item x="473"/>
        <item x="174"/>
        <item x="801"/>
        <item x="530"/>
        <item x="513"/>
        <item x="848"/>
        <item x="845"/>
        <item x="322"/>
        <item x="287"/>
        <item x="978"/>
        <item x="88"/>
        <item x="23"/>
        <item x="44"/>
        <item x="854"/>
        <item x="855"/>
        <item x="419"/>
        <item x="557"/>
        <item x="347"/>
        <item x="511"/>
        <item x="295"/>
        <item x="6"/>
        <item x="647"/>
        <item x="431"/>
        <item x="860"/>
        <item x="433"/>
        <item x="959"/>
        <item x="92"/>
        <item x="674"/>
        <item x="186"/>
        <item x="522"/>
        <item x="858"/>
        <item x="479"/>
        <item x="81"/>
        <item x="368"/>
        <item x="697"/>
        <item x="837"/>
        <item x="710"/>
        <item x="269"/>
        <item x="29"/>
        <item x="94"/>
        <item x="250"/>
        <item x="575"/>
        <item x="861"/>
        <item x="214"/>
        <item x="276"/>
        <item x="291"/>
        <item x="3"/>
        <item x="640"/>
        <item x="548"/>
        <item x="351"/>
        <item x="757"/>
        <item x="446"/>
        <item x="137"/>
        <item x="117"/>
        <item x="632"/>
        <item x="266"/>
        <item x="639"/>
        <item x="490"/>
        <item x="507"/>
        <item x="728"/>
        <item x="856"/>
        <item x="497"/>
        <item x="676"/>
        <item x="617"/>
        <item x="70"/>
        <item x="59"/>
        <item x="205"/>
        <item x="316"/>
        <item x="650"/>
        <item x="585"/>
        <item x="873"/>
        <item x="238"/>
        <item x="527"/>
        <item x="716"/>
        <item x="157"/>
        <item x="474"/>
        <item x="982"/>
        <item x="997"/>
        <item x="411"/>
        <item x="840"/>
        <item x="599"/>
        <item x="555"/>
        <item x="138"/>
        <item x="364"/>
        <item x="740"/>
        <item x="277"/>
        <item x="564"/>
        <item x="604"/>
        <item x="96"/>
        <item x="587"/>
        <item x="255"/>
        <item x="985"/>
        <item x="777"/>
        <item x="120"/>
        <item x="142"/>
        <item x="188"/>
        <item x="882"/>
        <item x="796"/>
        <item x="313"/>
        <item x="87"/>
        <item x="869"/>
        <item x="69"/>
        <item x="468"/>
        <item x="616"/>
        <item x="644"/>
        <item x="592"/>
        <item x="915"/>
        <item x="896"/>
        <item x="335"/>
        <item x="312"/>
        <item x="485"/>
        <item x="508"/>
        <item x="625"/>
        <item x="405"/>
        <item x="610"/>
        <item x="663"/>
        <item x="298"/>
        <item x="410"/>
        <item x="534"/>
        <item x="519"/>
        <item x="427"/>
        <item x="486"/>
        <item x="523"/>
        <item x="285"/>
        <item x="924"/>
        <item x="903"/>
        <item x="569"/>
        <item x="981"/>
        <item x="149"/>
        <item x="378"/>
        <item x="635"/>
        <item x="60"/>
        <item x="684"/>
        <item x="824"/>
        <item x="280"/>
        <item x="695"/>
        <item x="374"/>
        <item x="709"/>
        <item x="465"/>
        <item x="400"/>
        <item x="776"/>
        <item x="404"/>
        <item x="518"/>
        <item x="498"/>
        <item x="525"/>
        <item x="442"/>
        <item x="27"/>
        <item x="144"/>
        <item x="898"/>
        <item x="237"/>
        <item x="151"/>
        <item x="504"/>
        <item x="202"/>
        <item x="831"/>
        <item x="760"/>
        <item x="135"/>
        <item x="672"/>
        <item x="422"/>
        <item x="808"/>
        <item x="74"/>
        <item x="960"/>
        <item x="770"/>
        <item x="914"/>
        <item x="420"/>
        <item x="572"/>
        <item x="32"/>
        <item x="380"/>
        <item x="805"/>
        <item x="743"/>
        <item x="423"/>
        <item x="962"/>
        <item t="default"/>
      </items>
    </pivotField>
    <pivotField compact="0" showAll="0">
      <items count="6">
        <item x="4"/>
        <item x="1"/>
        <item x="2"/>
        <item x="0"/>
        <item x="3"/>
        <item t="default"/>
      </items>
    </pivotField>
  </pivotFields>
  <dataFields count="1">
    <dataField name="Average of Discount" fld="13" subtotal="average" baseField="0" baseItem="0"/>
  </dataFields>
  <formats count="17">
    <format dxfId="18">
      <pivotArea collapsedLevelsAreSubtotals="1" fieldPosition="0"/>
    </format>
    <format dxfId="19">
      <pivotArea collapsedLevelsAreSubtotals="1" fieldPosition="0"/>
    </format>
    <format dxfId="20">
      <pivotArea collapsedLevelsAreSubtotals="1" fieldPosition="0"/>
    </format>
    <format dxfId="21">
      <pivotArea collapsedLevelsAreSubtotals="1" fieldPosition="0"/>
    </format>
    <format dxfId="22">
      <pivotArea collapsedLevelsAreSubtotals="1" fieldPosition="0"/>
    </format>
    <format dxfId="23">
      <pivotArea collapsedLevelsAreSubtotals="1" fieldPosition="0"/>
    </format>
    <format dxfId="24">
      <pivotArea collapsedLevelsAreSubtotals="1" fieldPosition="0"/>
    </format>
    <format dxfId="25">
      <pivotArea collapsedLevelsAreSubtotals="1" fieldPosition="0"/>
    </format>
    <format dxfId="26">
      <pivotArea collapsedLevelsAreSubtotals="1" fieldPosition="0"/>
    </format>
    <format dxfId="27">
      <pivotArea collapsedLevelsAreSubtotals="1" fieldPosition="0"/>
    </format>
    <format dxfId="28">
      <pivotArea collapsedLevelsAreSubtotals="1" fieldPosition="0"/>
    </format>
    <format dxfId="29">
      <pivotArea collapsedLevelsAreSubtotals="1" fieldPosition="0"/>
    </format>
    <format dxfId="30">
      <pivotArea collapsedLevelsAreSubtotals="1" fieldPosition="0"/>
    </format>
    <format dxfId="31">
      <pivotArea collapsedLevelsAreSubtotals="1" fieldPosition="0"/>
    </format>
    <format dxfId="32">
      <pivotArea collapsedLevelsAreSubtotals="1" fieldPosition="0"/>
    </format>
    <format dxfId="33">
      <pivotArea collapsedLevelsAreSubtotals="1" fieldPosition="0"/>
    </format>
    <format dxfId="3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C10:D23" firstHeaderRow="1" firstDataRow="1" firstDataCol="1"/>
  <pivotFields count="18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3" showAll="0">
      <items count="870">
        <item x="431"/>
        <item x="128"/>
        <item x="102"/>
        <item x="758"/>
        <item x="298"/>
        <item x="178"/>
        <item x="248"/>
        <item x="120"/>
        <item x="532"/>
        <item x="389"/>
        <item x="133"/>
        <item x="759"/>
        <item x="498"/>
        <item x="22"/>
        <item x="11"/>
        <item x="78"/>
        <item x="229"/>
        <item x="113"/>
        <item x="203"/>
        <item x="787"/>
        <item x="171"/>
        <item x="490"/>
        <item x="149"/>
        <item x="411"/>
        <item x="292"/>
        <item x="52"/>
        <item x="493"/>
        <item x="40"/>
        <item x="377"/>
        <item x="129"/>
        <item x="111"/>
        <item x="676"/>
        <item x="514"/>
        <item x="198"/>
        <item x="18"/>
        <item x="317"/>
        <item x="213"/>
        <item x="295"/>
        <item x="123"/>
        <item x="326"/>
        <item x="228"/>
        <item x="647"/>
        <item x="32"/>
        <item x="155"/>
        <item x="465"/>
        <item x="793"/>
        <item x="96"/>
        <item x="115"/>
        <item x="189"/>
        <item x="92"/>
        <item x="159"/>
        <item x="201"/>
        <item x="316"/>
        <item x="671"/>
        <item x="403"/>
        <item x="3"/>
        <item x="36"/>
        <item x="210"/>
        <item x="199"/>
        <item x="303"/>
        <item x="334"/>
        <item x="366"/>
        <item x="307"/>
        <item x="858"/>
        <item x="91"/>
        <item x="8"/>
        <item x="151"/>
        <item x="172"/>
        <item x="654"/>
        <item x="413"/>
        <item x="275"/>
        <item x="790"/>
        <item x="72"/>
        <item x="325"/>
        <item x="25"/>
        <item x="373"/>
        <item x="318"/>
        <item x="563"/>
        <item x="528"/>
        <item x="183"/>
        <item x="16"/>
        <item x="2"/>
        <item x="245"/>
        <item x="437"/>
        <item x="855"/>
        <item x="330"/>
        <item x="117"/>
        <item x="322"/>
        <item x="150"/>
        <item x="33"/>
        <item x="466"/>
        <item x="408"/>
        <item x="184"/>
        <item x="462"/>
        <item x="116"/>
        <item x="697"/>
        <item x="97"/>
        <item x="242"/>
        <item x="101"/>
        <item x="162"/>
        <item x="744"/>
        <item x="476"/>
        <item x="714"/>
        <item x="350"/>
        <item x="685"/>
        <item x="779"/>
        <item x="695"/>
        <item x="147"/>
        <item x="580"/>
        <item x="181"/>
        <item x="506"/>
        <item x="371"/>
        <item x="507"/>
        <item x="630"/>
        <item x="585"/>
        <item x="782"/>
        <item x="615"/>
        <item x="118"/>
        <item x="223"/>
        <item x="219"/>
        <item x="673"/>
        <item x="249"/>
        <item x="285"/>
        <item x="587"/>
        <item x="640"/>
        <item x="732"/>
        <item x="35"/>
        <item x="746"/>
        <item x="432"/>
        <item x="751"/>
        <item x="46"/>
        <item x="677"/>
        <item x="634"/>
        <item x="251"/>
        <item x="82"/>
        <item x="420"/>
        <item x="645"/>
        <item x="351"/>
        <item x="762"/>
        <item x="365"/>
        <item x="819"/>
        <item x="383"/>
        <item x="768"/>
        <item x="206"/>
        <item x="187"/>
        <item x="843"/>
        <item x="729"/>
        <item x="612"/>
        <item x="141"/>
        <item x="329"/>
        <item x="278"/>
        <item x="372"/>
        <item x="577"/>
        <item x="835"/>
        <item x="837"/>
        <item x="440"/>
        <item x="644"/>
        <item x="725"/>
        <item x="14"/>
        <item x="641"/>
        <item x="196"/>
        <item x="854"/>
        <item x="88"/>
        <item x="716"/>
        <item x="795"/>
        <item x="422"/>
        <item x="863"/>
        <item x="624"/>
        <item x="546"/>
        <item x="508"/>
        <item x="439"/>
        <item x="28"/>
        <item x="540"/>
        <item x="211"/>
        <item x="379"/>
        <item x="337"/>
        <item x="629"/>
        <item x="124"/>
        <item x="143"/>
        <item x="346"/>
        <item x="754"/>
        <item x="619"/>
        <item x="0"/>
        <item x="548"/>
        <item x="418"/>
        <item x="549"/>
        <item x="561"/>
        <item x="327"/>
        <item x="831"/>
        <item x="481"/>
        <item x="255"/>
        <item x="688"/>
        <item x="495"/>
        <item x="662"/>
        <item x="77"/>
        <item x="611"/>
        <item x="867"/>
        <item x="672"/>
        <item x="721"/>
        <item x="417"/>
        <item x="785"/>
        <item x="459"/>
        <item x="776"/>
        <item x="554"/>
        <item x="565"/>
        <item x="710"/>
        <item x="598"/>
        <item x="599"/>
        <item x="90"/>
        <item x="168"/>
        <item x="12"/>
        <item x="610"/>
        <item x="266"/>
        <item x="825"/>
        <item x="438"/>
        <item x="30"/>
        <item x="135"/>
        <item x="538"/>
        <item x="53"/>
        <item x="177"/>
        <item x="455"/>
        <item x="807"/>
        <item x="108"/>
        <item x="708"/>
        <item x="21"/>
        <item x="17"/>
        <item x="648"/>
        <item x="166"/>
        <item x="423"/>
        <item x="433"/>
        <item x="748"/>
        <item x="829"/>
        <item x="694"/>
        <item x="637"/>
        <item x="797"/>
        <item x="43"/>
        <item x="387"/>
        <item x="268"/>
        <item x="67"/>
        <item x="722"/>
        <item x="852"/>
        <item x="158"/>
        <item x="75"/>
        <item x="70"/>
        <item x="288"/>
        <item x="833"/>
        <item x="367"/>
        <item x="778"/>
        <item x="252"/>
        <item x="175"/>
        <item x="304"/>
        <item x="830"/>
        <item x="450"/>
        <item x="164"/>
        <item x="764"/>
        <item x="643"/>
        <item x="348"/>
        <item x="209"/>
        <item x="511"/>
        <item x="10"/>
        <item x="222"/>
        <item x="161"/>
        <item x="29"/>
        <item x="121"/>
        <item x="646"/>
        <item x="683"/>
        <item x="355"/>
        <item x="398"/>
        <item x="515"/>
        <item x="234"/>
        <item x="657"/>
        <item x="125"/>
        <item x="584"/>
        <item x="208"/>
        <item x="76"/>
        <item x="180"/>
        <item x="626"/>
        <item x="818"/>
        <item x="357"/>
        <item x="588"/>
        <item x="287"/>
        <item x="280"/>
        <item x="775"/>
        <item x="57"/>
        <item x="799"/>
        <item x="19"/>
        <item x="232"/>
        <item x="405"/>
        <item x="614"/>
        <item x="238"/>
        <item x="575"/>
        <item x="533"/>
        <item x="669"/>
        <item x="381"/>
        <item x="659"/>
        <item x="194"/>
        <item x="146"/>
        <item x="551"/>
        <item x="448"/>
        <item x="499"/>
        <item x="47"/>
        <item x="321"/>
        <item x="333"/>
        <item x="6"/>
        <item x="844"/>
        <item x="691"/>
        <item x="131"/>
        <item x="680"/>
        <item x="13"/>
        <item x="34"/>
        <item x="636"/>
        <item x="777"/>
        <item x="576"/>
        <item x="254"/>
        <item x="246"/>
        <item x="85"/>
        <item x="513"/>
        <item x="586"/>
        <item x="553"/>
        <item x="37"/>
        <item x="505"/>
        <item x="497"/>
        <item x="834"/>
        <item x="501"/>
        <item x="569"/>
        <item x="745"/>
        <item x="87"/>
        <item x="772"/>
        <item x="632"/>
        <item x="419"/>
        <item x="312"/>
        <item x="484"/>
        <item x="126"/>
        <item x="743"/>
        <item x="370"/>
        <item x="517"/>
        <item x="801"/>
        <item x="482"/>
        <item x="542"/>
        <item x="487"/>
        <item x="723"/>
        <item x="386"/>
        <item x="601"/>
        <item x="290"/>
        <item x="468"/>
        <item x="675"/>
        <item x="539"/>
        <item x="477"/>
        <item x="226"/>
        <item x="393"/>
        <item x="402"/>
        <item x="93"/>
        <item x="215"/>
        <item x="84"/>
        <item x="606"/>
        <item x="400"/>
        <item x="519"/>
        <item x="100"/>
        <item x="110"/>
        <item x="339"/>
        <item x="518"/>
        <item x="720"/>
        <item x="139"/>
        <item x="731"/>
        <item x="821"/>
        <item x="564"/>
        <item x="73"/>
        <item x="656"/>
        <item x="794"/>
        <item x="699"/>
        <item x="390"/>
        <item x="441"/>
        <item x="323"/>
        <item x="530"/>
        <item x="735"/>
        <item x="170"/>
        <item x="191"/>
        <item x="520"/>
        <item x="182"/>
        <item x="628"/>
        <item x="653"/>
        <item x="642"/>
        <item x="567"/>
        <item x="352"/>
        <item x="336"/>
        <item x="240"/>
        <item x="24"/>
        <item x="806"/>
        <item x="638"/>
        <item x="142"/>
        <item x="279"/>
        <item x="581"/>
        <item x="471"/>
        <item x="480"/>
        <item x="592"/>
        <item x="665"/>
        <item x="267"/>
        <item x="424"/>
        <item x="485"/>
        <item x="276"/>
        <item x="106"/>
        <item x="864"/>
        <item x="190"/>
        <item x="374"/>
        <item x="380"/>
        <item x="483"/>
        <item x="500"/>
        <item x="174"/>
        <item x="214"/>
        <item x="48"/>
        <item x="767"/>
        <item x="283"/>
        <item x="847"/>
        <item x="62"/>
        <item x="186"/>
        <item x="590"/>
        <item x="579"/>
        <item x="15"/>
        <item x="800"/>
        <item x="828"/>
        <item x="512"/>
        <item x="273"/>
        <item x="138"/>
        <item x="412"/>
        <item x="4"/>
        <item x="9"/>
        <item x="311"/>
        <item x="709"/>
        <item x="313"/>
        <item x="409"/>
        <item x="817"/>
        <item x="813"/>
        <item x="293"/>
        <item x="832"/>
        <item x="185"/>
        <item x="805"/>
        <item x="496"/>
        <item x="522"/>
        <item x="216"/>
        <item x="625"/>
        <item x="458"/>
        <item x="589"/>
        <item x="724"/>
        <item x="693"/>
        <item x="456"/>
        <item x="144"/>
        <item x="179"/>
        <item x="537"/>
        <item x="664"/>
        <item x="344"/>
        <item x="299"/>
        <item x="633"/>
        <item x="618"/>
        <item x="726"/>
        <item x="815"/>
        <item x="700"/>
        <item x="83"/>
        <item x="504"/>
        <item x="526"/>
        <item x="489"/>
        <item x="401"/>
        <item x="814"/>
        <item x="247"/>
        <item x="475"/>
        <item x="531"/>
        <item x="192"/>
        <item x="23"/>
        <item x="354"/>
        <item x="122"/>
        <item x="868"/>
        <item x="711"/>
        <item x="324"/>
        <item x="204"/>
        <item x="434"/>
        <item x="769"/>
        <item x="114"/>
        <item x="556"/>
        <item x="256"/>
        <item x="534"/>
        <item x="109"/>
        <item x="494"/>
        <item x="89"/>
        <item x="152"/>
        <item x="200"/>
        <item x="773"/>
        <item x="536"/>
        <item x="679"/>
        <item x="784"/>
        <item x="509"/>
        <item x="826"/>
        <item x="809"/>
        <item x="382"/>
        <item x="470"/>
        <item x="733"/>
        <item x="524"/>
        <item x="39"/>
        <item x="63"/>
        <item x="358"/>
        <item x="555"/>
        <item x="543"/>
        <item x="300"/>
        <item x="682"/>
        <item x="306"/>
        <item x="224"/>
        <item x="41"/>
        <item x="119"/>
        <item x="765"/>
        <item x="562"/>
        <item x="392"/>
        <item x="491"/>
        <item x="217"/>
        <item x="160"/>
        <item x="447"/>
        <item x="104"/>
        <item x="578"/>
        <item x="791"/>
        <item x="261"/>
        <item x="836"/>
        <item x="559"/>
        <item x="220"/>
        <item x="824"/>
        <item x="600"/>
        <item x="853"/>
        <item x="235"/>
        <item x="296"/>
        <item x="44"/>
        <item x="552"/>
        <item x="545"/>
        <item x="388"/>
        <item x="289"/>
        <item x="747"/>
        <item x="218"/>
        <item x="701"/>
        <item x="469"/>
        <item x="169"/>
        <item x="360"/>
        <item x="391"/>
        <item x="655"/>
        <item x="271"/>
        <item x="525"/>
        <item x="698"/>
        <item x="331"/>
        <item x="212"/>
        <item x="81"/>
        <item x="103"/>
        <item x="607"/>
        <item x="188"/>
        <item x="264"/>
        <item x="453"/>
        <item x="742"/>
        <item x="845"/>
        <item x="163"/>
        <item x="811"/>
        <item x="153"/>
        <item x="736"/>
        <item x="463"/>
        <item x="846"/>
        <item x="681"/>
        <item x="535"/>
        <item x="60"/>
        <item x="593"/>
        <item x="740"/>
        <item x="460"/>
        <item x="294"/>
        <item x="1"/>
        <item x="314"/>
        <item x="541"/>
        <item x="202"/>
        <item x="730"/>
        <item x="738"/>
        <item x="788"/>
        <item x="753"/>
        <item x="544"/>
        <item x="668"/>
        <item x="839"/>
        <item x="127"/>
        <item x="167"/>
        <item x="426"/>
        <item x="353"/>
        <item x="157"/>
        <item x="173"/>
        <item x="770"/>
        <item x="98"/>
        <item x="244"/>
        <item x="309"/>
        <item x="713"/>
        <item x="205"/>
        <item x="394"/>
        <item x="284"/>
        <item x="443"/>
        <item x="594"/>
        <item x="452"/>
        <item x="233"/>
        <item x="145"/>
        <item x="503"/>
        <item x="112"/>
        <item x="349"/>
        <item x="623"/>
        <item x="5"/>
        <item x="436"/>
        <item x="449"/>
        <item x="31"/>
        <item x="429"/>
        <item x="56"/>
        <item x="263"/>
        <item x="332"/>
        <item x="250"/>
        <item x="658"/>
        <item x="478"/>
        <item x="781"/>
        <item x="780"/>
        <item x="558"/>
        <item x="225"/>
        <item x="734"/>
        <item x="58"/>
        <item x="257"/>
        <item x="397"/>
        <item x="651"/>
        <item x="446"/>
        <item x="739"/>
        <item x="38"/>
        <item x="570"/>
        <item x="674"/>
        <item x="678"/>
        <item x="363"/>
        <item x="64"/>
        <item x="50"/>
        <item x="650"/>
        <item x="259"/>
        <item x="94"/>
        <item x="42"/>
        <item x="842"/>
        <item x="136"/>
        <item x="416"/>
        <item x="340"/>
        <item x="652"/>
        <item x="362"/>
        <item x="230"/>
        <item x="796"/>
        <item x="827"/>
        <item x="445"/>
        <item x="71"/>
        <item x="573"/>
        <item x="237"/>
        <item x="274"/>
        <item x="341"/>
        <item x="849"/>
        <item x="319"/>
        <item x="840"/>
        <item x="755"/>
        <item x="7"/>
        <item x="74"/>
        <item x="241"/>
        <item x="597"/>
        <item x="571"/>
        <item x="741"/>
        <item x="80"/>
        <item x="361"/>
        <item x="239"/>
        <item x="763"/>
        <item x="572"/>
        <item x="454"/>
        <item x="260"/>
        <item x="812"/>
        <item x="860"/>
        <item x="771"/>
        <item x="621"/>
        <item x="243"/>
        <item x="425"/>
        <item x="302"/>
        <item x="862"/>
        <item x="841"/>
        <item x="369"/>
        <item x="404"/>
        <item x="473"/>
        <item x="692"/>
        <item x="620"/>
        <item x="635"/>
        <item x="427"/>
        <item x="670"/>
        <item x="291"/>
        <item x="356"/>
        <item x="727"/>
        <item x="156"/>
        <item x="728"/>
        <item x="59"/>
        <item x="660"/>
        <item x="502"/>
        <item x="608"/>
        <item x="715"/>
        <item x="154"/>
        <item x="851"/>
        <item x="686"/>
        <item x="547"/>
        <item x="750"/>
        <item x="810"/>
        <item x="866"/>
        <item x="227"/>
        <item x="415"/>
        <item x="368"/>
        <item x="474"/>
        <item x="435"/>
        <item x="613"/>
        <item x="55"/>
        <item x="461"/>
        <item x="702"/>
        <item x="663"/>
        <item x="639"/>
        <item x="717"/>
        <item x="430"/>
        <item x="277"/>
        <item x="457"/>
        <item x="467"/>
        <item x="774"/>
        <item x="856"/>
        <item x="604"/>
        <item x="704"/>
        <item x="297"/>
        <item x="689"/>
        <item x="95"/>
        <item x="49"/>
        <item x="464"/>
        <item x="761"/>
        <item x="45"/>
        <item x="61"/>
        <item x="335"/>
        <item x="207"/>
        <item x="582"/>
        <item x="308"/>
        <item x="602"/>
        <item x="596"/>
        <item x="823"/>
        <item x="428"/>
        <item x="165"/>
        <item x="666"/>
        <item x="848"/>
        <item x="364"/>
        <item x="766"/>
        <item x="414"/>
        <item x="705"/>
        <item x="684"/>
        <item x="79"/>
        <item x="568"/>
        <item x="591"/>
        <item x="661"/>
        <item x="69"/>
        <item x="347"/>
        <item x="703"/>
        <item x="822"/>
        <item x="342"/>
        <item x="270"/>
        <item x="527"/>
        <item x="521"/>
        <item x="399"/>
        <item x="269"/>
        <item x="820"/>
        <item x="808"/>
        <item x="105"/>
        <item x="479"/>
        <item x="134"/>
        <item x="486"/>
        <item x="749"/>
        <item x="378"/>
        <item x="376"/>
        <item x="707"/>
        <item x="492"/>
        <item x="328"/>
        <item x="804"/>
        <item x="690"/>
        <item x="86"/>
        <item x="281"/>
        <item x="236"/>
        <item x="616"/>
        <item x="737"/>
        <item x="516"/>
        <item x="301"/>
        <item x="627"/>
        <item x="410"/>
        <item x="197"/>
        <item x="107"/>
        <item x="359"/>
        <item x="603"/>
        <item x="310"/>
        <item x="262"/>
        <item x="272"/>
        <item x="529"/>
        <item x="557"/>
        <item x="667"/>
        <item x="861"/>
        <item x="282"/>
        <item x="444"/>
        <item x="760"/>
        <item x="712"/>
        <item x="137"/>
        <item x="148"/>
        <item x="792"/>
        <item x="66"/>
        <item x="407"/>
        <item x="756"/>
        <item x="857"/>
        <item x="176"/>
        <item x="510"/>
        <item x="488"/>
        <item x="221"/>
        <item x="609"/>
        <item x="395"/>
        <item x="343"/>
        <item x="396"/>
        <item x="574"/>
        <item x="706"/>
        <item x="54"/>
        <item x="195"/>
        <item x="838"/>
        <item x="859"/>
        <item x="631"/>
        <item x="789"/>
        <item x="605"/>
        <item x="231"/>
        <item x="617"/>
        <item x="406"/>
        <item x="345"/>
        <item x="320"/>
        <item x="803"/>
        <item x="253"/>
        <item x="265"/>
        <item x="649"/>
        <item x="798"/>
        <item x="719"/>
        <item x="687"/>
        <item x="550"/>
        <item x="20"/>
        <item x="850"/>
        <item x="65"/>
        <item x="523"/>
        <item x="51"/>
        <item x="802"/>
        <item x="130"/>
        <item x="140"/>
        <item x="286"/>
        <item x="375"/>
        <item x="384"/>
        <item x="132"/>
        <item x="451"/>
        <item x="27"/>
        <item x="595"/>
        <item x="442"/>
        <item x="786"/>
        <item x="26"/>
        <item x="566"/>
        <item x="68"/>
        <item x="816"/>
        <item x="472"/>
        <item x="385"/>
        <item x="338"/>
        <item x="258"/>
        <item x="583"/>
        <item x="305"/>
        <item x="783"/>
        <item x="421"/>
        <item x="560"/>
        <item x="752"/>
        <item x="622"/>
        <item x="193"/>
        <item x="696"/>
        <item x="865"/>
        <item x="315"/>
        <item x="718"/>
        <item x="99"/>
        <item x="757"/>
        <item t="default"/>
      </items>
    </pivotField>
    <pivotField axis="axisRow" compact="0" showAll="0">
      <items count="13">
        <item x="1"/>
        <item x="5"/>
        <item x="3"/>
        <item x="0"/>
        <item x="7"/>
        <item x="6"/>
        <item x="2"/>
        <item x="4"/>
        <item x="11"/>
        <item x="9"/>
        <item x="10"/>
        <item x="8"/>
        <item t="default"/>
      </items>
    </pivotField>
    <pivotField compact="0" showAll="0">
      <items count="14">
        <item x="7"/>
        <item x="11"/>
        <item x="8"/>
        <item x="2"/>
        <item x="0"/>
        <item x="12"/>
        <item x="4"/>
        <item x="9"/>
        <item x="1"/>
        <item x="3"/>
        <item x="5"/>
        <item x="10"/>
        <item x="6"/>
        <item t="default"/>
      </items>
    </pivotField>
    <pivotField compact="0" showAll="0">
      <items count="7">
        <item x="2"/>
        <item x="1"/>
        <item x="0"/>
        <item x="4"/>
        <item x="3"/>
        <item x="5"/>
        <item t="default"/>
      </items>
    </pivotField>
    <pivotField compact="0" showAll="0">
      <items count="6">
        <item x="4"/>
        <item x="2"/>
        <item x="1"/>
        <item x="3"/>
        <item x="0"/>
        <item t="default"/>
      </items>
    </pivotField>
    <pivotField compact="0" showAll="0">
      <items count="19">
        <item x="10"/>
        <item x="7"/>
        <item x="12"/>
        <item x="5"/>
        <item x="4"/>
        <item x="2"/>
        <item x="6"/>
        <item x="15"/>
        <item x="14"/>
        <item x="16"/>
        <item x="11"/>
        <item x="17"/>
        <item x="1"/>
        <item x="9"/>
        <item x="8"/>
        <item x="0"/>
        <item x="13"/>
        <item x="3"/>
        <item t="default"/>
      </items>
    </pivotField>
    <pivotField compact="0" showAll="0">
      <items count="54">
        <item x="27"/>
        <item x="10"/>
        <item x="20"/>
        <item x="7"/>
        <item x="16"/>
        <item x="3"/>
        <item x="11"/>
        <item x="46"/>
        <item x="40"/>
        <item x="49"/>
        <item x="24"/>
        <item x="34"/>
        <item x="30"/>
        <item x="51"/>
        <item x="37"/>
        <item x="42"/>
        <item x="44"/>
        <item x="15"/>
        <item x="26"/>
        <item x="17"/>
        <item x="19"/>
        <item x="0"/>
        <item x="50"/>
        <item x="14"/>
        <item x="23"/>
        <item x="38"/>
        <item x="6"/>
        <item x="39"/>
        <item x="43"/>
        <item x="33"/>
        <item x="2"/>
        <item x="21"/>
        <item x="45"/>
        <item x="52"/>
        <item x="18"/>
        <item x="29"/>
        <item x="9"/>
        <item x="13"/>
        <item x="8"/>
        <item x="35"/>
        <item x="28"/>
        <item x="12"/>
        <item x="31"/>
        <item x="25"/>
        <item x="4"/>
        <item x="22"/>
        <item x="41"/>
        <item x="5"/>
        <item x="1"/>
        <item x="48"/>
        <item x="32"/>
        <item x="36"/>
        <item x="47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4">
        <item x="6"/>
        <item x="5"/>
        <item m="1" x="12"/>
        <item x="1"/>
        <item x="2"/>
        <item x="8"/>
        <item x="4"/>
        <item x="10"/>
        <item x="11"/>
        <item x="3"/>
        <item x="9"/>
        <item x="7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1">
        <item x="4"/>
        <item x="9"/>
        <item x="3"/>
        <item x="1"/>
        <item x="0"/>
        <item x="6"/>
        <item x="7"/>
        <item x="2"/>
        <item x="5"/>
        <item x="8"/>
        <item t="default"/>
      </items>
    </pivotField>
    <pivotField compact="0" showAll="0">
      <items count="506">
        <item x="124"/>
        <item x="108"/>
        <item x="360"/>
        <item x="10"/>
        <item x="90"/>
        <item x="468"/>
        <item x="174"/>
        <item x="253"/>
        <item x="101"/>
        <item x="243"/>
        <item x="7"/>
        <item x="29"/>
        <item x="79"/>
        <item x="236"/>
        <item x="151"/>
        <item x="2"/>
        <item x="426"/>
        <item x="192"/>
        <item x="280"/>
        <item x="31"/>
        <item x="138"/>
        <item x="196"/>
        <item x="204"/>
        <item x="100"/>
        <item x="441"/>
        <item x="86"/>
        <item x="175"/>
        <item x="89"/>
        <item x="136"/>
        <item x="55"/>
        <item x="369"/>
        <item x="435"/>
        <item x="103"/>
        <item x="479"/>
        <item x="349"/>
        <item x="1"/>
        <item x="41"/>
        <item x="229"/>
        <item x="94"/>
        <item x="109"/>
        <item x="194"/>
        <item x="336"/>
        <item x="407"/>
        <item x="32"/>
        <item x="237"/>
        <item x="15"/>
        <item x="401"/>
        <item x="27"/>
        <item x="149"/>
        <item x="279"/>
        <item x="13"/>
        <item x="413"/>
        <item x="127"/>
        <item x="126"/>
        <item x="370"/>
        <item x="365"/>
        <item x="387"/>
        <item x="5"/>
        <item x="469"/>
        <item x="115"/>
        <item x="172"/>
        <item x="404"/>
        <item x="430"/>
        <item x="112"/>
        <item x="439"/>
        <item x="68"/>
        <item x="334"/>
        <item x="450"/>
        <item x="249"/>
        <item x="197"/>
        <item x="166"/>
        <item x="105"/>
        <item x="139"/>
        <item x="141"/>
        <item x="208"/>
        <item x="106"/>
        <item x="227"/>
        <item x="436"/>
        <item x="445"/>
        <item x="38"/>
        <item x="305"/>
        <item x="425"/>
        <item x="458"/>
        <item x="303"/>
        <item x="498"/>
        <item x="143"/>
        <item x="180"/>
        <item x="176"/>
        <item x="432"/>
        <item x="222"/>
        <item x="274"/>
        <item x="375"/>
        <item x="315"/>
        <item x="116"/>
        <item x="150"/>
        <item x="199"/>
        <item x="72"/>
        <item x="49"/>
        <item x="267"/>
        <item x="471"/>
        <item x="129"/>
        <item x="343"/>
        <item x="46"/>
        <item x="268"/>
        <item x="207"/>
        <item x="21"/>
        <item x="36"/>
        <item x="284"/>
        <item x="74"/>
        <item x="308"/>
        <item x="378"/>
        <item x="330"/>
        <item x="179"/>
        <item x="434"/>
        <item x="8"/>
        <item x="359"/>
        <item x="367"/>
        <item x="121"/>
        <item x="163"/>
        <item x="16"/>
        <item x="220"/>
        <item x="325"/>
        <item x="223"/>
        <item x="35"/>
        <item x="358"/>
        <item x="225"/>
        <item x="118"/>
        <item x="405"/>
        <item x="211"/>
        <item x="347"/>
        <item x="297"/>
        <item x="352"/>
        <item x="314"/>
        <item x="250"/>
        <item x="183"/>
        <item x="496"/>
        <item x="28"/>
        <item x="410"/>
        <item x="131"/>
        <item x="262"/>
        <item x="160"/>
        <item x="122"/>
        <item x="288"/>
        <item x="350"/>
        <item x="62"/>
        <item x="133"/>
        <item x="85"/>
        <item x="157"/>
        <item x="164"/>
        <item x="99"/>
        <item x="415"/>
        <item x="156"/>
        <item x="81"/>
        <item x="39"/>
        <item x="168"/>
        <item x="154"/>
        <item x="457"/>
        <item x="148"/>
        <item x="224"/>
        <item x="389"/>
        <item x="495"/>
        <item x="24"/>
        <item x="419"/>
        <item x="408"/>
        <item x="161"/>
        <item x="500"/>
        <item x="78"/>
        <item x="4"/>
        <item x="502"/>
        <item x="201"/>
        <item x="245"/>
        <item x="48"/>
        <item x="47"/>
        <item x="165"/>
        <item x="381"/>
        <item x="240"/>
        <item x="3"/>
        <item x="453"/>
        <item x="461"/>
        <item x="433"/>
        <item x="87"/>
        <item x="392"/>
        <item x="484"/>
        <item x="170"/>
        <item x="186"/>
        <item x="20"/>
        <item x="411"/>
        <item x="289"/>
        <item x="134"/>
        <item x="242"/>
        <item x="256"/>
        <item x="12"/>
        <item x="276"/>
        <item x="290"/>
        <item x="238"/>
        <item x="71"/>
        <item x="326"/>
        <item x="80"/>
        <item x="460"/>
        <item x="246"/>
        <item x="339"/>
        <item x="125"/>
        <item x="355"/>
        <item x="169"/>
        <item x="285"/>
        <item x="257"/>
        <item x="328"/>
        <item x="107"/>
        <item x="120"/>
        <item x="264"/>
        <item x="466"/>
        <item x="272"/>
        <item x="0"/>
        <item x="374"/>
        <item x="251"/>
        <item x="438"/>
        <item x="428"/>
        <item x="67"/>
        <item x="351"/>
        <item x="283"/>
        <item x="431"/>
        <item x="452"/>
        <item x="383"/>
        <item x="178"/>
        <item x="397"/>
        <item x="11"/>
        <item x="210"/>
        <item x="403"/>
        <item x="26"/>
        <item x="92"/>
        <item x="147"/>
        <item x="488"/>
        <item x="142"/>
        <item x="241"/>
        <item x="345"/>
        <item x="281"/>
        <item x="235"/>
        <item x="248"/>
        <item x="63"/>
        <item x="247"/>
        <item x="137"/>
        <item x="226"/>
        <item x="446"/>
        <item x="293"/>
        <item x="463"/>
        <item x="340"/>
        <item x="480"/>
        <item x="287"/>
        <item x="58"/>
        <item x="298"/>
        <item x="66"/>
        <item x="61"/>
        <item x="91"/>
        <item x="277"/>
        <item x="273"/>
        <item x="200"/>
        <item x="145"/>
        <item x="232"/>
        <item x="472"/>
        <item x="265"/>
        <item x="357"/>
        <item x="135"/>
        <item x="25"/>
        <item x="104"/>
        <item x="420"/>
        <item x="437"/>
        <item x="270"/>
        <item x="64"/>
        <item x="391"/>
        <item x="43"/>
        <item x="412"/>
        <item x="51"/>
        <item x="50"/>
        <item x="482"/>
        <item x="17"/>
        <item x="188"/>
        <item x="52"/>
        <item x="123"/>
        <item x="376"/>
        <item x="73"/>
        <item x="69"/>
        <item x="42"/>
        <item x="216"/>
        <item x="6"/>
        <item x="110"/>
        <item x="30"/>
        <item x="128"/>
        <item x="451"/>
        <item x="388"/>
        <item x="195"/>
        <item x="75"/>
        <item x="244"/>
        <item x="33"/>
        <item x="354"/>
        <item x="493"/>
        <item x="77"/>
        <item x="476"/>
        <item x="414"/>
        <item x="342"/>
        <item x="278"/>
        <item x="473"/>
        <item x="371"/>
        <item x="454"/>
        <item x="399"/>
        <item x="337"/>
        <item x="296"/>
        <item x="82"/>
        <item x="171"/>
        <item x="294"/>
        <item x="88"/>
        <item x="96"/>
        <item x="310"/>
        <item x="255"/>
        <item x="382"/>
        <item x="424"/>
        <item x="261"/>
        <item x="44"/>
        <item x="158"/>
        <item x="333"/>
        <item x="368"/>
        <item x="153"/>
        <item x="362"/>
        <item x="206"/>
        <item x="390"/>
        <item x="14"/>
        <item x="309"/>
        <item x="394"/>
        <item x="53"/>
        <item x="423"/>
        <item x="418"/>
        <item x="76"/>
        <item x="190"/>
        <item x="487"/>
        <item x="417"/>
        <item x="119"/>
        <item x="218"/>
        <item x="332"/>
        <item x="140"/>
        <item x="503"/>
        <item x="282"/>
        <item x="286"/>
        <item x="341"/>
        <item x="144"/>
        <item x="221"/>
        <item x="483"/>
        <item x="295"/>
        <item x="202"/>
        <item x="215"/>
        <item x="304"/>
        <item x="9"/>
        <item x="447"/>
        <item x="301"/>
        <item x="491"/>
        <item x="489"/>
        <item x="152"/>
        <item x="486"/>
        <item x="348"/>
        <item x="363"/>
        <item x="173"/>
        <item x="393"/>
        <item x="203"/>
        <item x="324"/>
        <item x="97"/>
        <item x="416"/>
        <item x="490"/>
        <item x="299"/>
        <item x="353"/>
        <item x="366"/>
        <item x="19"/>
        <item x="269"/>
        <item x="70"/>
        <item x="475"/>
        <item x="98"/>
        <item x="379"/>
        <item x="95"/>
        <item x="346"/>
        <item x="477"/>
        <item x="184"/>
        <item x="319"/>
        <item x="372"/>
        <item x="234"/>
        <item x="37"/>
        <item x="102"/>
        <item x="322"/>
        <item x="494"/>
        <item x="380"/>
        <item x="177"/>
        <item x="398"/>
        <item x="499"/>
        <item x="40"/>
        <item x="377"/>
        <item x="373"/>
        <item x="462"/>
        <item x="45"/>
        <item x="331"/>
        <item x="291"/>
        <item x="217"/>
        <item x="213"/>
        <item x="442"/>
        <item x="254"/>
        <item x="155"/>
        <item x="327"/>
        <item x="478"/>
        <item x="465"/>
        <item x="57"/>
        <item x="302"/>
        <item x="193"/>
        <item x="233"/>
        <item x="448"/>
        <item x="167"/>
        <item x="292"/>
        <item x="318"/>
        <item x="266"/>
        <item x="316"/>
        <item x="205"/>
        <item x="198"/>
        <item x="159"/>
        <item x="56"/>
        <item x="181"/>
        <item x="459"/>
        <item x="421"/>
        <item x="321"/>
        <item x="34"/>
        <item x="385"/>
        <item x="313"/>
        <item x="83"/>
        <item x="113"/>
        <item x="306"/>
        <item x="259"/>
        <item x="422"/>
        <item x="300"/>
        <item x="320"/>
        <item x="65"/>
        <item x="191"/>
        <item x="396"/>
        <item x="386"/>
        <item x="189"/>
        <item x="323"/>
        <item x="231"/>
        <item x="409"/>
        <item x="311"/>
        <item x="271"/>
        <item x="455"/>
        <item x="132"/>
        <item x="456"/>
        <item x="130"/>
        <item x="260"/>
        <item x="182"/>
        <item x="18"/>
        <item x="335"/>
        <item x="449"/>
        <item x="228"/>
        <item x="84"/>
        <item x="329"/>
        <item x="470"/>
        <item x="54"/>
        <item x="312"/>
        <item x="429"/>
        <item x="497"/>
        <item x="275"/>
        <item x="474"/>
        <item x="384"/>
        <item x="427"/>
        <item x="60"/>
        <item x="492"/>
        <item x="317"/>
        <item x="212"/>
        <item x="338"/>
        <item x="111"/>
        <item x="464"/>
        <item x="444"/>
        <item x="344"/>
        <item x="252"/>
        <item x="485"/>
        <item x="440"/>
        <item x="219"/>
        <item x="187"/>
        <item x="361"/>
        <item x="230"/>
        <item x="162"/>
        <item x="93"/>
        <item x="400"/>
        <item x="214"/>
        <item x="501"/>
        <item x="114"/>
        <item x="146"/>
        <item x="356"/>
        <item x="406"/>
        <item x="443"/>
        <item x="402"/>
        <item x="185"/>
        <item x="263"/>
        <item x="209"/>
        <item x="481"/>
        <item x="364"/>
        <item x="117"/>
        <item x="23"/>
        <item x="395"/>
        <item x="22"/>
        <item x="59"/>
        <item x="258"/>
        <item x="307"/>
        <item x="504"/>
        <item x="239"/>
        <item x="467"/>
        <item t="default"/>
      </items>
    </pivotField>
    <pivotField compact="0" showAll="0">
      <items count="6">
        <item x="4"/>
        <item x="0"/>
        <item x="2"/>
        <item x="1"/>
        <item x="3"/>
        <item t="default"/>
      </items>
    </pivotField>
    <pivotField dataField="1" compact="0" showAll="0">
      <items count="881">
        <item x="441"/>
        <item x="125"/>
        <item x="51"/>
        <item x="691"/>
        <item x="100"/>
        <item x="769"/>
        <item x="298"/>
        <item x="335"/>
        <item x="114"/>
        <item x="323"/>
        <item x="148"/>
        <item x="33"/>
        <item x="472"/>
        <item x="417"/>
        <item x="180"/>
        <item x="175"/>
        <item x="668"/>
        <item x="243"/>
        <item x="379"/>
        <item x="393"/>
        <item x="366"/>
        <item x="248"/>
        <item x="468"/>
        <item x="113"/>
        <item x="704"/>
        <item x="96"/>
        <item x="241"/>
        <item x="99"/>
        <item x="159"/>
        <item x="778"/>
        <item x="545"/>
        <item x="801"/>
        <item x="117"/>
        <item x="802"/>
        <item x="549"/>
        <item x="120"/>
        <item x="130"/>
        <item x="300"/>
        <item x="434"/>
        <item x="770"/>
        <item x="753"/>
        <item x="484"/>
        <item x="724"/>
        <item x="356"/>
        <item x="693"/>
        <item x="792"/>
        <item x="703"/>
        <item x="145"/>
        <item x="82"/>
        <item x="178"/>
        <item x="520"/>
        <item x="378"/>
        <item x="521"/>
        <item x="643"/>
        <item x="599"/>
        <item x="794"/>
        <item x="627"/>
        <item x="509"/>
        <item x="784"/>
        <item x="589"/>
        <item x="22"/>
        <item x="447"/>
        <item x="606"/>
        <item x="213"/>
        <item x="620"/>
        <item x="754"/>
        <item x="11"/>
        <item x="132"/>
        <item x="409"/>
        <item x="696"/>
        <item x="546"/>
        <item x="77"/>
        <item x="236"/>
        <item x="481"/>
        <item x="227"/>
        <item x="726"/>
        <item x="329"/>
        <item x="250"/>
        <item x="110"/>
        <item x="200"/>
        <item x="798"/>
        <item x="443"/>
        <item x="168"/>
        <item x="267"/>
        <item x="713"/>
        <item x="718"/>
        <item x="687"/>
        <item x="716"/>
        <item x="499"/>
        <item x="147"/>
        <item x="425"/>
        <item x="667"/>
        <item x="740"/>
        <item x="420"/>
        <item x="863"/>
        <item x="115"/>
        <item x="220"/>
        <item x="8"/>
        <item x="680"/>
        <item x="249"/>
        <item x="287"/>
        <item x="601"/>
        <item x="654"/>
        <item x="741"/>
        <item x="35"/>
        <item x="757"/>
        <item x="442"/>
        <item x="762"/>
        <item x="46"/>
        <item x="684"/>
        <item x="649"/>
        <item x="252"/>
        <item x="81"/>
        <item x="429"/>
        <item x="333"/>
        <item x="358"/>
        <item x="773"/>
        <item x="372"/>
        <item x="832"/>
        <item x="392"/>
        <item x="783"/>
        <item x="495"/>
        <item x="52"/>
        <item x="660"/>
        <item x="502"/>
        <item x="836"/>
        <item x="40"/>
        <item x="334"/>
        <item x="386"/>
        <item x="126"/>
        <item x="184"/>
        <item x="431"/>
        <item x="108"/>
        <item x="570"/>
        <item x="596"/>
        <item x="224"/>
        <item x="848"/>
        <item x="683"/>
        <item x="782"/>
        <item x="722"/>
        <item x="530"/>
        <item x="542"/>
        <item x="686"/>
        <item x="195"/>
        <item x="18"/>
        <item x="749"/>
        <item x="341"/>
        <item x="712"/>
        <item x="304"/>
        <item x="210"/>
        <item x="526"/>
        <item x="294"/>
        <item x="841"/>
        <item x="316"/>
        <item x="357"/>
        <item x="506"/>
        <item x="411"/>
        <item x="516"/>
        <item x="440"/>
        <item x="330"/>
        <item x="226"/>
        <item x="515"/>
        <item x="310"/>
        <item x="860"/>
        <item x="296"/>
        <item x="32"/>
        <item x="633"/>
        <item x="153"/>
        <item x="349"/>
        <item x="208"/>
        <item x="471"/>
        <item x="803"/>
        <item x="513"/>
        <item x="619"/>
        <item x="351"/>
        <item x="95"/>
        <item x="34"/>
        <item x="365"/>
        <item x="462"/>
        <item x="291"/>
        <item x="112"/>
        <item x="647"/>
        <item x="707"/>
        <item x="187"/>
        <item x="825"/>
        <item x="91"/>
        <item x="43"/>
        <item x="202"/>
        <item x="185"/>
        <item x="856"/>
        <item x="739"/>
        <item x="139"/>
        <item x="280"/>
        <item x="380"/>
        <item x="593"/>
        <item x="849"/>
        <item x="851"/>
        <item x="448"/>
        <item x="656"/>
        <item x="735"/>
        <item x="14"/>
        <item x="655"/>
        <item x="193"/>
        <item x="865"/>
        <item x="87"/>
        <item x="805"/>
        <item x="263"/>
        <item x="875"/>
        <item x="638"/>
        <item x="562"/>
        <item x="512"/>
        <item x="284"/>
        <item x="123"/>
        <item x="198"/>
        <item x="575"/>
        <item x="688"/>
        <item x="317"/>
        <item x="679"/>
        <item x="301"/>
        <item x="412"/>
        <item x="830"/>
        <item x="3"/>
        <item x="209"/>
        <item x="732"/>
        <item x="146"/>
        <item x="755"/>
        <item x="681"/>
        <item x="36"/>
        <item x="413"/>
        <item x="602"/>
        <item x="813"/>
        <item x="206"/>
        <item x="230"/>
        <item x="504"/>
        <item x="196"/>
        <item x="635"/>
        <item x="527"/>
        <item x="305"/>
        <item x="107"/>
        <item x="321"/>
        <item x="827"/>
        <item x="339"/>
        <item x="700"/>
        <item x="373"/>
        <item x="399"/>
        <item x="315"/>
        <item x="309"/>
        <item x="869"/>
        <item x="90"/>
        <item x="751"/>
        <item x="326"/>
        <item x="89"/>
        <item x="728"/>
        <item x="489"/>
        <item x="149"/>
        <item x="552"/>
        <item x="522"/>
        <item x="28"/>
        <item x="556"/>
        <item x="207"/>
        <item x="388"/>
        <item x="342"/>
        <item x="642"/>
        <item x="121"/>
        <item x="141"/>
        <item x="352"/>
        <item x="765"/>
        <item x="631"/>
        <item x="0"/>
        <item x="563"/>
        <item x="428"/>
        <item x="564"/>
        <item x="577"/>
        <item x="331"/>
        <item x="844"/>
        <item x="490"/>
        <item x="256"/>
        <item x="695"/>
        <item x="186"/>
        <item x="671"/>
        <item x="76"/>
        <item x="624"/>
        <item x="879"/>
        <item x="439"/>
        <item x="730"/>
        <item x="427"/>
        <item x="797"/>
        <item x="466"/>
        <item x="789"/>
        <item x="221"/>
        <item x="581"/>
        <item x="720"/>
        <item x="611"/>
        <item x="612"/>
        <item x="165"/>
        <item x="12"/>
        <item x="623"/>
        <item x="269"/>
        <item x="839"/>
        <item x="318"/>
        <item x="30"/>
        <item x="133"/>
        <item x="554"/>
        <item x="174"/>
        <item x="461"/>
        <item x="818"/>
        <item x="105"/>
        <item x="169"/>
        <item x="833"/>
        <item x="781"/>
        <item x="482"/>
        <item x="662"/>
        <item x="422"/>
        <item x="277"/>
        <item x="503"/>
        <item x="382"/>
        <item x="223"/>
        <item x="328"/>
        <item x="71"/>
        <item x="327"/>
        <item x="25"/>
        <item x="381"/>
        <item x="727"/>
        <item x="717"/>
        <item x="21"/>
        <item x="17"/>
        <item x="658"/>
        <item x="163"/>
        <item x="432"/>
        <item x="403"/>
        <item x="759"/>
        <item x="288"/>
        <item x="702"/>
        <item x="651"/>
        <item x="807"/>
        <item x="396"/>
        <item x="271"/>
        <item x="66"/>
        <item x="731"/>
        <item x="597"/>
        <item x="156"/>
        <item x="74"/>
        <item x="69"/>
        <item x="290"/>
        <item x="846"/>
        <item x="374"/>
        <item x="791"/>
        <item x="253"/>
        <item x="172"/>
        <item x="306"/>
        <item x="843"/>
        <item x="458"/>
        <item x="161"/>
        <item x="775"/>
        <item x="354"/>
        <item x="205"/>
        <item x="525"/>
        <item x="10"/>
        <item x="219"/>
        <item x="158"/>
        <item x="29"/>
        <item x="118"/>
        <item x="657"/>
        <item x="690"/>
        <item x="361"/>
        <item x="531"/>
        <item x="233"/>
        <item x="665"/>
        <item x="122"/>
        <item x="598"/>
        <item x="204"/>
        <item x="75"/>
        <item x="177"/>
        <item x="831"/>
        <item x="363"/>
        <item x="603"/>
        <item x="289"/>
        <item x="282"/>
        <item x="788"/>
        <item x="56"/>
        <item x="809"/>
        <item x="19"/>
        <item x="231"/>
        <item x="414"/>
        <item x="626"/>
        <item x="237"/>
        <item x="529"/>
        <item x="550"/>
        <item x="677"/>
        <item x="390"/>
        <item x="666"/>
        <item x="192"/>
        <item x="144"/>
        <item x="566"/>
        <item x="456"/>
        <item x="510"/>
        <item x="47"/>
        <item x="322"/>
        <item x="338"/>
        <item x="6"/>
        <item x="857"/>
        <item x="698"/>
        <item x="128"/>
        <item x="568"/>
        <item x="13"/>
        <item x="790"/>
        <item x="592"/>
        <item x="255"/>
        <item x="246"/>
        <item x="84"/>
        <item x="600"/>
        <item x="37"/>
        <item x="519"/>
        <item x="508"/>
        <item x="847"/>
        <item x="514"/>
        <item x="585"/>
        <item x="756"/>
        <item x="86"/>
        <item x="787"/>
        <item x="646"/>
        <item x="313"/>
        <item x="493"/>
        <item x="752"/>
        <item x="377"/>
        <item x="53"/>
        <item x="811"/>
        <item x="491"/>
        <item x="558"/>
        <item x="733"/>
        <item x="395"/>
        <item x="614"/>
        <item x="474"/>
        <item x="555"/>
        <item x="485"/>
        <item x="410"/>
        <item x="92"/>
        <item x="212"/>
        <item x="83"/>
        <item x="618"/>
        <item x="407"/>
        <item x="98"/>
        <item x="344"/>
        <item x="533"/>
        <item x="729"/>
        <item x="137"/>
        <item x="835"/>
        <item x="580"/>
        <item x="72"/>
        <item x="664"/>
        <item x="804"/>
        <item x="706"/>
        <item x="398"/>
        <item x="449"/>
        <item x="324"/>
        <item x="547"/>
        <item x="744"/>
        <item x="167"/>
        <item x="189"/>
        <item x="535"/>
        <item x="872"/>
        <item x="579"/>
        <item x="543"/>
        <item x="179"/>
        <item x="182"/>
        <item x="534"/>
        <item x="299"/>
        <item x="265"/>
        <item x="645"/>
        <item x="16"/>
        <item x="435"/>
        <item x="607"/>
        <item x="405"/>
        <item x="2"/>
        <item x="641"/>
        <item x="661"/>
        <item x="337"/>
        <item x="583"/>
        <item x="218"/>
        <item x="239"/>
        <item x="24"/>
        <item x="817"/>
        <item x="652"/>
        <item x="140"/>
        <item x="281"/>
        <item x="311"/>
        <item x="477"/>
        <item x="488"/>
        <item x="673"/>
        <item x="270"/>
        <item x="433"/>
        <item x="494"/>
        <item x="278"/>
        <item x="103"/>
        <item x="876"/>
        <item x="188"/>
        <item x="383"/>
        <item x="389"/>
        <item x="492"/>
        <item x="511"/>
        <item x="171"/>
        <item x="211"/>
        <item x="48"/>
        <item x="780"/>
        <item x="285"/>
        <item x="861"/>
        <item x="61"/>
        <item x="183"/>
        <item x="605"/>
        <item x="594"/>
        <item x="15"/>
        <item x="810"/>
        <item x="842"/>
        <item x="528"/>
        <item x="276"/>
        <item x="136"/>
        <item x="421"/>
        <item x="4"/>
        <item x="9"/>
        <item x="312"/>
        <item x="719"/>
        <item x="314"/>
        <item x="418"/>
        <item x="829"/>
        <item x="824"/>
        <item x="845"/>
        <item x="181"/>
        <item x="816"/>
        <item x="507"/>
        <item x="537"/>
        <item x="214"/>
        <item x="639"/>
        <item x="465"/>
        <item x="604"/>
        <item x="734"/>
        <item x="701"/>
        <item x="463"/>
        <item x="142"/>
        <item x="176"/>
        <item x="553"/>
        <item x="672"/>
        <item x="348"/>
        <item x="648"/>
        <item x="630"/>
        <item x="736"/>
        <item x="826"/>
        <item x="708"/>
        <item x="518"/>
        <item x="541"/>
        <item x="498"/>
        <item x="408"/>
        <item x="247"/>
        <item x="483"/>
        <item x="548"/>
        <item x="190"/>
        <item x="23"/>
        <item x="360"/>
        <item x="119"/>
        <item x="721"/>
        <item x="325"/>
        <item x="164"/>
        <item x="111"/>
        <item x="571"/>
        <item x="257"/>
        <item x="551"/>
        <item x="106"/>
        <item x="505"/>
        <item x="88"/>
        <item x="150"/>
        <item x="197"/>
        <item x="228"/>
        <item x="685"/>
        <item x="796"/>
        <item x="523"/>
        <item x="820"/>
        <item x="391"/>
        <item x="476"/>
        <item x="742"/>
        <item x="539"/>
        <item x="39"/>
        <item x="62"/>
        <item x="364"/>
        <item x="569"/>
        <item x="559"/>
        <item x="689"/>
        <item x="308"/>
        <item x="41"/>
        <item x="116"/>
        <item x="776"/>
        <item x="578"/>
        <item x="401"/>
        <item x="500"/>
        <item x="215"/>
        <item x="157"/>
        <item x="455"/>
        <item x="101"/>
        <item x="254"/>
        <item x="262"/>
        <item x="850"/>
        <item x="574"/>
        <item x="217"/>
        <item x="838"/>
        <item x="613"/>
        <item x="864"/>
        <item x="234"/>
        <item x="295"/>
        <item x="44"/>
        <item x="567"/>
        <item x="561"/>
        <item x="397"/>
        <item x="758"/>
        <item x="216"/>
        <item x="709"/>
        <item x="475"/>
        <item x="166"/>
        <item x="367"/>
        <item x="400"/>
        <item x="663"/>
        <item x="274"/>
        <item x="540"/>
        <item x="705"/>
        <item x="336"/>
        <item x="80"/>
        <item x="54"/>
        <item x="621"/>
        <item x="266"/>
        <item x="45"/>
        <item x="858"/>
        <item x="160"/>
        <item x="822"/>
        <item x="151"/>
        <item x="745"/>
        <item x="469"/>
        <item x="859"/>
        <item x="650"/>
        <item x="59"/>
        <item x="748"/>
        <item x="467"/>
        <item x="293"/>
        <item x="1"/>
        <item x="557"/>
        <item x="199"/>
        <item x="67"/>
        <item x="747"/>
        <item x="799"/>
        <item x="764"/>
        <item x="560"/>
        <item x="676"/>
        <item x="853"/>
        <item x="124"/>
        <item x="129"/>
        <item x="359"/>
        <item x="155"/>
        <item x="170"/>
        <item x="785"/>
        <item x="244"/>
        <item x="723"/>
        <item x="201"/>
        <item x="402"/>
        <item x="286"/>
        <item x="451"/>
        <item x="608"/>
        <item x="232"/>
        <item x="143"/>
        <item x="109"/>
        <item x="355"/>
        <item x="637"/>
        <item x="5"/>
        <item x="445"/>
        <item x="457"/>
        <item x="31"/>
        <item x="55"/>
        <item x="264"/>
        <item x="251"/>
        <item x="486"/>
        <item x="793"/>
        <item x="573"/>
        <item x="222"/>
        <item x="743"/>
        <item x="57"/>
        <item x="258"/>
        <item x="404"/>
        <item x="454"/>
        <item x="38"/>
        <item x="586"/>
        <item x="682"/>
        <item x="370"/>
        <item x="63"/>
        <item x="50"/>
        <item x="79"/>
        <item x="260"/>
        <item x="93"/>
        <item x="42"/>
        <item x="855"/>
        <item x="134"/>
        <item x="426"/>
        <item x="345"/>
        <item x="369"/>
        <item x="806"/>
        <item x="840"/>
        <item x="453"/>
        <item x="70"/>
        <item x="590"/>
        <item x="319"/>
        <item x="854"/>
        <item x="766"/>
        <item x="7"/>
        <item x="73"/>
        <item x="240"/>
        <item x="587"/>
        <item x="750"/>
        <item x="368"/>
        <item x="238"/>
        <item x="774"/>
        <item x="588"/>
        <item x="460"/>
        <item x="261"/>
        <item x="823"/>
        <item x="871"/>
        <item x="786"/>
        <item x="634"/>
        <item x="242"/>
        <item x="436"/>
        <item x="303"/>
        <item x="874"/>
        <item x="376"/>
        <item x="480"/>
        <item x="699"/>
        <item x="632"/>
        <item x="437"/>
        <item x="678"/>
        <item x="292"/>
        <item x="362"/>
        <item x="737"/>
        <item x="154"/>
        <item x="738"/>
        <item x="58"/>
        <item x="669"/>
        <item x="517"/>
        <item x="152"/>
        <item x="761"/>
        <item x="821"/>
        <item x="878"/>
        <item x="225"/>
        <item x="424"/>
        <item x="375"/>
        <item x="444"/>
        <item x="625"/>
        <item x="710"/>
        <item x="653"/>
        <item x="725"/>
        <item x="279"/>
        <item x="464"/>
        <item x="473"/>
        <item x="867"/>
        <item x="616"/>
        <item x="297"/>
        <item x="94"/>
        <item x="49"/>
        <item x="470"/>
        <item x="772"/>
        <item x="60"/>
        <item x="340"/>
        <item x="203"/>
        <item x="595"/>
        <item x="615"/>
        <item x="610"/>
        <item x="837"/>
        <item x="438"/>
        <item x="162"/>
        <item x="674"/>
        <item x="862"/>
        <item x="371"/>
        <item x="777"/>
        <item x="423"/>
        <item x="714"/>
        <item x="692"/>
        <item x="78"/>
        <item x="584"/>
        <item x="670"/>
        <item x="68"/>
        <item x="353"/>
        <item x="711"/>
        <item x="346"/>
        <item x="273"/>
        <item x="536"/>
        <item x="406"/>
        <item x="272"/>
        <item x="834"/>
        <item x="819"/>
        <item x="102"/>
        <item x="487"/>
        <item x="131"/>
        <item x="496"/>
        <item x="760"/>
        <item x="387"/>
        <item x="385"/>
        <item x="715"/>
        <item x="501"/>
        <item x="332"/>
        <item x="815"/>
        <item x="697"/>
        <item x="85"/>
        <item x="283"/>
        <item x="235"/>
        <item x="628"/>
        <item x="746"/>
        <item x="532"/>
        <item x="302"/>
        <item x="640"/>
        <item x="419"/>
        <item x="194"/>
        <item x="104"/>
        <item x="275"/>
        <item x="544"/>
        <item x="572"/>
        <item x="675"/>
        <item x="873"/>
        <item x="452"/>
        <item x="771"/>
        <item x="135"/>
        <item x="65"/>
        <item x="416"/>
        <item x="767"/>
        <item x="868"/>
        <item x="173"/>
        <item x="524"/>
        <item x="497"/>
        <item x="622"/>
        <item x="347"/>
        <item x="591"/>
        <item x="97"/>
        <item x="852"/>
        <item x="870"/>
        <item x="644"/>
        <item x="800"/>
        <item x="617"/>
        <item x="229"/>
        <item x="779"/>
        <item x="478"/>
        <item x="245"/>
        <item x="446"/>
        <item x="866"/>
        <item x="629"/>
        <item x="415"/>
        <item x="350"/>
        <item x="320"/>
        <item x="814"/>
        <item x="268"/>
        <item x="659"/>
        <item x="808"/>
        <item x="694"/>
        <item x="565"/>
        <item x="20"/>
        <item x="64"/>
        <item x="538"/>
        <item x="812"/>
        <item x="127"/>
        <item x="138"/>
        <item x="384"/>
        <item x="394"/>
        <item x="459"/>
        <item x="27"/>
        <item x="609"/>
        <item x="450"/>
        <item x="26"/>
        <item x="582"/>
        <item x="828"/>
        <item x="479"/>
        <item x="343"/>
        <item x="259"/>
        <item x="307"/>
        <item x="795"/>
        <item x="430"/>
        <item x="576"/>
        <item x="763"/>
        <item x="636"/>
        <item x="191"/>
        <item x="877"/>
        <item x="768"/>
        <item t="default"/>
      </items>
    </pivotField>
    <pivotField compact="0" showAll="0">
      <items count="1001">
        <item x="473"/>
        <item x="129"/>
        <item x="573"/>
        <item x="772"/>
        <item x="102"/>
        <item x="866"/>
        <item x="314"/>
        <item x="354"/>
        <item x="118"/>
        <item x="342"/>
        <item x="153"/>
        <item x="33"/>
        <item x="510"/>
        <item x="445"/>
        <item x="187"/>
        <item x="181"/>
        <item x="742"/>
        <item x="254"/>
        <item x="401"/>
        <item x="415"/>
        <item x="387"/>
        <item x="259"/>
        <item x="506"/>
        <item x="117"/>
        <item x="788"/>
        <item x="97"/>
        <item x="252"/>
        <item x="101"/>
        <item x="165"/>
        <item x="877"/>
        <item x="592"/>
        <item x="907"/>
        <item x="121"/>
        <item x="908"/>
        <item x="596"/>
        <item x="421"/>
        <item x="134"/>
        <item x="316"/>
        <item x="464"/>
        <item x="867"/>
        <item x="850"/>
        <item x="522"/>
        <item x="813"/>
        <item x="376"/>
        <item x="774"/>
        <item x="895"/>
        <item x="786"/>
        <item x="149"/>
        <item x="648"/>
        <item x="184"/>
        <item x="562"/>
        <item x="400"/>
        <item x="563"/>
        <item x="707"/>
        <item x="654"/>
        <item x="898"/>
        <item x="690"/>
        <item x="550"/>
        <item x="884"/>
        <item x="640"/>
        <item x="22"/>
        <item x="868"/>
        <item x="661"/>
        <item x="223"/>
        <item x="680"/>
        <item x="851"/>
        <item x="11"/>
        <item x="136"/>
        <item x="436"/>
        <item x="778"/>
        <item x="593"/>
        <item x="78"/>
        <item x="753"/>
        <item x="519"/>
        <item x="238"/>
        <item x="818"/>
        <item x="348"/>
        <item x="261"/>
        <item x="114"/>
        <item x="209"/>
        <item x="903"/>
        <item x="476"/>
        <item x="174"/>
        <item x="278"/>
        <item x="800"/>
        <item x="806"/>
        <item x="767"/>
        <item x="804"/>
        <item x="539"/>
        <item x="152"/>
        <item x="453"/>
        <item x="741"/>
        <item x="835"/>
        <item x="448"/>
        <item x="979"/>
        <item x="307"/>
        <item x="119"/>
        <item x="231"/>
        <item x="227"/>
        <item x="757"/>
        <item x="260"/>
        <item x="300"/>
        <item x="656"/>
        <item x="720"/>
        <item x="836"/>
        <item x="35"/>
        <item x="854"/>
        <item x="474"/>
        <item x="859"/>
        <item x="46"/>
        <item x="762"/>
        <item x="713"/>
        <item x="263"/>
        <item x="82"/>
        <item x="458"/>
        <item x="725"/>
        <item x="378"/>
        <item x="872"/>
        <item x="394"/>
        <item x="941"/>
        <item x="414"/>
        <item x="883"/>
        <item x="534"/>
        <item x="52"/>
        <item x="733"/>
        <item x="542"/>
        <item x="945"/>
        <item x="40"/>
        <item x="353"/>
        <item x="408"/>
        <item x="130"/>
        <item x="191"/>
        <item x="461"/>
        <item x="112"/>
        <item x="621"/>
        <item x="651"/>
        <item x="235"/>
        <item x="961"/>
        <item x="761"/>
        <item x="882"/>
        <item x="810"/>
        <item x="572"/>
        <item x="588"/>
        <item x="766"/>
        <item x="204"/>
        <item x="18"/>
        <item x="845"/>
        <item x="718"/>
        <item x="336"/>
        <item x="797"/>
        <item x="320"/>
        <item x="220"/>
        <item x="568"/>
        <item x="310"/>
        <item x="953"/>
        <item x="682"/>
        <item x="377"/>
        <item x="124"/>
        <item x="546"/>
        <item x="438"/>
        <item x="557"/>
        <item x="472"/>
        <item x="349"/>
        <item x="237"/>
        <item x="556"/>
        <item x="727"/>
        <item x="974"/>
        <item x="312"/>
        <item x="32"/>
        <item x="696"/>
        <item x="158"/>
        <item x="369"/>
        <item x="948"/>
        <item x="509"/>
        <item x="911"/>
        <item x="554"/>
        <item x="679"/>
        <item x="371"/>
        <item x="96"/>
        <item x="196"/>
        <item x="386"/>
        <item x="499"/>
        <item x="532"/>
        <item x="116"/>
        <item x="711"/>
        <item x="791"/>
        <item x="194"/>
        <item x="934"/>
        <item x="92"/>
        <item x="586"/>
        <item x="212"/>
        <item x="192"/>
        <item x="970"/>
        <item x="832"/>
        <item x="687"/>
        <item x="143"/>
        <item x="352"/>
        <item x="292"/>
        <item x="402"/>
        <item x="645"/>
        <item x="962"/>
        <item x="964"/>
        <item x="483"/>
        <item x="724"/>
        <item x="828"/>
        <item x="14"/>
        <item x="721"/>
        <item x="202"/>
        <item x="983"/>
        <item x="88"/>
        <item x="815"/>
        <item x="913"/>
        <item x="460"/>
        <item x="994"/>
        <item x="701"/>
        <item x="611"/>
        <item x="553"/>
        <item x="297"/>
        <item x="162"/>
        <item x="207"/>
        <item x="626"/>
        <item x="768"/>
        <item x="335"/>
        <item x="755"/>
        <item x="871"/>
        <item x="439"/>
        <item x="939"/>
        <item x="3"/>
        <item x="219"/>
        <item x="825"/>
        <item x="151"/>
        <item x="852"/>
        <item x="758"/>
        <item x="36"/>
        <item x="440"/>
        <item x="657"/>
        <item x="921"/>
        <item x="216"/>
        <item x="241"/>
        <item x="544"/>
        <item x="205"/>
        <item x="698"/>
        <item x="569"/>
        <item x="321"/>
        <item x="798"/>
        <item x="340"/>
        <item x="936"/>
        <item x="358"/>
        <item x="783"/>
        <item x="395"/>
        <item x="423"/>
        <item x="332"/>
        <item x="325"/>
        <item x="988"/>
        <item x="91"/>
        <item x="847"/>
        <item x="345"/>
        <item x="8"/>
        <item x="108"/>
        <item x="821"/>
        <item x="527"/>
        <item x="154"/>
        <item x="601"/>
        <item x="564"/>
        <item x="482"/>
        <item x="28"/>
        <item x="605"/>
        <item x="217"/>
        <item x="410"/>
        <item x="361"/>
        <item x="706"/>
        <item x="125"/>
        <item x="145"/>
        <item x="372"/>
        <item x="862"/>
        <item x="694"/>
        <item x="0"/>
        <item x="613"/>
        <item x="456"/>
        <item x="614"/>
        <item x="628"/>
        <item x="350"/>
        <item x="957"/>
        <item x="528"/>
        <item x="267"/>
        <item x="777"/>
        <item x="547"/>
        <item x="745"/>
        <item x="77"/>
        <item x="686"/>
        <item x="998"/>
        <item x="756"/>
        <item x="823"/>
        <item x="455"/>
        <item x="901"/>
        <item x="503"/>
        <item x="892"/>
        <item x="619"/>
        <item x="632"/>
        <item x="808"/>
        <item x="670"/>
        <item x="671"/>
        <item x="90"/>
        <item x="171"/>
        <item x="12"/>
        <item x="685"/>
        <item x="280"/>
        <item x="950"/>
        <item x="481"/>
        <item x="30"/>
        <item x="137"/>
        <item x="603"/>
        <item x="53"/>
        <item x="180"/>
        <item x="498"/>
        <item x="926"/>
        <item x="109"/>
        <item x="175"/>
        <item x="942"/>
        <item x="881"/>
        <item x="984"/>
        <item x="735"/>
        <item x="450"/>
        <item x="289"/>
        <item x="543"/>
        <item x="404"/>
        <item x="906"/>
        <item x="347"/>
        <item x="72"/>
        <item x="346"/>
        <item x="25"/>
        <item x="403"/>
        <item x="819"/>
        <item x="805"/>
        <item x="21"/>
        <item x="17"/>
        <item x="728"/>
        <item x="169"/>
        <item x="462"/>
        <item x="475"/>
        <item x="856"/>
        <item x="955"/>
        <item x="785"/>
        <item x="716"/>
        <item x="915"/>
        <item x="43"/>
        <item x="419"/>
        <item x="282"/>
        <item x="67"/>
        <item x="824"/>
        <item x="981"/>
        <item x="161"/>
        <item x="75"/>
        <item x="70"/>
        <item x="303"/>
        <item x="959"/>
        <item x="396"/>
        <item x="894"/>
        <item x="264"/>
        <item x="178"/>
        <item x="322"/>
        <item x="956"/>
        <item x="493"/>
        <item x="167"/>
        <item x="874"/>
        <item x="723"/>
        <item x="374"/>
        <item x="215"/>
        <item x="567"/>
        <item x="10"/>
        <item x="230"/>
        <item x="164"/>
        <item x="29"/>
        <item x="122"/>
        <item x="726"/>
        <item x="771"/>
        <item x="382"/>
        <item x="432"/>
        <item x="574"/>
        <item x="244"/>
        <item x="738"/>
        <item x="126"/>
        <item x="653"/>
        <item x="214"/>
        <item x="76"/>
        <item x="183"/>
        <item x="703"/>
        <item x="940"/>
        <item x="384"/>
        <item x="658"/>
        <item x="302"/>
        <item x="294"/>
        <item x="891"/>
        <item x="57"/>
        <item x="917"/>
        <item x="19"/>
        <item x="242"/>
        <item x="442"/>
        <item x="689"/>
        <item x="248"/>
        <item x="643"/>
        <item x="597"/>
        <item x="752"/>
        <item x="412"/>
        <item x="740"/>
        <item x="200"/>
        <item x="148"/>
        <item x="616"/>
        <item x="491"/>
        <item x="551"/>
        <item x="47"/>
        <item x="341"/>
        <item x="357"/>
        <item x="6"/>
        <item x="971"/>
        <item x="781"/>
        <item x="132"/>
        <item x="765"/>
        <item x="13"/>
        <item x="34"/>
        <item x="715"/>
        <item x="893"/>
        <item x="644"/>
        <item x="266"/>
        <item x="257"/>
        <item x="85"/>
        <item x="571"/>
        <item x="655"/>
        <item x="618"/>
        <item x="37"/>
        <item x="561"/>
        <item x="549"/>
        <item x="960"/>
        <item x="555"/>
        <item x="636"/>
        <item x="853"/>
        <item x="87"/>
        <item x="888"/>
        <item x="710"/>
        <item x="457"/>
        <item x="330"/>
        <item x="531"/>
        <item x="127"/>
        <item x="849"/>
        <item x="399"/>
        <item x="576"/>
        <item x="919"/>
        <item x="529"/>
        <item x="607"/>
        <item x="536"/>
        <item x="826"/>
        <item x="418"/>
        <item x="673"/>
        <item x="305"/>
        <item x="512"/>
        <item x="760"/>
        <item x="604"/>
        <item x="523"/>
        <item x="234"/>
        <item x="426"/>
        <item x="437"/>
        <item x="93"/>
        <item x="222"/>
        <item x="84"/>
        <item x="678"/>
        <item x="434"/>
        <item x="578"/>
        <item x="100"/>
        <item x="111"/>
        <item x="363"/>
        <item x="577"/>
        <item x="822"/>
        <item x="141"/>
        <item x="834"/>
        <item x="944"/>
        <item x="631"/>
        <item x="73"/>
        <item x="737"/>
        <item x="912"/>
        <item x="790"/>
        <item x="422"/>
        <item x="484"/>
        <item x="343"/>
        <item x="594"/>
        <item x="839"/>
        <item x="173"/>
        <item x="197"/>
        <item x="580"/>
        <item x="337"/>
        <item x="991"/>
        <item x="630"/>
        <item x="590"/>
        <item x="186"/>
        <item x="189"/>
        <item x="579"/>
        <item x="799"/>
        <item x="276"/>
        <item x="709"/>
        <item x="16"/>
        <item x="465"/>
        <item x="663"/>
        <item x="431"/>
        <item x="2"/>
        <item x="185"/>
        <item x="705"/>
        <item x="734"/>
        <item x="722"/>
        <item x="634"/>
        <item x="379"/>
        <item x="360"/>
        <item x="250"/>
        <item x="24"/>
        <item x="925"/>
        <item x="717"/>
        <item x="144"/>
        <item x="293"/>
        <item x="649"/>
        <item x="515"/>
        <item x="526"/>
        <item x="664"/>
        <item x="748"/>
        <item x="281"/>
        <item x="463"/>
        <item x="533"/>
        <item x="290"/>
        <item x="106"/>
        <item x="995"/>
        <item x="195"/>
        <item x="405"/>
        <item x="411"/>
        <item x="530"/>
        <item x="552"/>
        <item x="177"/>
        <item x="221"/>
        <item x="48"/>
        <item x="879"/>
        <item x="298"/>
        <item x="975"/>
        <item x="62"/>
        <item x="190"/>
        <item x="660"/>
        <item x="647"/>
        <item x="15"/>
        <item x="918"/>
        <item x="954"/>
        <item x="570"/>
        <item x="287"/>
        <item x="140"/>
        <item x="449"/>
        <item x="4"/>
        <item x="9"/>
        <item x="329"/>
        <item x="807"/>
        <item x="331"/>
        <item x="446"/>
        <item x="938"/>
        <item x="932"/>
        <item x="308"/>
        <item x="958"/>
        <item x="188"/>
        <item x="924"/>
        <item x="548"/>
        <item x="582"/>
        <item x="224"/>
        <item x="702"/>
        <item x="502"/>
        <item x="659"/>
        <item x="827"/>
        <item x="784"/>
        <item x="500"/>
        <item x="146"/>
        <item x="182"/>
        <item x="602"/>
        <item x="747"/>
        <item x="368"/>
        <item x="315"/>
        <item x="712"/>
        <item x="693"/>
        <item x="829"/>
        <item x="935"/>
        <item x="792"/>
        <item x="83"/>
        <item x="560"/>
        <item x="587"/>
        <item x="538"/>
        <item x="435"/>
        <item x="933"/>
        <item x="258"/>
        <item x="521"/>
        <item x="595"/>
        <item x="198"/>
        <item x="23"/>
        <item x="381"/>
        <item x="123"/>
        <item x="999"/>
        <item x="809"/>
        <item x="344"/>
        <item x="210"/>
        <item x="477"/>
        <item x="885"/>
        <item x="115"/>
        <item x="622"/>
        <item x="268"/>
        <item x="598"/>
        <item x="110"/>
        <item x="545"/>
        <item x="89"/>
        <item x="155"/>
        <item x="206"/>
        <item x="889"/>
        <item x="600"/>
        <item x="764"/>
        <item x="900"/>
        <item x="565"/>
        <item x="951"/>
        <item x="928"/>
        <item x="413"/>
        <item x="514"/>
        <item x="837"/>
        <item x="584"/>
        <item x="39"/>
        <item x="63"/>
        <item x="385"/>
        <item x="620"/>
        <item x="608"/>
        <item x="317"/>
        <item x="770"/>
        <item x="324"/>
        <item x="232"/>
        <item x="41"/>
        <item x="120"/>
        <item x="875"/>
        <item x="629"/>
        <item x="425"/>
        <item x="540"/>
        <item x="225"/>
        <item x="163"/>
        <item x="490"/>
        <item x="104"/>
        <item x="646"/>
        <item x="909"/>
        <item x="273"/>
        <item x="963"/>
        <item x="625"/>
        <item x="228"/>
        <item x="949"/>
        <item x="672"/>
        <item x="982"/>
        <item x="245"/>
        <item x="311"/>
        <item x="44"/>
        <item x="617"/>
        <item x="610"/>
        <item x="420"/>
        <item x="304"/>
        <item x="855"/>
        <item x="226"/>
        <item x="793"/>
        <item x="513"/>
        <item x="172"/>
        <item x="389"/>
        <item x="424"/>
        <item x="736"/>
        <item x="285"/>
        <item x="585"/>
        <item x="789"/>
        <item x="355"/>
        <item x="218"/>
        <item x="81"/>
        <item x="103"/>
        <item x="681"/>
        <item x="193"/>
        <item x="277"/>
        <item x="496"/>
        <item x="848"/>
        <item x="972"/>
        <item x="166"/>
        <item x="930"/>
        <item x="156"/>
        <item x="840"/>
        <item x="507"/>
        <item x="973"/>
        <item x="769"/>
        <item x="599"/>
        <item x="60"/>
        <item x="665"/>
        <item x="844"/>
        <item x="504"/>
        <item x="309"/>
        <item x="1"/>
        <item x="333"/>
        <item x="606"/>
        <item x="208"/>
        <item x="833"/>
        <item x="842"/>
        <item x="904"/>
        <item x="861"/>
        <item x="609"/>
        <item x="751"/>
        <item x="966"/>
        <item x="128"/>
        <item x="170"/>
        <item x="467"/>
        <item x="380"/>
        <item x="160"/>
        <item x="176"/>
        <item x="886"/>
        <item x="98"/>
        <item x="255"/>
        <item x="327"/>
        <item x="812"/>
        <item x="211"/>
        <item x="427"/>
        <item x="299"/>
        <item x="486"/>
        <item x="666"/>
        <item x="495"/>
        <item x="243"/>
        <item x="147"/>
        <item x="559"/>
        <item x="113"/>
        <item x="375"/>
        <item x="700"/>
        <item x="5"/>
        <item x="479"/>
        <item x="492"/>
        <item x="31"/>
        <item x="470"/>
        <item x="56"/>
        <item x="275"/>
        <item x="356"/>
        <item x="262"/>
        <item x="739"/>
        <item x="524"/>
        <item x="897"/>
        <item x="896"/>
        <item x="624"/>
        <item x="233"/>
        <item x="838"/>
        <item x="58"/>
        <item x="269"/>
        <item x="430"/>
        <item x="731"/>
        <item x="489"/>
        <item x="843"/>
        <item x="38"/>
        <item x="637"/>
        <item x="759"/>
        <item x="763"/>
        <item x="392"/>
        <item x="64"/>
        <item x="50"/>
        <item x="730"/>
        <item x="271"/>
        <item x="94"/>
        <item x="42"/>
        <item x="969"/>
        <item x="138"/>
        <item x="454"/>
        <item x="364"/>
        <item x="732"/>
        <item x="391"/>
        <item x="239"/>
        <item x="914"/>
        <item x="952"/>
        <item x="488"/>
        <item x="71"/>
        <item x="641"/>
        <item x="247"/>
        <item x="288"/>
        <item x="365"/>
        <item x="977"/>
        <item x="338"/>
        <item x="967"/>
        <item x="863"/>
        <item x="7"/>
        <item x="74"/>
        <item x="251"/>
        <item x="669"/>
        <item x="638"/>
        <item x="846"/>
        <item x="80"/>
        <item x="390"/>
        <item x="249"/>
        <item x="873"/>
        <item x="639"/>
        <item x="497"/>
        <item x="272"/>
        <item x="931"/>
        <item x="990"/>
        <item x="887"/>
        <item x="697"/>
        <item x="253"/>
        <item x="466"/>
        <item x="319"/>
        <item x="993"/>
        <item x="968"/>
        <item x="398"/>
        <item x="441"/>
        <item x="518"/>
        <item x="782"/>
        <item x="695"/>
        <item x="714"/>
        <item x="468"/>
        <item x="754"/>
        <item x="306"/>
        <item x="383"/>
        <item x="830"/>
        <item x="159"/>
        <item x="831"/>
        <item x="59"/>
        <item x="743"/>
        <item x="558"/>
        <item x="683"/>
        <item x="814"/>
        <item x="157"/>
        <item x="980"/>
        <item x="775"/>
        <item x="612"/>
        <item x="858"/>
        <item x="929"/>
        <item x="997"/>
        <item x="236"/>
        <item x="452"/>
        <item x="397"/>
        <item x="520"/>
        <item x="478"/>
        <item x="688"/>
        <item x="55"/>
        <item x="505"/>
        <item x="794"/>
        <item x="746"/>
        <item x="719"/>
        <item x="816"/>
        <item x="471"/>
        <item x="291"/>
        <item x="501"/>
        <item x="511"/>
        <item x="890"/>
        <item x="986"/>
        <item x="676"/>
        <item x="796"/>
        <item x="313"/>
        <item x="779"/>
        <item x="95"/>
        <item x="49"/>
        <item x="508"/>
        <item x="870"/>
        <item x="45"/>
        <item x="61"/>
        <item x="359"/>
        <item x="213"/>
        <item x="650"/>
        <item x="326"/>
        <item x="674"/>
        <item x="668"/>
        <item x="947"/>
        <item x="469"/>
        <item x="168"/>
        <item x="749"/>
        <item x="976"/>
        <item x="393"/>
        <item x="876"/>
        <item x="451"/>
        <item x="801"/>
        <item x="773"/>
        <item x="79"/>
        <item x="635"/>
        <item x="662"/>
        <item x="744"/>
        <item x="69"/>
        <item x="373"/>
        <item x="795"/>
        <item x="946"/>
        <item x="366"/>
        <item x="284"/>
        <item x="589"/>
        <item x="581"/>
        <item x="433"/>
        <item x="283"/>
        <item x="943"/>
        <item x="927"/>
        <item x="105"/>
        <item x="525"/>
        <item x="135"/>
        <item x="535"/>
        <item x="857"/>
        <item x="409"/>
        <item x="407"/>
        <item x="803"/>
        <item x="541"/>
        <item x="351"/>
        <item x="923"/>
        <item x="780"/>
        <item x="86"/>
        <item x="295"/>
        <item x="246"/>
        <item x="691"/>
        <item x="841"/>
        <item x="575"/>
        <item x="318"/>
        <item x="704"/>
        <item x="447"/>
        <item x="203"/>
        <item x="107"/>
        <item x="388"/>
        <item x="675"/>
        <item x="328"/>
        <item x="274"/>
        <item x="286"/>
        <item x="591"/>
        <item x="623"/>
        <item x="750"/>
        <item x="992"/>
        <item x="296"/>
        <item x="487"/>
        <item x="869"/>
        <item x="811"/>
        <item x="139"/>
        <item x="150"/>
        <item x="910"/>
        <item x="66"/>
        <item x="444"/>
        <item x="864"/>
        <item x="987"/>
        <item x="179"/>
        <item x="566"/>
        <item x="537"/>
        <item x="229"/>
        <item x="684"/>
        <item x="428"/>
        <item x="367"/>
        <item x="429"/>
        <item x="642"/>
        <item x="802"/>
        <item x="54"/>
        <item x="201"/>
        <item x="965"/>
        <item x="989"/>
        <item x="708"/>
        <item x="905"/>
        <item x="677"/>
        <item x="240"/>
        <item x="880"/>
        <item x="878"/>
        <item x="516"/>
        <item x="256"/>
        <item x="480"/>
        <item x="985"/>
        <item x="692"/>
        <item x="443"/>
        <item x="370"/>
        <item x="339"/>
        <item x="922"/>
        <item x="265"/>
        <item x="279"/>
        <item x="729"/>
        <item x="916"/>
        <item x="820"/>
        <item x="776"/>
        <item x="615"/>
        <item x="20"/>
        <item x="978"/>
        <item x="65"/>
        <item x="583"/>
        <item x="51"/>
        <item x="920"/>
        <item x="131"/>
        <item x="142"/>
        <item x="301"/>
        <item x="406"/>
        <item x="416"/>
        <item x="133"/>
        <item x="494"/>
        <item x="27"/>
        <item x="667"/>
        <item x="485"/>
        <item x="902"/>
        <item x="26"/>
        <item x="633"/>
        <item x="68"/>
        <item x="937"/>
        <item x="517"/>
        <item x="417"/>
        <item x="362"/>
        <item x="270"/>
        <item x="652"/>
        <item x="323"/>
        <item x="899"/>
        <item x="459"/>
        <item x="627"/>
        <item x="860"/>
        <item x="699"/>
        <item x="199"/>
        <item x="787"/>
        <item x="996"/>
        <item x="334"/>
        <item x="817"/>
        <item x="99"/>
        <item x="865"/>
        <item t="default"/>
      </items>
    </pivotField>
    <pivotField compact="0" showAll="0">
      <items count="1000">
        <item x="473"/>
        <item x="129"/>
        <item x="573"/>
        <item x="771"/>
        <item x="102"/>
        <item x="865"/>
        <item x="314"/>
        <item x="354"/>
        <item x="118"/>
        <item x="342"/>
        <item x="153"/>
        <item x="33"/>
        <item x="510"/>
        <item x="445"/>
        <item x="187"/>
        <item x="181"/>
        <item x="741"/>
        <item x="254"/>
        <item x="401"/>
        <item x="415"/>
        <item x="387"/>
        <item x="259"/>
        <item x="506"/>
        <item x="117"/>
        <item x="787"/>
        <item x="97"/>
        <item x="252"/>
        <item x="101"/>
        <item x="165"/>
        <item x="876"/>
        <item x="592"/>
        <item x="906"/>
        <item x="121"/>
        <item x="907"/>
        <item x="596"/>
        <item x="421"/>
        <item x="134"/>
        <item x="316"/>
        <item x="464"/>
        <item x="866"/>
        <item x="849"/>
        <item x="522"/>
        <item x="812"/>
        <item x="376"/>
        <item x="773"/>
        <item x="894"/>
        <item x="785"/>
        <item x="149"/>
        <item x="648"/>
        <item x="184"/>
        <item x="562"/>
        <item x="400"/>
        <item x="563"/>
        <item x="706"/>
        <item x="654"/>
        <item x="897"/>
        <item x="690"/>
        <item x="550"/>
        <item x="883"/>
        <item x="640"/>
        <item x="22"/>
        <item x="867"/>
        <item x="661"/>
        <item x="223"/>
        <item x="680"/>
        <item x="850"/>
        <item x="11"/>
        <item x="136"/>
        <item x="436"/>
        <item x="777"/>
        <item x="593"/>
        <item x="78"/>
        <item x="752"/>
        <item x="519"/>
        <item x="238"/>
        <item x="817"/>
        <item x="348"/>
        <item x="261"/>
        <item x="114"/>
        <item x="209"/>
        <item x="902"/>
        <item x="476"/>
        <item x="174"/>
        <item x="278"/>
        <item x="799"/>
        <item x="805"/>
        <item x="766"/>
        <item x="803"/>
        <item x="539"/>
        <item x="152"/>
        <item x="453"/>
        <item x="740"/>
        <item x="834"/>
        <item x="448"/>
        <item x="978"/>
        <item x="307"/>
        <item x="119"/>
        <item x="231"/>
        <item x="227"/>
        <item x="756"/>
        <item x="260"/>
        <item x="300"/>
        <item x="656"/>
        <item x="719"/>
        <item x="835"/>
        <item x="35"/>
        <item x="853"/>
        <item x="474"/>
        <item x="858"/>
        <item x="46"/>
        <item x="761"/>
        <item x="712"/>
        <item x="263"/>
        <item x="82"/>
        <item x="458"/>
        <item x="724"/>
        <item x="378"/>
        <item x="871"/>
        <item x="394"/>
        <item x="940"/>
        <item x="414"/>
        <item x="882"/>
        <item x="534"/>
        <item x="52"/>
        <item x="732"/>
        <item x="542"/>
        <item x="944"/>
        <item x="40"/>
        <item x="353"/>
        <item x="408"/>
        <item x="130"/>
        <item x="191"/>
        <item x="461"/>
        <item x="112"/>
        <item x="621"/>
        <item x="651"/>
        <item x="235"/>
        <item x="960"/>
        <item x="760"/>
        <item x="881"/>
        <item x="809"/>
        <item x="572"/>
        <item x="588"/>
        <item x="765"/>
        <item x="204"/>
        <item x="18"/>
        <item x="844"/>
        <item x="717"/>
        <item x="336"/>
        <item x="796"/>
        <item x="320"/>
        <item x="220"/>
        <item x="568"/>
        <item x="310"/>
        <item x="952"/>
        <item x="682"/>
        <item x="377"/>
        <item x="124"/>
        <item x="546"/>
        <item x="438"/>
        <item x="557"/>
        <item x="472"/>
        <item x="349"/>
        <item x="237"/>
        <item x="556"/>
        <item x="726"/>
        <item x="973"/>
        <item x="312"/>
        <item x="32"/>
        <item x="695"/>
        <item x="158"/>
        <item x="369"/>
        <item x="947"/>
        <item x="509"/>
        <item x="910"/>
        <item x="554"/>
        <item x="679"/>
        <item x="371"/>
        <item x="96"/>
        <item x="196"/>
        <item x="386"/>
        <item x="499"/>
        <item x="532"/>
        <item x="116"/>
        <item x="710"/>
        <item x="790"/>
        <item x="194"/>
        <item x="933"/>
        <item x="92"/>
        <item x="586"/>
        <item x="212"/>
        <item x="192"/>
        <item x="969"/>
        <item x="831"/>
        <item x="687"/>
        <item x="143"/>
        <item x="352"/>
        <item x="292"/>
        <item x="402"/>
        <item x="645"/>
        <item x="961"/>
        <item x="963"/>
        <item x="483"/>
        <item x="723"/>
        <item x="827"/>
        <item x="14"/>
        <item x="720"/>
        <item x="202"/>
        <item x="982"/>
        <item x="88"/>
        <item x="814"/>
        <item x="912"/>
        <item x="460"/>
        <item x="993"/>
        <item x="700"/>
        <item x="611"/>
        <item x="553"/>
        <item x="297"/>
        <item x="162"/>
        <item x="207"/>
        <item x="626"/>
        <item x="767"/>
        <item x="335"/>
        <item x="754"/>
        <item x="870"/>
        <item x="439"/>
        <item x="938"/>
        <item x="3"/>
        <item x="219"/>
        <item x="824"/>
        <item x="151"/>
        <item x="851"/>
        <item x="757"/>
        <item x="36"/>
        <item x="440"/>
        <item x="657"/>
        <item x="920"/>
        <item x="216"/>
        <item x="241"/>
        <item x="544"/>
        <item x="205"/>
        <item x="697"/>
        <item x="569"/>
        <item x="321"/>
        <item x="797"/>
        <item x="340"/>
        <item x="935"/>
        <item x="358"/>
        <item x="782"/>
        <item x="395"/>
        <item x="423"/>
        <item x="332"/>
        <item x="325"/>
        <item x="987"/>
        <item x="91"/>
        <item x="846"/>
        <item x="345"/>
        <item x="8"/>
        <item x="108"/>
        <item x="820"/>
        <item x="527"/>
        <item x="154"/>
        <item x="601"/>
        <item x="564"/>
        <item x="482"/>
        <item x="28"/>
        <item x="605"/>
        <item x="217"/>
        <item x="410"/>
        <item x="361"/>
        <item x="705"/>
        <item x="125"/>
        <item x="145"/>
        <item x="372"/>
        <item x="861"/>
        <item x="693"/>
        <item x="0"/>
        <item x="613"/>
        <item x="456"/>
        <item x="614"/>
        <item x="628"/>
        <item x="350"/>
        <item x="956"/>
        <item x="528"/>
        <item x="267"/>
        <item x="776"/>
        <item x="547"/>
        <item x="744"/>
        <item x="77"/>
        <item x="686"/>
        <item x="997"/>
        <item x="755"/>
        <item x="822"/>
        <item x="455"/>
        <item x="900"/>
        <item x="503"/>
        <item x="891"/>
        <item x="619"/>
        <item x="632"/>
        <item x="807"/>
        <item x="670"/>
        <item x="671"/>
        <item x="90"/>
        <item x="171"/>
        <item x="12"/>
        <item x="685"/>
        <item x="280"/>
        <item x="949"/>
        <item x="481"/>
        <item x="30"/>
        <item x="137"/>
        <item x="603"/>
        <item x="53"/>
        <item x="180"/>
        <item x="498"/>
        <item x="925"/>
        <item x="109"/>
        <item x="175"/>
        <item x="941"/>
        <item x="880"/>
        <item x="983"/>
        <item x="734"/>
        <item x="450"/>
        <item x="289"/>
        <item x="543"/>
        <item x="404"/>
        <item x="905"/>
        <item x="347"/>
        <item x="72"/>
        <item x="346"/>
        <item x="25"/>
        <item x="403"/>
        <item x="818"/>
        <item x="804"/>
        <item x="21"/>
        <item x="17"/>
        <item x="727"/>
        <item x="169"/>
        <item x="462"/>
        <item x="475"/>
        <item x="855"/>
        <item x="954"/>
        <item x="784"/>
        <item x="715"/>
        <item x="914"/>
        <item x="43"/>
        <item x="419"/>
        <item x="282"/>
        <item x="67"/>
        <item x="823"/>
        <item x="980"/>
        <item x="161"/>
        <item x="75"/>
        <item x="70"/>
        <item x="303"/>
        <item x="958"/>
        <item x="396"/>
        <item x="893"/>
        <item x="264"/>
        <item x="178"/>
        <item x="322"/>
        <item x="955"/>
        <item x="493"/>
        <item x="167"/>
        <item x="873"/>
        <item x="722"/>
        <item x="374"/>
        <item x="215"/>
        <item x="567"/>
        <item x="10"/>
        <item x="230"/>
        <item x="164"/>
        <item x="29"/>
        <item x="122"/>
        <item x="725"/>
        <item x="770"/>
        <item x="382"/>
        <item x="432"/>
        <item x="574"/>
        <item x="244"/>
        <item x="737"/>
        <item x="126"/>
        <item x="653"/>
        <item x="214"/>
        <item x="76"/>
        <item x="183"/>
        <item x="702"/>
        <item x="939"/>
        <item x="384"/>
        <item x="658"/>
        <item x="302"/>
        <item x="294"/>
        <item x="890"/>
        <item x="57"/>
        <item x="916"/>
        <item x="19"/>
        <item x="242"/>
        <item x="442"/>
        <item x="689"/>
        <item x="248"/>
        <item x="643"/>
        <item x="597"/>
        <item x="751"/>
        <item x="412"/>
        <item x="739"/>
        <item x="200"/>
        <item x="148"/>
        <item x="616"/>
        <item x="491"/>
        <item x="551"/>
        <item x="47"/>
        <item x="341"/>
        <item x="357"/>
        <item x="6"/>
        <item x="970"/>
        <item x="780"/>
        <item x="132"/>
        <item x="764"/>
        <item x="13"/>
        <item x="34"/>
        <item x="714"/>
        <item x="892"/>
        <item x="644"/>
        <item x="266"/>
        <item x="257"/>
        <item x="85"/>
        <item x="571"/>
        <item x="655"/>
        <item x="618"/>
        <item x="37"/>
        <item x="561"/>
        <item x="549"/>
        <item x="959"/>
        <item x="555"/>
        <item x="636"/>
        <item x="852"/>
        <item x="87"/>
        <item x="887"/>
        <item x="709"/>
        <item x="457"/>
        <item x="330"/>
        <item x="531"/>
        <item x="127"/>
        <item x="848"/>
        <item x="399"/>
        <item x="576"/>
        <item x="918"/>
        <item x="529"/>
        <item x="607"/>
        <item x="536"/>
        <item x="825"/>
        <item x="418"/>
        <item x="673"/>
        <item x="305"/>
        <item x="512"/>
        <item x="759"/>
        <item x="604"/>
        <item x="523"/>
        <item x="234"/>
        <item x="426"/>
        <item x="437"/>
        <item x="93"/>
        <item x="222"/>
        <item x="84"/>
        <item x="678"/>
        <item x="434"/>
        <item x="578"/>
        <item x="100"/>
        <item x="111"/>
        <item x="363"/>
        <item x="577"/>
        <item x="821"/>
        <item x="141"/>
        <item x="833"/>
        <item x="943"/>
        <item x="631"/>
        <item x="73"/>
        <item x="736"/>
        <item x="911"/>
        <item x="789"/>
        <item x="422"/>
        <item x="484"/>
        <item x="343"/>
        <item x="594"/>
        <item x="838"/>
        <item x="173"/>
        <item x="197"/>
        <item x="580"/>
        <item x="337"/>
        <item x="990"/>
        <item x="630"/>
        <item x="590"/>
        <item x="186"/>
        <item x="189"/>
        <item x="579"/>
        <item x="798"/>
        <item x="276"/>
        <item x="708"/>
        <item x="16"/>
        <item x="465"/>
        <item x="663"/>
        <item x="431"/>
        <item x="2"/>
        <item x="185"/>
        <item x="704"/>
        <item x="733"/>
        <item x="721"/>
        <item x="634"/>
        <item x="379"/>
        <item x="360"/>
        <item x="250"/>
        <item x="24"/>
        <item x="924"/>
        <item x="716"/>
        <item x="144"/>
        <item x="293"/>
        <item x="649"/>
        <item x="515"/>
        <item x="526"/>
        <item x="664"/>
        <item x="747"/>
        <item x="281"/>
        <item x="463"/>
        <item x="533"/>
        <item x="290"/>
        <item x="106"/>
        <item x="994"/>
        <item x="195"/>
        <item x="405"/>
        <item x="411"/>
        <item x="530"/>
        <item x="552"/>
        <item x="177"/>
        <item x="221"/>
        <item x="48"/>
        <item x="878"/>
        <item x="298"/>
        <item x="974"/>
        <item x="62"/>
        <item x="190"/>
        <item x="660"/>
        <item x="647"/>
        <item x="15"/>
        <item x="917"/>
        <item x="953"/>
        <item x="570"/>
        <item x="287"/>
        <item x="140"/>
        <item x="449"/>
        <item x="4"/>
        <item x="9"/>
        <item x="329"/>
        <item x="806"/>
        <item x="331"/>
        <item x="446"/>
        <item x="937"/>
        <item x="931"/>
        <item x="308"/>
        <item x="957"/>
        <item x="188"/>
        <item x="923"/>
        <item x="548"/>
        <item x="582"/>
        <item x="224"/>
        <item x="701"/>
        <item x="502"/>
        <item x="659"/>
        <item x="826"/>
        <item x="783"/>
        <item x="500"/>
        <item x="146"/>
        <item x="182"/>
        <item x="602"/>
        <item x="746"/>
        <item x="368"/>
        <item x="315"/>
        <item x="711"/>
        <item x="692"/>
        <item x="828"/>
        <item x="934"/>
        <item x="791"/>
        <item x="83"/>
        <item x="560"/>
        <item x="587"/>
        <item x="538"/>
        <item x="435"/>
        <item x="932"/>
        <item x="258"/>
        <item x="521"/>
        <item x="595"/>
        <item x="198"/>
        <item x="23"/>
        <item x="381"/>
        <item x="123"/>
        <item x="998"/>
        <item x="808"/>
        <item x="344"/>
        <item x="210"/>
        <item x="477"/>
        <item x="884"/>
        <item x="115"/>
        <item x="622"/>
        <item x="268"/>
        <item x="598"/>
        <item x="110"/>
        <item x="545"/>
        <item x="89"/>
        <item x="155"/>
        <item x="206"/>
        <item x="888"/>
        <item x="600"/>
        <item x="763"/>
        <item x="899"/>
        <item x="565"/>
        <item x="950"/>
        <item x="927"/>
        <item x="413"/>
        <item x="514"/>
        <item x="836"/>
        <item x="584"/>
        <item x="39"/>
        <item x="63"/>
        <item x="385"/>
        <item x="620"/>
        <item x="608"/>
        <item x="317"/>
        <item x="769"/>
        <item x="324"/>
        <item x="232"/>
        <item x="41"/>
        <item x="120"/>
        <item x="874"/>
        <item x="629"/>
        <item x="425"/>
        <item x="540"/>
        <item x="225"/>
        <item x="163"/>
        <item x="490"/>
        <item x="104"/>
        <item x="646"/>
        <item x="908"/>
        <item x="273"/>
        <item x="962"/>
        <item x="625"/>
        <item x="228"/>
        <item x="948"/>
        <item x="672"/>
        <item x="981"/>
        <item x="245"/>
        <item x="311"/>
        <item x="44"/>
        <item x="617"/>
        <item x="610"/>
        <item x="420"/>
        <item x="304"/>
        <item x="854"/>
        <item x="226"/>
        <item x="792"/>
        <item x="513"/>
        <item x="172"/>
        <item x="389"/>
        <item x="424"/>
        <item x="735"/>
        <item x="285"/>
        <item x="585"/>
        <item x="788"/>
        <item x="355"/>
        <item x="218"/>
        <item x="81"/>
        <item x="103"/>
        <item x="681"/>
        <item x="193"/>
        <item x="277"/>
        <item x="496"/>
        <item x="847"/>
        <item x="971"/>
        <item x="166"/>
        <item x="929"/>
        <item x="156"/>
        <item x="839"/>
        <item x="507"/>
        <item x="972"/>
        <item x="768"/>
        <item x="599"/>
        <item x="60"/>
        <item x="665"/>
        <item x="843"/>
        <item x="504"/>
        <item x="309"/>
        <item x="1"/>
        <item x="333"/>
        <item x="606"/>
        <item x="208"/>
        <item x="832"/>
        <item x="841"/>
        <item x="903"/>
        <item x="860"/>
        <item x="609"/>
        <item x="750"/>
        <item x="965"/>
        <item x="128"/>
        <item x="170"/>
        <item x="467"/>
        <item x="380"/>
        <item x="160"/>
        <item x="176"/>
        <item x="885"/>
        <item x="98"/>
        <item x="255"/>
        <item x="327"/>
        <item x="811"/>
        <item x="211"/>
        <item x="427"/>
        <item x="299"/>
        <item x="486"/>
        <item x="666"/>
        <item x="495"/>
        <item x="243"/>
        <item x="147"/>
        <item x="559"/>
        <item x="113"/>
        <item x="375"/>
        <item x="699"/>
        <item x="5"/>
        <item x="479"/>
        <item x="492"/>
        <item x="31"/>
        <item x="470"/>
        <item x="56"/>
        <item x="275"/>
        <item x="356"/>
        <item x="262"/>
        <item x="738"/>
        <item x="524"/>
        <item x="896"/>
        <item x="895"/>
        <item x="624"/>
        <item x="233"/>
        <item x="837"/>
        <item x="58"/>
        <item x="269"/>
        <item x="430"/>
        <item x="730"/>
        <item x="489"/>
        <item x="842"/>
        <item x="38"/>
        <item x="637"/>
        <item x="758"/>
        <item x="762"/>
        <item x="392"/>
        <item x="64"/>
        <item x="50"/>
        <item x="729"/>
        <item x="271"/>
        <item x="94"/>
        <item x="42"/>
        <item x="968"/>
        <item x="138"/>
        <item x="454"/>
        <item x="364"/>
        <item x="731"/>
        <item x="391"/>
        <item x="239"/>
        <item x="913"/>
        <item x="951"/>
        <item x="488"/>
        <item x="71"/>
        <item x="641"/>
        <item x="247"/>
        <item x="288"/>
        <item x="365"/>
        <item x="976"/>
        <item x="338"/>
        <item x="966"/>
        <item x="862"/>
        <item x="7"/>
        <item x="74"/>
        <item x="251"/>
        <item x="669"/>
        <item x="638"/>
        <item x="845"/>
        <item x="80"/>
        <item x="390"/>
        <item x="249"/>
        <item x="872"/>
        <item x="639"/>
        <item x="497"/>
        <item x="272"/>
        <item x="930"/>
        <item x="989"/>
        <item x="886"/>
        <item x="696"/>
        <item x="253"/>
        <item x="466"/>
        <item x="319"/>
        <item x="992"/>
        <item x="967"/>
        <item x="398"/>
        <item x="441"/>
        <item x="518"/>
        <item x="781"/>
        <item x="694"/>
        <item x="713"/>
        <item x="468"/>
        <item x="753"/>
        <item x="306"/>
        <item x="383"/>
        <item x="829"/>
        <item x="159"/>
        <item x="830"/>
        <item x="59"/>
        <item x="742"/>
        <item x="558"/>
        <item x="683"/>
        <item x="813"/>
        <item x="157"/>
        <item x="979"/>
        <item x="774"/>
        <item x="612"/>
        <item x="857"/>
        <item x="928"/>
        <item x="996"/>
        <item x="236"/>
        <item x="452"/>
        <item x="397"/>
        <item x="520"/>
        <item x="478"/>
        <item x="688"/>
        <item x="55"/>
        <item x="505"/>
        <item x="793"/>
        <item x="745"/>
        <item x="718"/>
        <item x="815"/>
        <item x="471"/>
        <item x="291"/>
        <item x="501"/>
        <item x="511"/>
        <item x="889"/>
        <item x="985"/>
        <item x="676"/>
        <item x="795"/>
        <item x="313"/>
        <item x="778"/>
        <item x="95"/>
        <item x="49"/>
        <item x="508"/>
        <item x="869"/>
        <item x="45"/>
        <item x="61"/>
        <item x="359"/>
        <item x="213"/>
        <item x="650"/>
        <item x="326"/>
        <item x="674"/>
        <item x="668"/>
        <item x="946"/>
        <item x="469"/>
        <item x="168"/>
        <item x="748"/>
        <item x="975"/>
        <item x="393"/>
        <item x="875"/>
        <item x="451"/>
        <item x="800"/>
        <item x="772"/>
        <item x="79"/>
        <item x="635"/>
        <item x="662"/>
        <item x="743"/>
        <item x="69"/>
        <item x="373"/>
        <item x="794"/>
        <item x="945"/>
        <item x="366"/>
        <item x="284"/>
        <item x="589"/>
        <item x="581"/>
        <item x="433"/>
        <item x="283"/>
        <item x="942"/>
        <item x="926"/>
        <item x="105"/>
        <item x="525"/>
        <item x="135"/>
        <item x="535"/>
        <item x="856"/>
        <item x="409"/>
        <item x="407"/>
        <item x="802"/>
        <item x="541"/>
        <item x="351"/>
        <item x="922"/>
        <item x="779"/>
        <item x="86"/>
        <item x="295"/>
        <item x="246"/>
        <item x="691"/>
        <item x="840"/>
        <item x="575"/>
        <item x="318"/>
        <item x="703"/>
        <item x="447"/>
        <item x="203"/>
        <item x="107"/>
        <item x="388"/>
        <item x="675"/>
        <item x="328"/>
        <item x="274"/>
        <item x="286"/>
        <item x="591"/>
        <item x="623"/>
        <item x="749"/>
        <item x="991"/>
        <item x="296"/>
        <item x="487"/>
        <item x="868"/>
        <item x="810"/>
        <item x="139"/>
        <item x="150"/>
        <item x="909"/>
        <item x="66"/>
        <item x="444"/>
        <item x="863"/>
        <item x="986"/>
        <item x="179"/>
        <item x="566"/>
        <item x="537"/>
        <item x="229"/>
        <item x="684"/>
        <item x="428"/>
        <item x="367"/>
        <item x="429"/>
        <item x="642"/>
        <item x="801"/>
        <item x="54"/>
        <item x="201"/>
        <item x="964"/>
        <item x="988"/>
        <item x="707"/>
        <item x="904"/>
        <item x="677"/>
        <item x="240"/>
        <item x="879"/>
        <item x="877"/>
        <item x="516"/>
        <item x="256"/>
        <item x="480"/>
        <item x="984"/>
        <item x="443"/>
        <item x="370"/>
        <item x="339"/>
        <item x="921"/>
        <item x="265"/>
        <item x="279"/>
        <item x="728"/>
        <item x="915"/>
        <item x="819"/>
        <item x="775"/>
        <item x="615"/>
        <item x="20"/>
        <item x="977"/>
        <item x="65"/>
        <item x="583"/>
        <item x="51"/>
        <item x="919"/>
        <item x="131"/>
        <item x="142"/>
        <item x="301"/>
        <item x="406"/>
        <item x="416"/>
        <item x="133"/>
        <item x="494"/>
        <item x="27"/>
        <item x="667"/>
        <item x="485"/>
        <item x="901"/>
        <item x="26"/>
        <item x="633"/>
        <item x="68"/>
        <item x="936"/>
        <item x="517"/>
        <item x="417"/>
        <item x="362"/>
        <item x="270"/>
        <item x="652"/>
        <item x="323"/>
        <item x="898"/>
        <item x="459"/>
        <item x="627"/>
        <item x="859"/>
        <item x="698"/>
        <item x="199"/>
        <item x="786"/>
        <item x="995"/>
        <item x="334"/>
        <item x="816"/>
        <item x="99"/>
        <item x="86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4" baseField="0" baseItem="0"/>
  </dataFields>
  <formats count="7">
    <format dxfId="35">
      <pivotArea collapsedLevelsAreSubtotals="1" fieldPosition="0"/>
    </format>
    <format dxfId="36">
      <pivotArea collapsedLevelsAreSubtotals="1" fieldPosition="0"/>
    </format>
    <format dxfId="37">
      <pivotArea collapsedLevelsAreSubtotals="1" fieldPosition="0"/>
    </format>
    <format dxfId="38">
      <pivotArea collapsedLevelsAreSubtotals="1" fieldPosition="0"/>
    </format>
    <format dxfId="39">
      <pivotArea collapsedLevelsAreSubtotals="1" fieldPosition="0"/>
    </format>
    <format dxfId="40">
      <pivotArea collapsedLevelsAreSubtotals="1" fieldPosition="0"/>
    </format>
    <format dxfId="4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F10:G17" firstHeaderRow="1" firstDataRow="1" firstDataCol="1"/>
  <pivotFields count="18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3" showAll="0">
      <items count="870">
        <item x="431"/>
        <item x="128"/>
        <item x="102"/>
        <item x="758"/>
        <item x="298"/>
        <item x="178"/>
        <item x="248"/>
        <item x="120"/>
        <item x="532"/>
        <item x="389"/>
        <item x="133"/>
        <item x="759"/>
        <item x="498"/>
        <item x="22"/>
        <item x="11"/>
        <item x="78"/>
        <item x="229"/>
        <item x="113"/>
        <item x="203"/>
        <item x="787"/>
        <item x="171"/>
        <item x="490"/>
        <item x="149"/>
        <item x="411"/>
        <item x="292"/>
        <item x="52"/>
        <item x="493"/>
        <item x="40"/>
        <item x="377"/>
        <item x="129"/>
        <item x="111"/>
        <item x="676"/>
        <item x="514"/>
        <item x="198"/>
        <item x="18"/>
        <item x="317"/>
        <item x="213"/>
        <item x="295"/>
        <item x="123"/>
        <item x="326"/>
        <item x="228"/>
        <item x="647"/>
        <item x="32"/>
        <item x="155"/>
        <item x="465"/>
        <item x="793"/>
        <item x="96"/>
        <item x="115"/>
        <item x="189"/>
        <item x="92"/>
        <item x="159"/>
        <item x="201"/>
        <item x="316"/>
        <item x="671"/>
        <item x="403"/>
        <item x="3"/>
        <item x="36"/>
        <item x="210"/>
        <item x="199"/>
        <item x="303"/>
        <item x="334"/>
        <item x="366"/>
        <item x="307"/>
        <item x="858"/>
        <item x="91"/>
        <item x="8"/>
        <item x="151"/>
        <item x="172"/>
        <item x="654"/>
        <item x="413"/>
        <item x="275"/>
        <item x="790"/>
        <item x="72"/>
        <item x="325"/>
        <item x="25"/>
        <item x="373"/>
        <item x="318"/>
        <item x="563"/>
        <item x="528"/>
        <item x="183"/>
        <item x="16"/>
        <item x="2"/>
        <item x="245"/>
        <item x="437"/>
        <item x="855"/>
        <item x="330"/>
        <item x="117"/>
        <item x="322"/>
        <item x="150"/>
        <item x="33"/>
        <item x="466"/>
        <item x="408"/>
        <item x="184"/>
        <item x="462"/>
        <item x="116"/>
        <item x="697"/>
        <item x="97"/>
        <item x="242"/>
        <item x="101"/>
        <item x="162"/>
        <item x="744"/>
        <item x="476"/>
        <item x="714"/>
        <item x="350"/>
        <item x="685"/>
        <item x="779"/>
        <item x="695"/>
        <item x="147"/>
        <item x="580"/>
        <item x="181"/>
        <item x="506"/>
        <item x="371"/>
        <item x="507"/>
        <item x="630"/>
        <item x="585"/>
        <item x="782"/>
        <item x="615"/>
        <item x="118"/>
        <item x="223"/>
        <item x="219"/>
        <item x="673"/>
        <item x="249"/>
        <item x="285"/>
        <item x="587"/>
        <item x="640"/>
        <item x="732"/>
        <item x="35"/>
        <item x="746"/>
        <item x="432"/>
        <item x="751"/>
        <item x="46"/>
        <item x="677"/>
        <item x="634"/>
        <item x="251"/>
        <item x="82"/>
        <item x="420"/>
        <item x="645"/>
        <item x="351"/>
        <item x="762"/>
        <item x="365"/>
        <item x="819"/>
        <item x="383"/>
        <item x="768"/>
        <item x="206"/>
        <item x="187"/>
        <item x="843"/>
        <item x="729"/>
        <item x="612"/>
        <item x="141"/>
        <item x="329"/>
        <item x="278"/>
        <item x="372"/>
        <item x="577"/>
        <item x="835"/>
        <item x="837"/>
        <item x="440"/>
        <item x="644"/>
        <item x="725"/>
        <item x="14"/>
        <item x="641"/>
        <item x="196"/>
        <item x="854"/>
        <item x="88"/>
        <item x="716"/>
        <item x="795"/>
        <item x="422"/>
        <item x="863"/>
        <item x="624"/>
        <item x="546"/>
        <item x="508"/>
        <item x="439"/>
        <item x="28"/>
        <item x="540"/>
        <item x="211"/>
        <item x="379"/>
        <item x="337"/>
        <item x="629"/>
        <item x="124"/>
        <item x="143"/>
        <item x="346"/>
        <item x="754"/>
        <item x="619"/>
        <item x="0"/>
        <item x="548"/>
        <item x="418"/>
        <item x="549"/>
        <item x="561"/>
        <item x="327"/>
        <item x="831"/>
        <item x="481"/>
        <item x="255"/>
        <item x="688"/>
        <item x="495"/>
        <item x="662"/>
        <item x="77"/>
        <item x="611"/>
        <item x="867"/>
        <item x="672"/>
        <item x="721"/>
        <item x="417"/>
        <item x="785"/>
        <item x="459"/>
        <item x="776"/>
        <item x="554"/>
        <item x="565"/>
        <item x="710"/>
        <item x="598"/>
        <item x="599"/>
        <item x="90"/>
        <item x="168"/>
        <item x="12"/>
        <item x="610"/>
        <item x="266"/>
        <item x="825"/>
        <item x="438"/>
        <item x="30"/>
        <item x="135"/>
        <item x="538"/>
        <item x="53"/>
        <item x="177"/>
        <item x="455"/>
        <item x="807"/>
        <item x="108"/>
        <item x="708"/>
        <item x="21"/>
        <item x="17"/>
        <item x="648"/>
        <item x="166"/>
        <item x="423"/>
        <item x="433"/>
        <item x="748"/>
        <item x="829"/>
        <item x="694"/>
        <item x="637"/>
        <item x="797"/>
        <item x="43"/>
        <item x="387"/>
        <item x="268"/>
        <item x="67"/>
        <item x="722"/>
        <item x="852"/>
        <item x="158"/>
        <item x="75"/>
        <item x="70"/>
        <item x="288"/>
        <item x="833"/>
        <item x="367"/>
        <item x="778"/>
        <item x="252"/>
        <item x="175"/>
        <item x="304"/>
        <item x="830"/>
        <item x="450"/>
        <item x="164"/>
        <item x="764"/>
        <item x="643"/>
        <item x="348"/>
        <item x="209"/>
        <item x="511"/>
        <item x="10"/>
        <item x="222"/>
        <item x="161"/>
        <item x="29"/>
        <item x="121"/>
        <item x="646"/>
        <item x="683"/>
        <item x="355"/>
        <item x="398"/>
        <item x="515"/>
        <item x="234"/>
        <item x="657"/>
        <item x="125"/>
        <item x="584"/>
        <item x="208"/>
        <item x="76"/>
        <item x="180"/>
        <item x="626"/>
        <item x="818"/>
        <item x="357"/>
        <item x="588"/>
        <item x="287"/>
        <item x="280"/>
        <item x="775"/>
        <item x="57"/>
        <item x="799"/>
        <item x="19"/>
        <item x="232"/>
        <item x="405"/>
        <item x="614"/>
        <item x="238"/>
        <item x="575"/>
        <item x="533"/>
        <item x="669"/>
        <item x="381"/>
        <item x="659"/>
        <item x="194"/>
        <item x="146"/>
        <item x="551"/>
        <item x="448"/>
        <item x="499"/>
        <item x="47"/>
        <item x="321"/>
        <item x="333"/>
        <item x="6"/>
        <item x="844"/>
        <item x="691"/>
        <item x="131"/>
        <item x="680"/>
        <item x="13"/>
        <item x="34"/>
        <item x="636"/>
        <item x="777"/>
        <item x="576"/>
        <item x="254"/>
        <item x="246"/>
        <item x="85"/>
        <item x="513"/>
        <item x="586"/>
        <item x="553"/>
        <item x="37"/>
        <item x="505"/>
        <item x="497"/>
        <item x="834"/>
        <item x="501"/>
        <item x="569"/>
        <item x="745"/>
        <item x="87"/>
        <item x="772"/>
        <item x="632"/>
        <item x="419"/>
        <item x="312"/>
        <item x="484"/>
        <item x="126"/>
        <item x="743"/>
        <item x="370"/>
        <item x="517"/>
        <item x="801"/>
        <item x="482"/>
        <item x="542"/>
        <item x="487"/>
        <item x="723"/>
        <item x="386"/>
        <item x="601"/>
        <item x="290"/>
        <item x="468"/>
        <item x="675"/>
        <item x="539"/>
        <item x="477"/>
        <item x="226"/>
        <item x="393"/>
        <item x="402"/>
        <item x="93"/>
        <item x="215"/>
        <item x="84"/>
        <item x="606"/>
        <item x="400"/>
        <item x="519"/>
        <item x="100"/>
        <item x="110"/>
        <item x="339"/>
        <item x="518"/>
        <item x="720"/>
        <item x="139"/>
        <item x="731"/>
        <item x="821"/>
        <item x="564"/>
        <item x="73"/>
        <item x="656"/>
        <item x="794"/>
        <item x="699"/>
        <item x="390"/>
        <item x="441"/>
        <item x="323"/>
        <item x="530"/>
        <item x="735"/>
        <item x="170"/>
        <item x="191"/>
        <item x="520"/>
        <item x="182"/>
        <item x="628"/>
        <item x="653"/>
        <item x="642"/>
        <item x="567"/>
        <item x="352"/>
        <item x="336"/>
        <item x="240"/>
        <item x="24"/>
        <item x="806"/>
        <item x="638"/>
        <item x="142"/>
        <item x="279"/>
        <item x="581"/>
        <item x="471"/>
        <item x="480"/>
        <item x="592"/>
        <item x="665"/>
        <item x="267"/>
        <item x="424"/>
        <item x="485"/>
        <item x="276"/>
        <item x="106"/>
        <item x="864"/>
        <item x="190"/>
        <item x="374"/>
        <item x="380"/>
        <item x="483"/>
        <item x="500"/>
        <item x="174"/>
        <item x="214"/>
        <item x="48"/>
        <item x="767"/>
        <item x="283"/>
        <item x="847"/>
        <item x="62"/>
        <item x="186"/>
        <item x="590"/>
        <item x="579"/>
        <item x="15"/>
        <item x="800"/>
        <item x="828"/>
        <item x="512"/>
        <item x="273"/>
        <item x="138"/>
        <item x="412"/>
        <item x="4"/>
        <item x="9"/>
        <item x="311"/>
        <item x="709"/>
        <item x="313"/>
        <item x="409"/>
        <item x="817"/>
        <item x="813"/>
        <item x="293"/>
        <item x="832"/>
        <item x="185"/>
        <item x="805"/>
        <item x="496"/>
        <item x="522"/>
        <item x="216"/>
        <item x="625"/>
        <item x="458"/>
        <item x="589"/>
        <item x="724"/>
        <item x="693"/>
        <item x="456"/>
        <item x="144"/>
        <item x="179"/>
        <item x="537"/>
        <item x="664"/>
        <item x="344"/>
        <item x="299"/>
        <item x="633"/>
        <item x="618"/>
        <item x="726"/>
        <item x="815"/>
        <item x="700"/>
        <item x="83"/>
        <item x="504"/>
        <item x="526"/>
        <item x="489"/>
        <item x="401"/>
        <item x="814"/>
        <item x="247"/>
        <item x="475"/>
        <item x="531"/>
        <item x="192"/>
        <item x="23"/>
        <item x="354"/>
        <item x="122"/>
        <item x="868"/>
        <item x="711"/>
        <item x="324"/>
        <item x="204"/>
        <item x="434"/>
        <item x="769"/>
        <item x="114"/>
        <item x="556"/>
        <item x="256"/>
        <item x="534"/>
        <item x="109"/>
        <item x="494"/>
        <item x="89"/>
        <item x="152"/>
        <item x="200"/>
        <item x="773"/>
        <item x="536"/>
        <item x="679"/>
        <item x="784"/>
        <item x="509"/>
        <item x="826"/>
        <item x="809"/>
        <item x="382"/>
        <item x="470"/>
        <item x="733"/>
        <item x="524"/>
        <item x="39"/>
        <item x="63"/>
        <item x="358"/>
        <item x="555"/>
        <item x="543"/>
        <item x="300"/>
        <item x="682"/>
        <item x="306"/>
        <item x="224"/>
        <item x="41"/>
        <item x="119"/>
        <item x="765"/>
        <item x="562"/>
        <item x="392"/>
        <item x="491"/>
        <item x="217"/>
        <item x="160"/>
        <item x="447"/>
        <item x="104"/>
        <item x="578"/>
        <item x="791"/>
        <item x="261"/>
        <item x="836"/>
        <item x="559"/>
        <item x="220"/>
        <item x="824"/>
        <item x="600"/>
        <item x="853"/>
        <item x="235"/>
        <item x="296"/>
        <item x="44"/>
        <item x="552"/>
        <item x="545"/>
        <item x="388"/>
        <item x="289"/>
        <item x="747"/>
        <item x="218"/>
        <item x="701"/>
        <item x="469"/>
        <item x="169"/>
        <item x="360"/>
        <item x="391"/>
        <item x="655"/>
        <item x="271"/>
        <item x="525"/>
        <item x="698"/>
        <item x="331"/>
        <item x="212"/>
        <item x="81"/>
        <item x="103"/>
        <item x="607"/>
        <item x="188"/>
        <item x="264"/>
        <item x="453"/>
        <item x="742"/>
        <item x="845"/>
        <item x="163"/>
        <item x="811"/>
        <item x="153"/>
        <item x="736"/>
        <item x="463"/>
        <item x="846"/>
        <item x="681"/>
        <item x="535"/>
        <item x="60"/>
        <item x="593"/>
        <item x="740"/>
        <item x="460"/>
        <item x="294"/>
        <item x="1"/>
        <item x="314"/>
        <item x="541"/>
        <item x="202"/>
        <item x="730"/>
        <item x="738"/>
        <item x="788"/>
        <item x="753"/>
        <item x="544"/>
        <item x="668"/>
        <item x="839"/>
        <item x="127"/>
        <item x="167"/>
        <item x="426"/>
        <item x="353"/>
        <item x="157"/>
        <item x="173"/>
        <item x="770"/>
        <item x="98"/>
        <item x="244"/>
        <item x="309"/>
        <item x="713"/>
        <item x="205"/>
        <item x="394"/>
        <item x="284"/>
        <item x="443"/>
        <item x="594"/>
        <item x="452"/>
        <item x="233"/>
        <item x="145"/>
        <item x="503"/>
        <item x="112"/>
        <item x="349"/>
        <item x="623"/>
        <item x="5"/>
        <item x="436"/>
        <item x="449"/>
        <item x="31"/>
        <item x="429"/>
        <item x="56"/>
        <item x="263"/>
        <item x="332"/>
        <item x="250"/>
        <item x="658"/>
        <item x="478"/>
        <item x="781"/>
        <item x="780"/>
        <item x="558"/>
        <item x="225"/>
        <item x="734"/>
        <item x="58"/>
        <item x="257"/>
        <item x="397"/>
        <item x="651"/>
        <item x="446"/>
        <item x="739"/>
        <item x="38"/>
        <item x="570"/>
        <item x="674"/>
        <item x="678"/>
        <item x="363"/>
        <item x="64"/>
        <item x="50"/>
        <item x="650"/>
        <item x="259"/>
        <item x="94"/>
        <item x="42"/>
        <item x="842"/>
        <item x="136"/>
        <item x="416"/>
        <item x="340"/>
        <item x="652"/>
        <item x="362"/>
        <item x="230"/>
        <item x="796"/>
        <item x="827"/>
        <item x="445"/>
        <item x="71"/>
        <item x="573"/>
        <item x="237"/>
        <item x="274"/>
        <item x="341"/>
        <item x="849"/>
        <item x="319"/>
        <item x="840"/>
        <item x="755"/>
        <item x="7"/>
        <item x="74"/>
        <item x="241"/>
        <item x="597"/>
        <item x="571"/>
        <item x="741"/>
        <item x="80"/>
        <item x="361"/>
        <item x="239"/>
        <item x="763"/>
        <item x="572"/>
        <item x="454"/>
        <item x="260"/>
        <item x="812"/>
        <item x="860"/>
        <item x="771"/>
        <item x="621"/>
        <item x="243"/>
        <item x="425"/>
        <item x="302"/>
        <item x="862"/>
        <item x="841"/>
        <item x="369"/>
        <item x="404"/>
        <item x="473"/>
        <item x="692"/>
        <item x="620"/>
        <item x="635"/>
        <item x="427"/>
        <item x="670"/>
        <item x="291"/>
        <item x="356"/>
        <item x="727"/>
        <item x="156"/>
        <item x="728"/>
        <item x="59"/>
        <item x="660"/>
        <item x="502"/>
        <item x="608"/>
        <item x="715"/>
        <item x="154"/>
        <item x="851"/>
        <item x="686"/>
        <item x="547"/>
        <item x="750"/>
        <item x="810"/>
        <item x="866"/>
        <item x="227"/>
        <item x="415"/>
        <item x="368"/>
        <item x="474"/>
        <item x="435"/>
        <item x="613"/>
        <item x="55"/>
        <item x="461"/>
        <item x="702"/>
        <item x="663"/>
        <item x="639"/>
        <item x="717"/>
        <item x="430"/>
        <item x="277"/>
        <item x="457"/>
        <item x="467"/>
        <item x="774"/>
        <item x="856"/>
        <item x="604"/>
        <item x="704"/>
        <item x="297"/>
        <item x="689"/>
        <item x="95"/>
        <item x="49"/>
        <item x="464"/>
        <item x="761"/>
        <item x="45"/>
        <item x="61"/>
        <item x="335"/>
        <item x="207"/>
        <item x="582"/>
        <item x="308"/>
        <item x="602"/>
        <item x="596"/>
        <item x="823"/>
        <item x="428"/>
        <item x="165"/>
        <item x="666"/>
        <item x="848"/>
        <item x="364"/>
        <item x="766"/>
        <item x="414"/>
        <item x="705"/>
        <item x="684"/>
        <item x="79"/>
        <item x="568"/>
        <item x="591"/>
        <item x="661"/>
        <item x="69"/>
        <item x="347"/>
        <item x="703"/>
        <item x="822"/>
        <item x="342"/>
        <item x="270"/>
        <item x="527"/>
        <item x="521"/>
        <item x="399"/>
        <item x="269"/>
        <item x="820"/>
        <item x="808"/>
        <item x="105"/>
        <item x="479"/>
        <item x="134"/>
        <item x="486"/>
        <item x="749"/>
        <item x="378"/>
        <item x="376"/>
        <item x="707"/>
        <item x="492"/>
        <item x="328"/>
        <item x="804"/>
        <item x="690"/>
        <item x="86"/>
        <item x="281"/>
        <item x="236"/>
        <item x="616"/>
        <item x="737"/>
        <item x="516"/>
        <item x="301"/>
        <item x="627"/>
        <item x="410"/>
        <item x="197"/>
        <item x="107"/>
        <item x="359"/>
        <item x="603"/>
        <item x="310"/>
        <item x="262"/>
        <item x="272"/>
        <item x="529"/>
        <item x="557"/>
        <item x="667"/>
        <item x="861"/>
        <item x="282"/>
        <item x="444"/>
        <item x="760"/>
        <item x="712"/>
        <item x="137"/>
        <item x="148"/>
        <item x="792"/>
        <item x="66"/>
        <item x="407"/>
        <item x="756"/>
        <item x="857"/>
        <item x="176"/>
        <item x="510"/>
        <item x="488"/>
        <item x="221"/>
        <item x="609"/>
        <item x="395"/>
        <item x="343"/>
        <item x="396"/>
        <item x="574"/>
        <item x="706"/>
        <item x="54"/>
        <item x="195"/>
        <item x="838"/>
        <item x="859"/>
        <item x="631"/>
        <item x="789"/>
        <item x="605"/>
        <item x="231"/>
        <item x="617"/>
        <item x="406"/>
        <item x="345"/>
        <item x="320"/>
        <item x="803"/>
        <item x="253"/>
        <item x="265"/>
        <item x="649"/>
        <item x="798"/>
        <item x="719"/>
        <item x="687"/>
        <item x="550"/>
        <item x="20"/>
        <item x="850"/>
        <item x="65"/>
        <item x="523"/>
        <item x="51"/>
        <item x="802"/>
        <item x="130"/>
        <item x="140"/>
        <item x="286"/>
        <item x="375"/>
        <item x="384"/>
        <item x="132"/>
        <item x="451"/>
        <item x="27"/>
        <item x="595"/>
        <item x="442"/>
        <item x="786"/>
        <item x="26"/>
        <item x="566"/>
        <item x="68"/>
        <item x="816"/>
        <item x="472"/>
        <item x="385"/>
        <item x="338"/>
        <item x="258"/>
        <item x="583"/>
        <item x="305"/>
        <item x="783"/>
        <item x="421"/>
        <item x="560"/>
        <item x="752"/>
        <item x="622"/>
        <item x="193"/>
        <item x="696"/>
        <item x="865"/>
        <item x="315"/>
        <item x="718"/>
        <item x="99"/>
        <item x="757"/>
        <item t="default"/>
      </items>
    </pivotField>
    <pivotField compact="0" showAll="0">
      <items count="13">
        <item x="1"/>
        <item x="5"/>
        <item x="3"/>
        <item x="0"/>
        <item x="7"/>
        <item x="6"/>
        <item x="2"/>
        <item x="4"/>
        <item x="11"/>
        <item x="9"/>
        <item x="10"/>
        <item x="8"/>
        <item t="default"/>
      </items>
    </pivotField>
    <pivotField compact="0" showAll="0">
      <items count="14">
        <item x="7"/>
        <item x="11"/>
        <item x="8"/>
        <item x="2"/>
        <item x="0"/>
        <item x="12"/>
        <item x="4"/>
        <item x="9"/>
        <item x="1"/>
        <item x="3"/>
        <item x="5"/>
        <item x="10"/>
        <item x="6"/>
        <item t="default"/>
      </items>
    </pivotField>
    <pivotField axis="axisRow" compact="0" showAll="0">
      <items count="7">
        <item x="2"/>
        <item x="1"/>
        <item x="0"/>
        <item x="4"/>
        <item x="3"/>
        <item x="5"/>
        <item t="default"/>
      </items>
    </pivotField>
    <pivotField compact="0" showAll="0">
      <items count="6">
        <item x="4"/>
        <item x="2"/>
        <item x="1"/>
        <item x="3"/>
        <item x="0"/>
        <item t="default"/>
      </items>
    </pivotField>
    <pivotField compact="0" showAll="0">
      <items count="19">
        <item x="10"/>
        <item x="7"/>
        <item x="12"/>
        <item x="5"/>
        <item x="4"/>
        <item x="2"/>
        <item x="6"/>
        <item x="15"/>
        <item x="14"/>
        <item x="16"/>
        <item x="11"/>
        <item x="17"/>
        <item x="1"/>
        <item x="9"/>
        <item x="8"/>
        <item x="0"/>
        <item x="13"/>
        <item x="3"/>
        <item t="default"/>
      </items>
    </pivotField>
    <pivotField compact="0" showAll="0">
      <items count="54">
        <item x="27"/>
        <item x="10"/>
        <item x="20"/>
        <item x="7"/>
        <item x="16"/>
        <item x="3"/>
        <item x="11"/>
        <item x="46"/>
        <item x="40"/>
        <item x="49"/>
        <item x="24"/>
        <item x="34"/>
        <item x="30"/>
        <item x="51"/>
        <item x="37"/>
        <item x="42"/>
        <item x="44"/>
        <item x="15"/>
        <item x="26"/>
        <item x="17"/>
        <item x="19"/>
        <item x="0"/>
        <item x="50"/>
        <item x="14"/>
        <item x="23"/>
        <item x="38"/>
        <item x="6"/>
        <item x="39"/>
        <item x="43"/>
        <item x="33"/>
        <item x="2"/>
        <item x="21"/>
        <item x="45"/>
        <item x="52"/>
        <item x="18"/>
        <item x="29"/>
        <item x="9"/>
        <item x="13"/>
        <item x="8"/>
        <item x="35"/>
        <item x="28"/>
        <item x="12"/>
        <item x="31"/>
        <item x="25"/>
        <item x="4"/>
        <item x="22"/>
        <item x="41"/>
        <item x="5"/>
        <item x="1"/>
        <item x="48"/>
        <item x="32"/>
        <item x="36"/>
        <item x="47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4">
        <item x="6"/>
        <item x="5"/>
        <item m="1" x="12"/>
        <item x="1"/>
        <item x="2"/>
        <item x="8"/>
        <item x="4"/>
        <item x="10"/>
        <item x="11"/>
        <item x="3"/>
        <item x="9"/>
        <item x="7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1">
        <item x="4"/>
        <item x="9"/>
        <item x="3"/>
        <item x="1"/>
        <item x="0"/>
        <item x="6"/>
        <item x="7"/>
        <item x="2"/>
        <item x="5"/>
        <item x="8"/>
        <item t="default"/>
      </items>
    </pivotField>
    <pivotField compact="0" showAll="0">
      <items count="506">
        <item x="124"/>
        <item x="108"/>
        <item x="360"/>
        <item x="10"/>
        <item x="90"/>
        <item x="468"/>
        <item x="174"/>
        <item x="253"/>
        <item x="101"/>
        <item x="243"/>
        <item x="7"/>
        <item x="29"/>
        <item x="79"/>
        <item x="236"/>
        <item x="151"/>
        <item x="2"/>
        <item x="426"/>
        <item x="192"/>
        <item x="280"/>
        <item x="31"/>
        <item x="138"/>
        <item x="196"/>
        <item x="204"/>
        <item x="100"/>
        <item x="441"/>
        <item x="86"/>
        <item x="175"/>
        <item x="89"/>
        <item x="136"/>
        <item x="55"/>
        <item x="369"/>
        <item x="435"/>
        <item x="103"/>
        <item x="479"/>
        <item x="349"/>
        <item x="1"/>
        <item x="41"/>
        <item x="229"/>
        <item x="94"/>
        <item x="109"/>
        <item x="194"/>
        <item x="336"/>
        <item x="407"/>
        <item x="32"/>
        <item x="237"/>
        <item x="15"/>
        <item x="401"/>
        <item x="27"/>
        <item x="149"/>
        <item x="279"/>
        <item x="13"/>
        <item x="413"/>
        <item x="127"/>
        <item x="126"/>
        <item x="370"/>
        <item x="365"/>
        <item x="387"/>
        <item x="5"/>
        <item x="469"/>
        <item x="115"/>
        <item x="172"/>
        <item x="404"/>
        <item x="430"/>
        <item x="112"/>
        <item x="439"/>
        <item x="68"/>
        <item x="334"/>
        <item x="450"/>
        <item x="249"/>
        <item x="197"/>
        <item x="166"/>
        <item x="105"/>
        <item x="139"/>
        <item x="141"/>
        <item x="208"/>
        <item x="106"/>
        <item x="227"/>
        <item x="436"/>
        <item x="445"/>
        <item x="38"/>
        <item x="305"/>
        <item x="425"/>
        <item x="458"/>
        <item x="303"/>
        <item x="498"/>
        <item x="143"/>
        <item x="180"/>
        <item x="176"/>
        <item x="432"/>
        <item x="222"/>
        <item x="274"/>
        <item x="375"/>
        <item x="315"/>
        <item x="116"/>
        <item x="150"/>
        <item x="199"/>
        <item x="72"/>
        <item x="49"/>
        <item x="267"/>
        <item x="471"/>
        <item x="129"/>
        <item x="343"/>
        <item x="46"/>
        <item x="268"/>
        <item x="207"/>
        <item x="21"/>
        <item x="36"/>
        <item x="284"/>
        <item x="74"/>
        <item x="308"/>
        <item x="378"/>
        <item x="330"/>
        <item x="179"/>
        <item x="434"/>
        <item x="8"/>
        <item x="359"/>
        <item x="367"/>
        <item x="121"/>
        <item x="163"/>
        <item x="16"/>
        <item x="220"/>
        <item x="325"/>
        <item x="223"/>
        <item x="35"/>
        <item x="358"/>
        <item x="225"/>
        <item x="118"/>
        <item x="405"/>
        <item x="211"/>
        <item x="347"/>
        <item x="297"/>
        <item x="352"/>
        <item x="314"/>
        <item x="250"/>
        <item x="183"/>
        <item x="496"/>
        <item x="28"/>
        <item x="410"/>
        <item x="131"/>
        <item x="262"/>
        <item x="160"/>
        <item x="122"/>
        <item x="288"/>
        <item x="350"/>
        <item x="62"/>
        <item x="133"/>
        <item x="85"/>
        <item x="157"/>
        <item x="164"/>
        <item x="99"/>
        <item x="415"/>
        <item x="156"/>
        <item x="81"/>
        <item x="39"/>
        <item x="168"/>
        <item x="154"/>
        <item x="457"/>
        <item x="148"/>
        <item x="224"/>
        <item x="389"/>
        <item x="495"/>
        <item x="24"/>
        <item x="419"/>
        <item x="408"/>
        <item x="161"/>
        <item x="500"/>
        <item x="78"/>
        <item x="4"/>
        <item x="502"/>
        <item x="201"/>
        <item x="245"/>
        <item x="48"/>
        <item x="47"/>
        <item x="165"/>
        <item x="381"/>
        <item x="240"/>
        <item x="3"/>
        <item x="453"/>
        <item x="461"/>
        <item x="433"/>
        <item x="87"/>
        <item x="392"/>
        <item x="484"/>
        <item x="170"/>
        <item x="186"/>
        <item x="20"/>
        <item x="411"/>
        <item x="289"/>
        <item x="134"/>
        <item x="242"/>
        <item x="256"/>
        <item x="12"/>
        <item x="276"/>
        <item x="290"/>
        <item x="238"/>
        <item x="71"/>
        <item x="326"/>
        <item x="80"/>
        <item x="460"/>
        <item x="246"/>
        <item x="339"/>
        <item x="125"/>
        <item x="355"/>
        <item x="169"/>
        <item x="285"/>
        <item x="257"/>
        <item x="328"/>
        <item x="107"/>
        <item x="120"/>
        <item x="264"/>
        <item x="466"/>
        <item x="272"/>
        <item x="0"/>
        <item x="374"/>
        <item x="251"/>
        <item x="438"/>
        <item x="428"/>
        <item x="67"/>
        <item x="351"/>
        <item x="283"/>
        <item x="431"/>
        <item x="452"/>
        <item x="383"/>
        <item x="178"/>
        <item x="397"/>
        <item x="11"/>
        <item x="210"/>
        <item x="403"/>
        <item x="26"/>
        <item x="92"/>
        <item x="147"/>
        <item x="488"/>
        <item x="142"/>
        <item x="241"/>
        <item x="345"/>
        <item x="281"/>
        <item x="235"/>
        <item x="248"/>
        <item x="63"/>
        <item x="247"/>
        <item x="137"/>
        <item x="226"/>
        <item x="446"/>
        <item x="293"/>
        <item x="463"/>
        <item x="340"/>
        <item x="480"/>
        <item x="287"/>
        <item x="58"/>
        <item x="298"/>
        <item x="66"/>
        <item x="61"/>
        <item x="91"/>
        <item x="277"/>
        <item x="273"/>
        <item x="200"/>
        <item x="145"/>
        <item x="232"/>
        <item x="472"/>
        <item x="265"/>
        <item x="357"/>
        <item x="135"/>
        <item x="25"/>
        <item x="104"/>
        <item x="420"/>
        <item x="437"/>
        <item x="270"/>
        <item x="64"/>
        <item x="391"/>
        <item x="43"/>
        <item x="412"/>
        <item x="51"/>
        <item x="50"/>
        <item x="482"/>
        <item x="17"/>
        <item x="188"/>
        <item x="52"/>
        <item x="123"/>
        <item x="376"/>
        <item x="73"/>
        <item x="69"/>
        <item x="42"/>
        <item x="216"/>
        <item x="6"/>
        <item x="110"/>
        <item x="30"/>
        <item x="128"/>
        <item x="451"/>
        <item x="388"/>
        <item x="195"/>
        <item x="75"/>
        <item x="244"/>
        <item x="33"/>
        <item x="354"/>
        <item x="493"/>
        <item x="77"/>
        <item x="476"/>
        <item x="414"/>
        <item x="342"/>
        <item x="278"/>
        <item x="473"/>
        <item x="371"/>
        <item x="454"/>
        <item x="399"/>
        <item x="337"/>
        <item x="296"/>
        <item x="82"/>
        <item x="171"/>
        <item x="294"/>
        <item x="88"/>
        <item x="96"/>
        <item x="310"/>
        <item x="255"/>
        <item x="382"/>
        <item x="424"/>
        <item x="261"/>
        <item x="44"/>
        <item x="158"/>
        <item x="333"/>
        <item x="368"/>
        <item x="153"/>
        <item x="362"/>
        <item x="206"/>
        <item x="390"/>
        <item x="14"/>
        <item x="309"/>
        <item x="394"/>
        <item x="53"/>
        <item x="423"/>
        <item x="418"/>
        <item x="76"/>
        <item x="190"/>
        <item x="487"/>
        <item x="417"/>
        <item x="119"/>
        <item x="218"/>
        <item x="332"/>
        <item x="140"/>
        <item x="503"/>
        <item x="282"/>
        <item x="286"/>
        <item x="341"/>
        <item x="144"/>
        <item x="221"/>
        <item x="483"/>
        <item x="295"/>
        <item x="202"/>
        <item x="215"/>
        <item x="304"/>
        <item x="9"/>
        <item x="447"/>
        <item x="301"/>
        <item x="491"/>
        <item x="489"/>
        <item x="152"/>
        <item x="486"/>
        <item x="348"/>
        <item x="363"/>
        <item x="173"/>
        <item x="393"/>
        <item x="203"/>
        <item x="324"/>
        <item x="97"/>
        <item x="416"/>
        <item x="490"/>
        <item x="299"/>
        <item x="353"/>
        <item x="366"/>
        <item x="19"/>
        <item x="269"/>
        <item x="70"/>
        <item x="475"/>
        <item x="98"/>
        <item x="379"/>
        <item x="95"/>
        <item x="346"/>
        <item x="477"/>
        <item x="184"/>
        <item x="319"/>
        <item x="372"/>
        <item x="234"/>
        <item x="37"/>
        <item x="102"/>
        <item x="322"/>
        <item x="494"/>
        <item x="380"/>
        <item x="177"/>
        <item x="398"/>
        <item x="499"/>
        <item x="40"/>
        <item x="377"/>
        <item x="373"/>
        <item x="462"/>
        <item x="45"/>
        <item x="331"/>
        <item x="291"/>
        <item x="217"/>
        <item x="213"/>
        <item x="442"/>
        <item x="254"/>
        <item x="155"/>
        <item x="327"/>
        <item x="478"/>
        <item x="465"/>
        <item x="57"/>
        <item x="302"/>
        <item x="193"/>
        <item x="233"/>
        <item x="448"/>
        <item x="167"/>
        <item x="292"/>
        <item x="318"/>
        <item x="266"/>
        <item x="316"/>
        <item x="205"/>
        <item x="198"/>
        <item x="159"/>
        <item x="56"/>
        <item x="181"/>
        <item x="459"/>
        <item x="421"/>
        <item x="321"/>
        <item x="34"/>
        <item x="385"/>
        <item x="313"/>
        <item x="83"/>
        <item x="113"/>
        <item x="306"/>
        <item x="259"/>
        <item x="422"/>
        <item x="300"/>
        <item x="320"/>
        <item x="65"/>
        <item x="191"/>
        <item x="396"/>
        <item x="386"/>
        <item x="189"/>
        <item x="323"/>
        <item x="231"/>
        <item x="409"/>
        <item x="311"/>
        <item x="271"/>
        <item x="455"/>
        <item x="132"/>
        <item x="456"/>
        <item x="130"/>
        <item x="260"/>
        <item x="182"/>
        <item x="18"/>
        <item x="335"/>
        <item x="449"/>
        <item x="228"/>
        <item x="84"/>
        <item x="329"/>
        <item x="470"/>
        <item x="54"/>
        <item x="312"/>
        <item x="429"/>
        <item x="497"/>
        <item x="275"/>
        <item x="474"/>
        <item x="384"/>
        <item x="427"/>
        <item x="60"/>
        <item x="492"/>
        <item x="317"/>
        <item x="212"/>
        <item x="338"/>
        <item x="111"/>
        <item x="464"/>
        <item x="444"/>
        <item x="344"/>
        <item x="252"/>
        <item x="485"/>
        <item x="440"/>
        <item x="219"/>
        <item x="187"/>
        <item x="361"/>
        <item x="230"/>
        <item x="162"/>
        <item x="93"/>
        <item x="400"/>
        <item x="214"/>
        <item x="501"/>
        <item x="114"/>
        <item x="146"/>
        <item x="356"/>
        <item x="406"/>
        <item x="443"/>
        <item x="402"/>
        <item x="185"/>
        <item x="263"/>
        <item x="209"/>
        <item x="481"/>
        <item x="364"/>
        <item x="117"/>
        <item x="23"/>
        <item x="395"/>
        <item x="22"/>
        <item x="59"/>
        <item x="258"/>
        <item x="307"/>
        <item x="504"/>
        <item x="239"/>
        <item x="467"/>
        <item t="default"/>
      </items>
    </pivotField>
    <pivotField compact="0" showAll="0">
      <items count="6">
        <item x="4"/>
        <item x="0"/>
        <item x="2"/>
        <item x="1"/>
        <item x="3"/>
        <item t="default"/>
      </items>
    </pivotField>
    <pivotField dataField="1" compact="0" showAll="0">
      <items count="881">
        <item x="441"/>
        <item x="125"/>
        <item x="51"/>
        <item x="691"/>
        <item x="100"/>
        <item x="769"/>
        <item x="298"/>
        <item x="335"/>
        <item x="114"/>
        <item x="323"/>
        <item x="148"/>
        <item x="33"/>
        <item x="472"/>
        <item x="417"/>
        <item x="180"/>
        <item x="175"/>
        <item x="668"/>
        <item x="243"/>
        <item x="379"/>
        <item x="393"/>
        <item x="366"/>
        <item x="248"/>
        <item x="468"/>
        <item x="113"/>
        <item x="704"/>
        <item x="96"/>
        <item x="241"/>
        <item x="99"/>
        <item x="159"/>
        <item x="778"/>
        <item x="545"/>
        <item x="801"/>
        <item x="117"/>
        <item x="802"/>
        <item x="549"/>
        <item x="120"/>
        <item x="130"/>
        <item x="300"/>
        <item x="434"/>
        <item x="770"/>
        <item x="753"/>
        <item x="484"/>
        <item x="724"/>
        <item x="356"/>
        <item x="693"/>
        <item x="792"/>
        <item x="703"/>
        <item x="145"/>
        <item x="82"/>
        <item x="178"/>
        <item x="520"/>
        <item x="378"/>
        <item x="521"/>
        <item x="643"/>
        <item x="599"/>
        <item x="794"/>
        <item x="627"/>
        <item x="509"/>
        <item x="784"/>
        <item x="589"/>
        <item x="22"/>
        <item x="447"/>
        <item x="606"/>
        <item x="213"/>
        <item x="620"/>
        <item x="754"/>
        <item x="11"/>
        <item x="132"/>
        <item x="409"/>
        <item x="696"/>
        <item x="546"/>
        <item x="77"/>
        <item x="236"/>
        <item x="481"/>
        <item x="227"/>
        <item x="726"/>
        <item x="329"/>
        <item x="250"/>
        <item x="110"/>
        <item x="200"/>
        <item x="798"/>
        <item x="443"/>
        <item x="168"/>
        <item x="267"/>
        <item x="713"/>
        <item x="718"/>
        <item x="687"/>
        <item x="716"/>
        <item x="499"/>
        <item x="147"/>
        <item x="425"/>
        <item x="667"/>
        <item x="740"/>
        <item x="420"/>
        <item x="863"/>
        <item x="115"/>
        <item x="220"/>
        <item x="8"/>
        <item x="680"/>
        <item x="249"/>
        <item x="287"/>
        <item x="601"/>
        <item x="654"/>
        <item x="741"/>
        <item x="35"/>
        <item x="757"/>
        <item x="442"/>
        <item x="762"/>
        <item x="46"/>
        <item x="684"/>
        <item x="649"/>
        <item x="252"/>
        <item x="81"/>
        <item x="429"/>
        <item x="333"/>
        <item x="358"/>
        <item x="773"/>
        <item x="372"/>
        <item x="832"/>
        <item x="392"/>
        <item x="783"/>
        <item x="495"/>
        <item x="52"/>
        <item x="660"/>
        <item x="502"/>
        <item x="836"/>
        <item x="40"/>
        <item x="334"/>
        <item x="386"/>
        <item x="126"/>
        <item x="184"/>
        <item x="431"/>
        <item x="108"/>
        <item x="570"/>
        <item x="596"/>
        <item x="224"/>
        <item x="848"/>
        <item x="683"/>
        <item x="782"/>
        <item x="722"/>
        <item x="530"/>
        <item x="542"/>
        <item x="686"/>
        <item x="195"/>
        <item x="18"/>
        <item x="749"/>
        <item x="341"/>
        <item x="712"/>
        <item x="304"/>
        <item x="210"/>
        <item x="526"/>
        <item x="294"/>
        <item x="841"/>
        <item x="316"/>
        <item x="357"/>
        <item x="506"/>
        <item x="411"/>
        <item x="516"/>
        <item x="440"/>
        <item x="330"/>
        <item x="226"/>
        <item x="515"/>
        <item x="310"/>
        <item x="860"/>
        <item x="296"/>
        <item x="32"/>
        <item x="633"/>
        <item x="153"/>
        <item x="349"/>
        <item x="208"/>
        <item x="471"/>
        <item x="803"/>
        <item x="513"/>
        <item x="619"/>
        <item x="351"/>
        <item x="95"/>
        <item x="34"/>
        <item x="365"/>
        <item x="462"/>
        <item x="291"/>
        <item x="112"/>
        <item x="647"/>
        <item x="707"/>
        <item x="187"/>
        <item x="825"/>
        <item x="91"/>
        <item x="43"/>
        <item x="202"/>
        <item x="185"/>
        <item x="856"/>
        <item x="739"/>
        <item x="139"/>
        <item x="280"/>
        <item x="380"/>
        <item x="593"/>
        <item x="849"/>
        <item x="851"/>
        <item x="448"/>
        <item x="656"/>
        <item x="735"/>
        <item x="14"/>
        <item x="655"/>
        <item x="193"/>
        <item x="865"/>
        <item x="87"/>
        <item x="805"/>
        <item x="263"/>
        <item x="875"/>
        <item x="638"/>
        <item x="562"/>
        <item x="512"/>
        <item x="284"/>
        <item x="123"/>
        <item x="198"/>
        <item x="575"/>
        <item x="688"/>
        <item x="317"/>
        <item x="679"/>
        <item x="301"/>
        <item x="412"/>
        <item x="830"/>
        <item x="3"/>
        <item x="209"/>
        <item x="732"/>
        <item x="146"/>
        <item x="755"/>
        <item x="681"/>
        <item x="36"/>
        <item x="413"/>
        <item x="602"/>
        <item x="813"/>
        <item x="206"/>
        <item x="230"/>
        <item x="504"/>
        <item x="196"/>
        <item x="635"/>
        <item x="527"/>
        <item x="305"/>
        <item x="107"/>
        <item x="321"/>
        <item x="827"/>
        <item x="339"/>
        <item x="700"/>
        <item x="373"/>
        <item x="399"/>
        <item x="315"/>
        <item x="309"/>
        <item x="869"/>
        <item x="90"/>
        <item x="751"/>
        <item x="326"/>
        <item x="89"/>
        <item x="728"/>
        <item x="489"/>
        <item x="149"/>
        <item x="552"/>
        <item x="522"/>
        <item x="28"/>
        <item x="556"/>
        <item x="207"/>
        <item x="388"/>
        <item x="342"/>
        <item x="642"/>
        <item x="121"/>
        <item x="141"/>
        <item x="352"/>
        <item x="765"/>
        <item x="631"/>
        <item x="0"/>
        <item x="563"/>
        <item x="428"/>
        <item x="564"/>
        <item x="577"/>
        <item x="331"/>
        <item x="844"/>
        <item x="490"/>
        <item x="256"/>
        <item x="695"/>
        <item x="186"/>
        <item x="671"/>
        <item x="76"/>
        <item x="624"/>
        <item x="879"/>
        <item x="439"/>
        <item x="730"/>
        <item x="427"/>
        <item x="797"/>
        <item x="466"/>
        <item x="789"/>
        <item x="221"/>
        <item x="581"/>
        <item x="720"/>
        <item x="611"/>
        <item x="612"/>
        <item x="165"/>
        <item x="12"/>
        <item x="623"/>
        <item x="269"/>
        <item x="839"/>
        <item x="318"/>
        <item x="30"/>
        <item x="133"/>
        <item x="554"/>
        <item x="174"/>
        <item x="461"/>
        <item x="818"/>
        <item x="105"/>
        <item x="169"/>
        <item x="833"/>
        <item x="781"/>
        <item x="482"/>
        <item x="662"/>
        <item x="422"/>
        <item x="277"/>
        <item x="503"/>
        <item x="382"/>
        <item x="223"/>
        <item x="328"/>
        <item x="71"/>
        <item x="327"/>
        <item x="25"/>
        <item x="381"/>
        <item x="727"/>
        <item x="717"/>
        <item x="21"/>
        <item x="17"/>
        <item x="658"/>
        <item x="163"/>
        <item x="432"/>
        <item x="403"/>
        <item x="759"/>
        <item x="288"/>
        <item x="702"/>
        <item x="651"/>
        <item x="807"/>
        <item x="396"/>
        <item x="271"/>
        <item x="66"/>
        <item x="731"/>
        <item x="597"/>
        <item x="156"/>
        <item x="74"/>
        <item x="69"/>
        <item x="290"/>
        <item x="846"/>
        <item x="374"/>
        <item x="791"/>
        <item x="253"/>
        <item x="172"/>
        <item x="306"/>
        <item x="843"/>
        <item x="458"/>
        <item x="161"/>
        <item x="775"/>
        <item x="354"/>
        <item x="205"/>
        <item x="525"/>
        <item x="10"/>
        <item x="219"/>
        <item x="158"/>
        <item x="29"/>
        <item x="118"/>
        <item x="657"/>
        <item x="690"/>
        <item x="361"/>
        <item x="531"/>
        <item x="233"/>
        <item x="665"/>
        <item x="122"/>
        <item x="598"/>
        <item x="204"/>
        <item x="75"/>
        <item x="177"/>
        <item x="831"/>
        <item x="363"/>
        <item x="603"/>
        <item x="289"/>
        <item x="282"/>
        <item x="788"/>
        <item x="56"/>
        <item x="809"/>
        <item x="19"/>
        <item x="231"/>
        <item x="414"/>
        <item x="626"/>
        <item x="237"/>
        <item x="529"/>
        <item x="550"/>
        <item x="677"/>
        <item x="390"/>
        <item x="666"/>
        <item x="192"/>
        <item x="144"/>
        <item x="566"/>
        <item x="456"/>
        <item x="510"/>
        <item x="47"/>
        <item x="322"/>
        <item x="338"/>
        <item x="6"/>
        <item x="857"/>
        <item x="698"/>
        <item x="128"/>
        <item x="568"/>
        <item x="13"/>
        <item x="790"/>
        <item x="592"/>
        <item x="255"/>
        <item x="246"/>
        <item x="84"/>
        <item x="600"/>
        <item x="37"/>
        <item x="519"/>
        <item x="508"/>
        <item x="847"/>
        <item x="514"/>
        <item x="585"/>
        <item x="756"/>
        <item x="86"/>
        <item x="787"/>
        <item x="646"/>
        <item x="313"/>
        <item x="493"/>
        <item x="752"/>
        <item x="377"/>
        <item x="53"/>
        <item x="811"/>
        <item x="491"/>
        <item x="558"/>
        <item x="733"/>
        <item x="395"/>
        <item x="614"/>
        <item x="474"/>
        <item x="555"/>
        <item x="485"/>
        <item x="410"/>
        <item x="92"/>
        <item x="212"/>
        <item x="83"/>
        <item x="618"/>
        <item x="407"/>
        <item x="98"/>
        <item x="344"/>
        <item x="533"/>
        <item x="729"/>
        <item x="137"/>
        <item x="835"/>
        <item x="580"/>
        <item x="72"/>
        <item x="664"/>
        <item x="804"/>
        <item x="706"/>
        <item x="398"/>
        <item x="449"/>
        <item x="324"/>
        <item x="547"/>
        <item x="744"/>
        <item x="167"/>
        <item x="189"/>
        <item x="535"/>
        <item x="872"/>
        <item x="579"/>
        <item x="543"/>
        <item x="179"/>
        <item x="182"/>
        <item x="534"/>
        <item x="299"/>
        <item x="265"/>
        <item x="645"/>
        <item x="16"/>
        <item x="435"/>
        <item x="607"/>
        <item x="405"/>
        <item x="2"/>
        <item x="641"/>
        <item x="661"/>
        <item x="337"/>
        <item x="583"/>
        <item x="218"/>
        <item x="239"/>
        <item x="24"/>
        <item x="817"/>
        <item x="652"/>
        <item x="140"/>
        <item x="281"/>
        <item x="311"/>
        <item x="477"/>
        <item x="488"/>
        <item x="673"/>
        <item x="270"/>
        <item x="433"/>
        <item x="494"/>
        <item x="278"/>
        <item x="103"/>
        <item x="876"/>
        <item x="188"/>
        <item x="383"/>
        <item x="389"/>
        <item x="492"/>
        <item x="511"/>
        <item x="171"/>
        <item x="211"/>
        <item x="48"/>
        <item x="780"/>
        <item x="285"/>
        <item x="861"/>
        <item x="61"/>
        <item x="183"/>
        <item x="605"/>
        <item x="594"/>
        <item x="15"/>
        <item x="810"/>
        <item x="842"/>
        <item x="528"/>
        <item x="276"/>
        <item x="136"/>
        <item x="421"/>
        <item x="4"/>
        <item x="9"/>
        <item x="312"/>
        <item x="719"/>
        <item x="314"/>
        <item x="418"/>
        <item x="829"/>
        <item x="824"/>
        <item x="845"/>
        <item x="181"/>
        <item x="816"/>
        <item x="507"/>
        <item x="537"/>
        <item x="214"/>
        <item x="639"/>
        <item x="465"/>
        <item x="604"/>
        <item x="734"/>
        <item x="701"/>
        <item x="463"/>
        <item x="142"/>
        <item x="176"/>
        <item x="553"/>
        <item x="672"/>
        <item x="348"/>
        <item x="648"/>
        <item x="630"/>
        <item x="736"/>
        <item x="826"/>
        <item x="708"/>
        <item x="518"/>
        <item x="541"/>
        <item x="498"/>
        <item x="408"/>
        <item x="247"/>
        <item x="483"/>
        <item x="548"/>
        <item x="190"/>
        <item x="23"/>
        <item x="360"/>
        <item x="119"/>
        <item x="721"/>
        <item x="325"/>
        <item x="164"/>
        <item x="111"/>
        <item x="571"/>
        <item x="257"/>
        <item x="551"/>
        <item x="106"/>
        <item x="505"/>
        <item x="88"/>
        <item x="150"/>
        <item x="197"/>
        <item x="228"/>
        <item x="685"/>
        <item x="796"/>
        <item x="523"/>
        <item x="820"/>
        <item x="391"/>
        <item x="476"/>
        <item x="742"/>
        <item x="539"/>
        <item x="39"/>
        <item x="62"/>
        <item x="364"/>
        <item x="569"/>
        <item x="559"/>
        <item x="689"/>
        <item x="308"/>
        <item x="41"/>
        <item x="116"/>
        <item x="776"/>
        <item x="578"/>
        <item x="401"/>
        <item x="500"/>
        <item x="215"/>
        <item x="157"/>
        <item x="455"/>
        <item x="101"/>
        <item x="254"/>
        <item x="262"/>
        <item x="850"/>
        <item x="574"/>
        <item x="217"/>
        <item x="838"/>
        <item x="613"/>
        <item x="864"/>
        <item x="234"/>
        <item x="295"/>
        <item x="44"/>
        <item x="567"/>
        <item x="561"/>
        <item x="397"/>
        <item x="758"/>
        <item x="216"/>
        <item x="709"/>
        <item x="475"/>
        <item x="166"/>
        <item x="367"/>
        <item x="400"/>
        <item x="663"/>
        <item x="274"/>
        <item x="540"/>
        <item x="705"/>
        <item x="336"/>
        <item x="80"/>
        <item x="54"/>
        <item x="621"/>
        <item x="266"/>
        <item x="45"/>
        <item x="858"/>
        <item x="160"/>
        <item x="822"/>
        <item x="151"/>
        <item x="745"/>
        <item x="469"/>
        <item x="859"/>
        <item x="650"/>
        <item x="59"/>
        <item x="748"/>
        <item x="467"/>
        <item x="293"/>
        <item x="1"/>
        <item x="557"/>
        <item x="199"/>
        <item x="67"/>
        <item x="747"/>
        <item x="799"/>
        <item x="764"/>
        <item x="560"/>
        <item x="676"/>
        <item x="853"/>
        <item x="124"/>
        <item x="129"/>
        <item x="359"/>
        <item x="155"/>
        <item x="170"/>
        <item x="785"/>
        <item x="244"/>
        <item x="723"/>
        <item x="201"/>
        <item x="402"/>
        <item x="286"/>
        <item x="451"/>
        <item x="608"/>
        <item x="232"/>
        <item x="143"/>
        <item x="109"/>
        <item x="355"/>
        <item x="637"/>
        <item x="5"/>
        <item x="445"/>
        <item x="457"/>
        <item x="31"/>
        <item x="55"/>
        <item x="264"/>
        <item x="251"/>
        <item x="486"/>
        <item x="793"/>
        <item x="573"/>
        <item x="222"/>
        <item x="743"/>
        <item x="57"/>
        <item x="258"/>
        <item x="404"/>
        <item x="454"/>
        <item x="38"/>
        <item x="586"/>
        <item x="682"/>
        <item x="370"/>
        <item x="63"/>
        <item x="50"/>
        <item x="79"/>
        <item x="260"/>
        <item x="93"/>
        <item x="42"/>
        <item x="855"/>
        <item x="134"/>
        <item x="426"/>
        <item x="345"/>
        <item x="369"/>
        <item x="806"/>
        <item x="840"/>
        <item x="453"/>
        <item x="70"/>
        <item x="590"/>
        <item x="319"/>
        <item x="854"/>
        <item x="766"/>
        <item x="7"/>
        <item x="73"/>
        <item x="240"/>
        <item x="587"/>
        <item x="750"/>
        <item x="368"/>
        <item x="238"/>
        <item x="774"/>
        <item x="588"/>
        <item x="460"/>
        <item x="261"/>
        <item x="823"/>
        <item x="871"/>
        <item x="786"/>
        <item x="634"/>
        <item x="242"/>
        <item x="436"/>
        <item x="303"/>
        <item x="874"/>
        <item x="376"/>
        <item x="480"/>
        <item x="699"/>
        <item x="632"/>
        <item x="437"/>
        <item x="678"/>
        <item x="292"/>
        <item x="362"/>
        <item x="737"/>
        <item x="154"/>
        <item x="738"/>
        <item x="58"/>
        <item x="669"/>
        <item x="517"/>
        <item x="152"/>
        <item x="761"/>
        <item x="821"/>
        <item x="878"/>
        <item x="225"/>
        <item x="424"/>
        <item x="375"/>
        <item x="444"/>
        <item x="625"/>
        <item x="710"/>
        <item x="653"/>
        <item x="725"/>
        <item x="279"/>
        <item x="464"/>
        <item x="473"/>
        <item x="867"/>
        <item x="616"/>
        <item x="297"/>
        <item x="94"/>
        <item x="49"/>
        <item x="470"/>
        <item x="772"/>
        <item x="60"/>
        <item x="340"/>
        <item x="203"/>
        <item x="595"/>
        <item x="615"/>
        <item x="610"/>
        <item x="837"/>
        <item x="438"/>
        <item x="162"/>
        <item x="674"/>
        <item x="862"/>
        <item x="371"/>
        <item x="777"/>
        <item x="423"/>
        <item x="714"/>
        <item x="692"/>
        <item x="78"/>
        <item x="584"/>
        <item x="670"/>
        <item x="68"/>
        <item x="353"/>
        <item x="711"/>
        <item x="346"/>
        <item x="273"/>
        <item x="536"/>
        <item x="406"/>
        <item x="272"/>
        <item x="834"/>
        <item x="819"/>
        <item x="102"/>
        <item x="487"/>
        <item x="131"/>
        <item x="496"/>
        <item x="760"/>
        <item x="387"/>
        <item x="385"/>
        <item x="715"/>
        <item x="501"/>
        <item x="332"/>
        <item x="815"/>
        <item x="697"/>
        <item x="85"/>
        <item x="283"/>
        <item x="235"/>
        <item x="628"/>
        <item x="746"/>
        <item x="532"/>
        <item x="302"/>
        <item x="640"/>
        <item x="419"/>
        <item x="194"/>
        <item x="104"/>
        <item x="275"/>
        <item x="544"/>
        <item x="572"/>
        <item x="675"/>
        <item x="873"/>
        <item x="452"/>
        <item x="771"/>
        <item x="135"/>
        <item x="65"/>
        <item x="416"/>
        <item x="767"/>
        <item x="868"/>
        <item x="173"/>
        <item x="524"/>
        <item x="497"/>
        <item x="622"/>
        <item x="347"/>
        <item x="591"/>
        <item x="97"/>
        <item x="852"/>
        <item x="870"/>
        <item x="644"/>
        <item x="800"/>
        <item x="617"/>
        <item x="229"/>
        <item x="779"/>
        <item x="478"/>
        <item x="245"/>
        <item x="446"/>
        <item x="866"/>
        <item x="629"/>
        <item x="415"/>
        <item x="350"/>
        <item x="320"/>
        <item x="814"/>
        <item x="268"/>
        <item x="659"/>
        <item x="808"/>
        <item x="694"/>
        <item x="565"/>
        <item x="20"/>
        <item x="64"/>
        <item x="538"/>
        <item x="812"/>
        <item x="127"/>
        <item x="138"/>
        <item x="384"/>
        <item x="394"/>
        <item x="459"/>
        <item x="27"/>
        <item x="609"/>
        <item x="450"/>
        <item x="26"/>
        <item x="582"/>
        <item x="828"/>
        <item x="479"/>
        <item x="343"/>
        <item x="259"/>
        <item x="307"/>
        <item x="795"/>
        <item x="430"/>
        <item x="576"/>
        <item x="763"/>
        <item x="636"/>
        <item x="191"/>
        <item x="877"/>
        <item x="768"/>
        <item t="default"/>
      </items>
    </pivotField>
    <pivotField compact="0" showAll="0">
      <items count="1001">
        <item x="473"/>
        <item x="129"/>
        <item x="573"/>
        <item x="772"/>
        <item x="102"/>
        <item x="866"/>
        <item x="314"/>
        <item x="354"/>
        <item x="118"/>
        <item x="342"/>
        <item x="153"/>
        <item x="33"/>
        <item x="510"/>
        <item x="445"/>
        <item x="187"/>
        <item x="181"/>
        <item x="742"/>
        <item x="254"/>
        <item x="401"/>
        <item x="415"/>
        <item x="387"/>
        <item x="259"/>
        <item x="506"/>
        <item x="117"/>
        <item x="788"/>
        <item x="97"/>
        <item x="252"/>
        <item x="101"/>
        <item x="165"/>
        <item x="877"/>
        <item x="592"/>
        <item x="907"/>
        <item x="121"/>
        <item x="908"/>
        <item x="596"/>
        <item x="421"/>
        <item x="134"/>
        <item x="316"/>
        <item x="464"/>
        <item x="867"/>
        <item x="850"/>
        <item x="522"/>
        <item x="813"/>
        <item x="376"/>
        <item x="774"/>
        <item x="895"/>
        <item x="786"/>
        <item x="149"/>
        <item x="648"/>
        <item x="184"/>
        <item x="562"/>
        <item x="400"/>
        <item x="563"/>
        <item x="707"/>
        <item x="654"/>
        <item x="898"/>
        <item x="690"/>
        <item x="550"/>
        <item x="884"/>
        <item x="640"/>
        <item x="22"/>
        <item x="868"/>
        <item x="661"/>
        <item x="223"/>
        <item x="680"/>
        <item x="851"/>
        <item x="11"/>
        <item x="136"/>
        <item x="436"/>
        <item x="778"/>
        <item x="593"/>
        <item x="78"/>
        <item x="753"/>
        <item x="519"/>
        <item x="238"/>
        <item x="818"/>
        <item x="348"/>
        <item x="261"/>
        <item x="114"/>
        <item x="209"/>
        <item x="903"/>
        <item x="476"/>
        <item x="174"/>
        <item x="278"/>
        <item x="800"/>
        <item x="806"/>
        <item x="767"/>
        <item x="804"/>
        <item x="539"/>
        <item x="152"/>
        <item x="453"/>
        <item x="741"/>
        <item x="835"/>
        <item x="448"/>
        <item x="979"/>
        <item x="307"/>
        <item x="119"/>
        <item x="231"/>
        <item x="227"/>
        <item x="757"/>
        <item x="260"/>
        <item x="300"/>
        <item x="656"/>
        <item x="720"/>
        <item x="836"/>
        <item x="35"/>
        <item x="854"/>
        <item x="474"/>
        <item x="859"/>
        <item x="46"/>
        <item x="762"/>
        <item x="713"/>
        <item x="263"/>
        <item x="82"/>
        <item x="458"/>
        <item x="725"/>
        <item x="378"/>
        <item x="872"/>
        <item x="394"/>
        <item x="941"/>
        <item x="414"/>
        <item x="883"/>
        <item x="534"/>
        <item x="52"/>
        <item x="733"/>
        <item x="542"/>
        <item x="945"/>
        <item x="40"/>
        <item x="353"/>
        <item x="408"/>
        <item x="130"/>
        <item x="191"/>
        <item x="461"/>
        <item x="112"/>
        <item x="621"/>
        <item x="651"/>
        <item x="235"/>
        <item x="961"/>
        <item x="761"/>
        <item x="882"/>
        <item x="810"/>
        <item x="572"/>
        <item x="588"/>
        <item x="766"/>
        <item x="204"/>
        <item x="18"/>
        <item x="845"/>
        <item x="718"/>
        <item x="336"/>
        <item x="797"/>
        <item x="320"/>
        <item x="220"/>
        <item x="568"/>
        <item x="310"/>
        <item x="953"/>
        <item x="682"/>
        <item x="377"/>
        <item x="124"/>
        <item x="546"/>
        <item x="438"/>
        <item x="557"/>
        <item x="472"/>
        <item x="349"/>
        <item x="237"/>
        <item x="556"/>
        <item x="727"/>
        <item x="974"/>
        <item x="312"/>
        <item x="32"/>
        <item x="696"/>
        <item x="158"/>
        <item x="369"/>
        <item x="948"/>
        <item x="509"/>
        <item x="911"/>
        <item x="554"/>
        <item x="679"/>
        <item x="371"/>
        <item x="96"/>
        <item x="196"/>
        <item x="386"/>
        <item x="499"/>
        <item x="532"/>
        <item x="116"/>
        <item x="711"/>
        <item x="791"/>
        <item x="194"/>
        <item x="934"/>
        <item x="92"/>
        <item x="586"/>
        <item x="212"/>
        <item x="192"/>
        <item x="970"/>
        <item x="832"/>
        <item x="687"/>
        <item x="143"/>
        <item x="352"/>
        <item x="292"/>
        <item x="402"/>
        <item x="645"/>
        <item x="962"/>
        <item x="964"/>
        <item x="483"/>
        <item x="724"/>
        <item x="828"/>
        <item x="14"/>
        <item x="721"/>
        <item x="202"/>
        <item x="983"/>
        <item x="88"/>
        <item x="815"/>
        <item x="913"/>
        <item x="460"/>
        <item x="994"/>
        <item x="701"/>
        <item x="611"/>
        <item x="553"/>
        <item x="297"/>
        <item x="162"/>
        <item x="207"/>
        <item x="626"/>
        <item x="768"/>
        <item x="335"/>
        <item x="755"/>
        <item x="871"/>
        <item x="439"/>
        <item x="939"/>
        <item x="3"/>
        <item x="219"/>
        <item x="825"/>
        <item x="151"/>
        <item x="852"/>
        <item x="758"/>
        <item x="36"/>
        <item x="440"/>
        <item x="657"/>
        <item x="921"/>
        <item x="216"/>
        <item x="241"/>
        <item x="544"/>
        <item x="205"/>
        <item x="698"/>
        <item x="569"/>
        <item x="321"/>
        <item x="798"/>
        <item x="340"/>
        <item x="936"/>
        <item x="358"/>
        <item x="783"/>
        <item x="395"/>
        <item x="423"/>
        <item x="332"/>
        <item x="325"/>
        <item x="988"/>
        <item x="91"/>
        <item x="847"/>
        <item x="345"/>
        <item x="8"/>
        <item x="108"/>
        <item x="821"/>
        <item x="527"/>
        <item x="154"/>
        <item x="601"/>
        <item x="564"/>
        <item x="482"/>
        <item x="28"/>
        <item x="605"/>
        <item x="217"/>
        <item x="410"/>
        <item x="361"/>
        <item x="706"/>
        <item x="125"/>
        <item x="145"/>
        <item x="372"/>
        <item x="862"/>
        <item x="694"/>
        <item x="0"/>
        <item x="613"/>
        <item x="456"/>
        <item x="614"/>
        <item x="628"/>
        <item x="350"/>
        <item x="957"/>
        <item x="528"/>
        <item x="267"/>
        <item x="777"/>
        <item x="547"/>
        <item x="745"/>
        <item x="77"/>
        <item x="686"/>
        <item x="998"/>
        <item x="756"/>
        <item x="823"/>
        <item x="455"/>
        <item x="901"/>
        <item x="503"/>
        <item x="892"/>
        <item x="619"/>
        <item x="632"/>
        <item x="808"/>
        <item x="670"/>
        <item x="671"/>
        <item x="90"/>
        <item x="171"/>
        <item x="12"/>
        <item x="685"/>
        <item x="280"/>
        <item x="950"/>
        <item x="481"/>
        <item x="30"/>
        <item x="137"/>
        <item x="603"/>
        <item x="53"/>
        <item x="180"/>
        <item x="498"/>
        <item x="926"/>
        <item x="109"/>
        <item x="175"/>
        <item x="942"/>
        <item x="881"/>
        <item x="984"/>
        <item x="735"/>
        <item x="450"/>
        <item x="289"/>
        <item x="543"/>
        <item x="404"/>
        <item x="906"/>
        <item x="347"/>
        <item x="72"/>
        <item x="346"/>
        <item x="25"/>
        <item x="403"/>
        <item x="819"/>
        <item x="805"/>
        <item x="21"/>
        <item x="17"/>
        <item x="728"/>
        <item x="169"/>
        <item x="462"/>
        <item x="475"/>
        <item x="856"/>
        <item x="955"/>
        <item x="785"/>
        <item x="716"/>
        <item x="915"/>
        <item x="43"/>
        <item x="419"/>
        <item x="282"/>
        <item x="67"/>
        <item x="824"/>
        <item x="981"/>
        <item x="161"/>
        <item x="75"/>
        <item x="70"/>
        <item x="303"/>
        <item x="959"/>
        <item x="396"/>
        <item x="894"/>
        <item x="264"/>
        <item x="178"/>
        <item x="322"/>
        <item x="956"/>
        <item x="493"/>
        <item x="167"/>
        <item x="874"/>
        <item x="723"/>
        <item x="374"/>
        <item x="215"/>
        <item x="567"/>
        <item x="10"/>
        <item x="230"/>
        <item x="164"/>
        <item x="29"/>
        <item x="122"/>
        <item x="726"/>
        <item x="771"/>
        <item x="382"/>
        <item x="432"/>
        <item x="574"/>
        <item x="244"/>
        <item x="738"/>
        <item x="126"/>
        <item x="653"/>
        <item x="214"/>
        <item x="76"/>
        <item x="183"/>
        <item x="703"/>
        <item x="940"/>
        <item x="384"/>
        <item x="658"/>
        <item x="302"/>
        <item x="294"/>
        <item x="891"/>
        <item x="57"/>
        <item x="917"/>
        <item x="19"/>
        <item x="242"/>
        <item x="442"/>
        <item x="689"/>
        <item x="248"/>
        <item x="643"/>
        <item x="597"/>
        <item x="752"/>
        <item x="412"/>
        <item x="740"/>
        <item x="200"/>
        <item x="148"/>
        <item x="616"/>
        <item x="491"/>
        <item x="551"/>
        <item x="47"/>
        <item x="341"/>
        <item x="357"/>
        <item x="6"/>
        <item x="971"/>
        <item x="781"/>
        <item x="132"/>
        <item x="765"/>
        <item x="13"/>
        <item x="34"/>
        <item x="715"/>
        <item x="893"/>
        <item x="644"/>
        <item x="266"/>
        <item x="257"/>
        <item x="85"/>
        <item x="571"/>
        <item x="655"/>
        <item x="618"/>
        <item x="37"/>
        <item x="561"/>
        <item x="549"/>
        <item x="960"/>
        <item x="555"/>
        <item x="636"/>
        <item x="853"/>
        <item x="87"/>
        <item x="888"/>
        <item x="710"/>
        <item x="457"/>
        <item x="330"/>
        <item x="531"/>
        <item x="127"/>
        <item x="849"/>
        <item x="399"/>
        <item x="576"/>
        <item x="919"/>
        <item x="529"/>
        <item x="607"/>
        <item x="536"/>
        <item x="826"/>
        <item x="418"/>
        <item x="673"/>
        <item x="305"/>
        <item x="512"/>
        <item x="760"/>
        <item x="604"/>
        <item x="523"/>
        <item x="234"/>
        <item x="426"/>
        <item x="437"/>
        <item x="93"/>
        <item x="222"/>
        <item x="84"/>
        <item x="678"/>
        <item x="434"/>
        <item x="578"/>
        <item x="100"/>
        <item x="111"/>
        <item x="363"/>
        <item x="577"/>
        <item x="822"/>
        <item x="141"/>
        <item x="834"/>
        <item x="944"/>
        <item x="631"/>
        <item x="73"/>
        <item x="737"/>
        <item x="912"/>
        <item x="790"/>
        <item x="422"/>
        <item x="484"/>
        <item x="343"/>
        <item x="594"/>
        <item x="839"/>
        <item x="173"/>
        <item x="197"/>
        <item x="580"/>
        <item x="337"/>
        <item x="991"/>
        <item x="630"/>
        <item x="590"/>
        <item x="186"/>
        <item x="189"/>
        <item x="579"/>
        <item x="799"/>
        <item x="276"/>
        <item x="709"/>
        <item x="16"/>
        <item x="465"/>
        <item x="663"/>
        <item x="431"/>
        <item x="2"/>
        <item x="185"/>
        <item x="705"/>
        <item x="734"/>
        <item x="722"/>
        <item x="634"/>
        <item x="379"/>
        <item x="360"/>
        <item x="250"/>
        <item x="24"/>
        <item x="925"/>
        <item x="717"/>
        <item x="144"/>
        <item x="293"/>
        <item x="649"/>
        <item x="515"/>
        <item x="526"/>
        <item x="664"/>
        <item x="748"/>
        <item x="281"/>
        <item x="463"/>
        <item x="533"/>
        <item x="290"/>
        <item x="106"/>
        <item x="995"/>
        <item x="195"/>
        <item x="405"/>
        <item x="411"/>
        <item x="530"/>
        <item x="552"/>
        <item x="177"/>
        <item x="221"/>
        <item x="48"/>
        <item x="879"/>
        <item x="298"/>
        <item x="975"/>
        <item x="62"/>
        <item x="190"/>
        <item x="660"/>
        <item x="647"/>
        <item x="15"/>
        <item x="918"/>
        <item x="954"/>
        <item x="570"/>
        <item x="287"/>
        <item x="140"/>
        <item x="449"/>
        <item x="4"/>
        <item x="9"/>
        <item x="329"/>
        <item x="807"/>
        <item x="331"/>
        <item x="446"/>
        <item x="938"/>
        <item x="932"/>
        <item x="308"/>
        <item x="958"/>
        <item x="188"/>
        <item x="924"/>
        <item x="548"/>
        <item x="582"/>
        <item x="224"/>
        <item x="702"/>
        <item x="502"/>
        <item x="659"/>
        <item x="827"/>
        <item x="784"/>
        <item x="500"/>
        <item x="146"/>
        <item x="182"/>
        <item x="602"/>
        <item x="747"/>
        <item x="368"/>
        <item x="315"/>
        <item x="712"/>
        <item x="693"/>
        <item x="829"/>
        <item x="935"/>
        <item x="792"/>
        <item x="83"/>
        <item x="560"/>
        <item x="587"/>
        <item x="538"/>
        <item x="435"/>
        <item x="933"/>
        <item x="258"/>
        <item x="521"/>
        <item x="595"/>
        <item x="198"/>
        <item x="23"/>
        <item x="381"/>
        <item x="123"/>
        <item x="999"/>
        <item x="809"/>
        <item x="344"/>
        <item x="210"/>
        <item x="477"/>
        <item x="885"/>
        <item x="115"/>
        <item x="622"/>
        <item x="268"/>
        <item x="598"/>
        <item x="110"/>
        <item x="545"/>
        <item x="89"/>
        <item x="155"/>
        <item x="206"/>
        <item x="889"/>
        <item x="600"/>
        <item x="764"/>
        <item x="900"/>
        <item x="565"/>
        <item x="951"/>
        <item x="928"/>
        <item x="413"/>
        <item x="514"/>
        <item x="837"/>
        <item x="584"/>
        <item x="39"/>
        <item x="63"/>
        <item x="385"/>
        <item x="620"/>
        <item x="608"/>
        <item x="317"/>
        <item x="770"/>
        <item x="324"/>
        <item x="232"/>
        <item x="41"/>
        <item x="120"/>
        <item x="875"/>
        <item x="629"/>
        <item x="425"/>
        <item x="540"/>
        <item x="225"/>
        <item x="163"/>
        <item x="490"/>
        <item x="104"/>
        <item x="646"/>
        <item x="909"/>
        <item x="273"/>
        <item x="963"/>
        <item x="625"/>
        <item x="228"/>
        <item x="949"/>
        <item x="672"/>
        <item x="982"/>
        <item x="245"/>
        <item x="311"/>
        <item x="44"/>
        <item x="617"/>
        <item x="610"/>
        <item x="420"/>
        <item x="304"/>
        <item x="855"/>
        <item x="226"/>
        <item x="793"/>
        <item x="513"/>
        <item x="172"/>
        <item x="389"/>
        <item x="424"/>
        <item x="736"/>
        <item x="285"/>
        <item x="585"/>
        <item x="789"/>
        <item x="355"/>
        <item x="218"/>
        <item x="81"/>
        <item x="103"/>
        <item x="681"/>
        <item x="193"/>
        <item x="277"/>
        <item x="496"/>
        <item x="848"/>
        <item x="972"/>
        <item x="166"/>
        <item x="930"/>
        <item x="156"/>
        <item x="840"/>
        <item x="507"/>
        <item x="973"/>
        <item x="769"/>
        <item x="599"/>
        <item x="60"/>
        <item x="665"/>
        <item x="844"/>
        <item x="504"/>
        <item x="309"/>
        <item x="1"/>
        <item x="333"/>
        <item x="606"/>
        <item x="208"/>
        <item x="833"/>
        <item x="842"/>
        <item x="904"/>
        <item x="861"/>
        <item x="609"/>
        <item x="751"/>
        <item x="966"/>
        <item x="128"/>
        <item x="170"/>
        <item x="467"/>
        <item x="380"/>
        <item x="160"/>
        <item x="176"/>
        <item x="886"/>
        <item x="98"/>
        <item x="255"/>
        <item x="327"/>
        <item x="812"/>
        <item x="211"/>
        <item x="427"/>
        <item x="299"/>
        <item x="486"/>
        <item x="666"/>
        <item x="495"/>
        <item x="243"/>
        <item x="147"/>
        <item x="559"/>
        <item x="113"/>
        <item x="375"/>
        <item x="700"/>
        <item x="5"/>
        <item x="479"/>
        <item x="492"/>
        <item x="31"/>
        <item x="470"/>
        <item x="56"/>
        <item x="275"/>
        <item x="356"/>
        <item x="262"/>
        <item x="739"/>
        <item x="524"/>
        <item x="897"/>
        <item x="896"/>
        <item x="624"/>
        <item x="233"/>
        <item x="838"/>
        <item x="58"/>
        <item x="269"/>
        <item x="430"/>
        <item x="731"/>
        <item x="489"/>
        <item x="843"/>
        <item x="38"/>
        <item x="637"/>
        <item x="759"/>
        <item x="763"/>
        <item x="392"/>
        <item x="64"/>
        <item x="50"/>
        <item x="730"/>
        <item x="271"/>
        <item x="94"/>
        <item x="42"/>
        <item x="969"/>
        <item x="138"/>
        <item x="454"/>
        <item x="364"/>
        <item x="732"/>
        <item x="391"/>
        <item x="239"/>
        <item x="914"/>
        <item x="952"/>
        <item x="488"/>
        <item x="71"/>
        <item x="641"/>
        <item x="247"/>
        <item x="288"/>
        <item x="365"/>
        <item x="977"/>
        <item x="338"/>
        <item x="967"/>
        <item x="863"/>
        <item x="7"/>
        <item x="74"/>
        <item x="251"/>
        <item x="669"/>
        <item x="638"/>
        <item x="846"/>
        <item x="80"/>
        <item x="390"/>
        <item x="249"/>
        <item x="873"/>
        <item x="639"/>
        <item x="497"/>
        <item x="272"/>
        <item x="931"/>
        <item x="990"/>
        <item x="887"/>
        <item x="697"/>
        <item x="253"/>
        <item x="466"/>
        <item x="319"/>
        <item x="993"/>
        <item x="968"/>
        <item x="398"/>
        <item x="441"/>
        <item x="518"/>
        <item x="782"/>
        <item x="695"/>
        <item x="714"/>
        <item x="468"/>
        <item x="754"/>
        <item x="306"/>
        <item x="383"/>
        <item x="830"/>
        <item x="159"/>
        <item x="831"/>
        <item x="59"/>
        <item x="743"/>
        <item x="558"/>
        <item x="683"/>
        <item x="814"/>
        <item x="157"/>
        <item x="980"/>
        <item x="775"/>
        <item x="612"/>
        <item x="858"/>
        <item x="929"/>
        <item x="997"/>
        <item x="236"/>
        <item x="452"/>
        <item x="397"/>
        <item x="520"/>
        <item x="478"/>
        <item x="688"/>
        <item x="55"/>
        <item x="505"/>
        <item x="794"/>
        <item x="746"/>
        <item x="719"/>
        <item x="816"/>
        <item x="471"/>
        <item x="291"/>
        <item x="501"/>
        <item x="511"/>
        <item x="890"/>
        <item x="986"/>
        <item x="676"/>
        <item x="796"/>
        <item x="313"/>
        <item x="779"/>
        <item x="95"/>
        <item x="49"/>
        <item x="508"/>
        <item x="870"/>
        <item x="45"/>
        <item x="61"/>
        <item x="359"/>
        <item x="213"/>
        <item x="650"/>
        <item x="326"/>
        <item x="674"/>
        <item x="668"/>
        <item x="947"/>
        <item x="469"/>
        <item x="168"/>
        <item x="749"/>
        <item x="976"/>
        <item x="393"/>
        <item x="876"/>
        <item x="451"/>
        <item x="801"/>
        <item x="773"/>
        <item x="79"/>
        <item x="635"/>
        <item x="662"/>
        <item x="744"/>
        <item x="69"/>
        <item x="373"/>
        <item x="795"/>
        <item x="946"/>
        <item x="366"/>
        <item x="284"/>
        <item x="589"/>
        <item x="581"/>
        <item x="433"/>
        <item x="283"/>
        <item x="943"/>
        <item x="927"/>
        <item x="105"/>
        <item x="525"/>
        <item x="135"/>
        <item x="535"/>
        <item x="857"/>
        <item x="409"/>
        <item x="407"/>
        <item x="803"/>
        <item x="541"/>
        <item x="351"/>
        <item x="923"/>
        <item x="780"/>
        <item x="86"/>
        <item x="295"/>
        <item x="246"/>
        <item x="691"/>
        <item x="841"/>
        <item x="575"/>
        <item x="318"/>
        <item x="704"/>
        <item x="447"/>
        <item x="203"/>
        <item x="107"/>
        <item x="388"/>
        <item x="675"/>
        <item x="328"/>
        <item x="274"/>
        <item x="286"/>
        <item x="591"/>
        <item x="623"/>
        <item x="750"/>
        <item x="992"/>
        <item x="296"/>
        <item x="487"/>
        <item x="869"/>
        <item x="811"/>
        <item x="139"/>
        <item x="150"/>
        <item x="910"/>
        <item x="66"/>
        <item x="444"/>
        <item x="864"/>
        <item x="987"/>
        <item x="179"/>
        <item x="566"/>
        <item x="537"/>
        <item x="229"/>
        <item x="684"/>
        <item x="428"/>
        <item x="367"/>
        <item x="429"/>
        <item x="642"/>
        <item x="802"/>
        <item x="54"/>
        <item x="201"/>
        <item x="965"/>
        <item x="989"/>
        <item x="708"/>
        <item x="905"/>
        <item x="677"/>
        <item x="240"/>
        <item x="880"/>
        <item x="878"/>
        <item x="516"/>
        <item x="256"/>
        <item x="480"/>
        <item x="985"/>
        <item x="692"/>
        <item x="443"/>
        <item x="370"/>
        <item x="339"/>
        <item x="922"/>
        <item x="265"/>
        <item x="279"/>
        <item x="729"/>
        <item x="916"/>
        <item x="820"/>
        <item x="776"/>
        <item x="615"/>
        <item x="20"/>
        <item x="978"/>
        <item x="65"/>
        <item x="583"/>
        <item x="51"/>
        <item x="920"/>
        <item x="131"/>
        <item x="142"/>
        <item x="301"/>
        <item x="406"/>
        <item x="416"/>
        <item x="133"/>
        <item x="494"/>
        <item x="27"/>
        <item x="667"/>
        <item x="485"/>
        <item x="902"/>
        <item x="26"/>
        <item x="633"/>
        <item x="68"/>
        <item x="937"/>
        <item x="517"/>
        <item x="417"/>
        <item x="362"/>
        <item x="270"/>
        <item x="652"/>
        <item x="323"/>
        <item x="899"/>
        <item x="459"/>
        <item x="627"/>
        <item x="860"/>
        <item x="699"/>
        <item x="199"/>
        <item x="787"/>
        <item x="996"/>
        <item x="334"/>
        <item x="817"/>
        <item x="99"/>
        <item x="865"/>
        <item t="default"/>
      </items>
    </pivotField>
    <pivotField compact="0" showAll="0">
      <items count="1000">
        <item x="473"/>
        <item x="129"/>
        <item x="573"/>
        <item x="771"/>
        <item x="102"/>
        <item x="865"/>
        <item x="314"/>
        <item x="354"/>
        <item x="118"/>
        <item x="342"/>
        <item x="153"/>
        <item x="33"/>
        <item x="510"/>
        <item x="445"/>
        <item x="187"/>
        <item x="181"/>
        <item x="741"/>
        <item x="254"/>
        <item x="401"/>
        <item x="415"/>
        <item x="387"/>
        <item x="259"/>
        <item x="506"/>
        <item x="117"/>
        <item x="787"/>
        <item x="97"/>
        <item x="252"/>
        <item x="101"/>
        <item x="165"/>
        <item x="876"/>
        <item x="592"/>
        <item x="906"/>
        <item x="121"/>
        <item x="907"/>
        <item x="596"/>
        <item x="421"/>
        <item x="134"/>
        <item x="316"/>
        <item x="464"/>
        <item x="866"/>
        <item x="849"/>
        <item x="522"/>
        <item x="812"/>
        <item x="376"/>
        <item x="773"/>
        <item x="894"/>
        <item x="785"/>
        <item x="149"/>
        <item x="648"/>
        <item x="184"/>
        <item x="562"/>
        <item x="400"/>
        <item x="563"/>
        <item x="706"/>
        <item x="654"/>
        <item x="897"/>
        <item x="690"/>
        <item x="550"/>
        <item x="883"/>
        <item x="640"/>
        <item x="22"/>
        <item x="867"/>
        <item x="661"/>
        <item x="223"/>
        <item x="680"/>
        <item x="850"/>
        <item x="11"/>
        <item x="136"/>
        <item x="436"/>
        <item x="777"/>
        <item x="593"/>
        <item x="78"/>
        <item x="752"/>
        <item x="519"/>
        <item x="238"/>
        <item x="817"/>
        <item x="348"/>
        <item x="261"/>
        <item x="114"/>
        <item x="209"/>
        <item x="902"/>
        <item x="476"/>
        <item x="174"/>
        <item x="278"/>
        <item x="799"/>
        <item x="805"/>
        <item x="766"/>
        <item x="803"/>
        <item x="539"/>
        <item x="152"/>
        <item x="453"/>
        <item x="740"/>
        <item x="834"/>
        <item x="448"/>
        <item x="978"/>
        <item x="307"/>
        <item x="119"/>
        <item x="231"/>
        <item x="227"/>
        <item x="756"/>
        <item x="260"/>
        <item x="300"/>
        <item x="656"/>
        <item x="719"/>
        <item x="835"/>
        <item x="35"/>
        <item x="853"/>
        <item x="474"/>
        <item x="858"/>
        <item x="46"/>
        <item x="761"/>
        <item x="712"/>
        <item x="263"/>
        <item x="82"/>
        <item x="458"/>
        <item x="724"/>
        <item x="378"/>
        <item x="871"/>
        <item x="394"/>
        <item x="940"/>
        <item x="414"/>
        <item x="882"/>
        <item x="534"/>
        <item x="52"/>
        <item x="732"/>
        <item x="542"/>
        <item x="944"/>
        <item x="40"/>
        <item x="353"/>
        <item x="408"/>
        <item x="130"/>
        <item x="191"/>
        <item x="461"/>
        <item x="112"/>
        <item x="621"/>
        <item x="651"/>
        <item x="235"/>
        <item x="960"/>
        <item x="760"/>
        <item x="881"/>
        <item x="809"/>
        <item x="572"/>
        <item x="588"/>
        <item x="765"/>
        <item x="204"/>
        <item x="18"/>
        <item x="844"/>
        <item x="717"/>
        <item x="336"/>
        <item x="796"/>
        <item x="320"/>
        <item x="220"/>
        <item x="568"/>
        <item x="310"/>
        <item x="952"/>
        <item x="682"/>
        <item x="377"/>
        <item x="124"/>
        <item x="546"/>
        <item x="438"/>
        <item x="557"/>
        <item x="472"/>
        <item x="349"/>
        <item x="237"/>
        <item x="556"/>
        <item x="726"/>
        <item x="973"/>
        <item x="312"/>
        <item x="32"/>
        <item x="695"/>
        <item x="158"/>
        <item x="369"/>
        <item x="947"/>
        <item x="509"/>
        <item x="910"/>
        <item x="554"/>
        <item x="679"/>
        <item x="371"/>
        <item x="96"/>
        <item x="196"/>
        <item x="386"/>
        <item x="499"/>
        <item x="532"/>
        <item x="116"/>
        <item x="710"/>
        <item x="790"/>
        <item x="194"/>
        <item x="933"/>
        <item x="92"/>
        <item x="586"/>
        <item x="212"/>
        <item x="192"/>
        <item x="969"/>
        <item x="831"/>
        <item x="687"/>
        <item x="143"/>
        <item x="352"/>
        <item x="292"/>
        <item x="402"/>
        <item x="645"/>
        <item x="961"/>
        <item x="963"/>
        <item x="483"/>
        <item x="723"/>
        <item x="827"/>
        <item x="14"/>
        <item x="720"/>
        <item x="202"/>
        <item x="982"/>
        <item x="88"/>
        <item x="814"/>
        <item x="912"/>
        <item x="460"/>
        <item x="993"/>
        <item x="700"/>
        <item x="611"/>
        <item x="553"/>
        <item x="297"/>
        <item x="162"/>
        <item x="207"/>
        <item x="626"/>
        <item x="767"/>
        <item x="335"/>
        <item x="754"/>
        <item x="870"/>
        <item x="439"/>
        <item x="938"/>
        <item x="3"/>
        <item x="219"/>
        <item x="824"/>
        <item x="151"/>
        <item x="851"/>
        <item x="757"/>
        <item x="36"/>
        <item x="440"/>
        <item x="657"/>
        <item x="920"/>
        <item x="216"/>
        <item x="241"/>
        <item x="544"/>
        <item x="205"/>
        <item x="697"/>
        <item x="569"/>
        <item x="321"/>
        <item x="797"/>
        <item x="340"/>
        <item x="935"/>
        <item x="358"/>
        <item x="782"/>
        <item x="395"/>
        <item x="423"/>
        <item x="332"/>
        <item x="325"/>
        <item x="987"/>
        <item x="91"/>
        <item x="846"/>
        <item x="345"/>
        <item x="8"/>
        <item x="108"/>
        <item x="820"/>
        <item x="527"/>
        <item x="154"/>
        <item x="601"/>
        <item x="564"/>
        <item x="482"/>
        <item x="28"/>
        <item x="605"/>
        <item x="217"/>
        <item x="410"/>
        <item x="361"/>
        <item x="705"/>
        <item x="125"/>
        <item x="145"/>
        <item x="372"/>
        <item x="861"/>
        <item x="693"/>
        <item x="0"/>
        <item x="613"/>
        <item x="456"/>
        <item x="614"/>
        <item x="628"/>
        <item x="350"/>
        <item x="956"/>
        <item x="528"/>
        <item x="267"/>
        <item x="776"/>
        <item x="547"/>
        <item x="744"/>
        <item x="77"/>
        <item x="686"/>
        <item x="997"/>
        <item x="755"/>
        <item x="822"/>
        <item x="455"/>
        <item x="900"/>
        <item x="503"/>
        <item x="891"/>
        <item x="619"/>
        <item x="632"/>
        <item x="807"/>
        <item x="670"/>
        <item x="671"/>
        <item x="90"/>
        <item x="171"/>
        <item x="12"/>
        <item x="685"/>
        <item x="280"/>
        <item x="949"/>
        <item x="481"/>
        <item x="30"/>
        <item x="137"/>
        <item x="603"/>
        <item x="53"/>
        <item x="180"/>
        <item x="498"/>
        <item x="925"/>
        <item x="109"/>
        <item x="175"/>
        <item x="941"/>
        <item x="880"/>
        <item x="983"/>
        <item x="734"/>
        <item x="450"/>
        <item x="289"/>
        <item x="543"/>
        <item x="404"/>
        <item x="905"/>
        <item x="347"/>
        <item x="72"/>
        <item x="346"/>
        <item x="25"/>
        <item x="403"/>
        <item x="818"/>
        <item x="804"/>
        <item x="21"/>
        <item x="17"/>
        <item x="727"/>
        <item x="169"/>
        <item x="462"/>
        <item x="475"/>
        <item x="855"/>
        <item x="954"/>
        <item x="784"/>
        <item x="715"/>
        <item x="914"/>
        <item x="43"/>
        <item x="419"/>
        <item x="282"/>
        <item x="67"/>
        <item x="823"/>
        <item x="980"/>
        <item x="161"/>
        <item x="75"/>
        <item x="70"/>
        <item x="303"/>
        <item x="958"/>
        <item x="396"/>
        <item x="893"/>
        <item x="264"/>
        <item x="178"/>
        <item x="322"/>
        <item x="955"/>
        <item x="493"/>
        <item x="167"/>
        <item x="873"/>
        <item x="722"/>
        <item x="374"/>
        <item x="215"/>
        <item x="567"/>
        <item x="10"/>
        <item x="230"/>
        <item x="164"/>
        <item x="29"/>
        <item x="122"/>
        <item x="725"/>
        <item x="770"/>
        <item x="382"/>
        <item x="432"/>
        <item x="574"/>
        <item x="244"/>
        <item x="737"/>
        <item x="126"/>
        <item x="653"/>
        <item x="214"/>
        <item x="76"/>
        <item x="183"/>
        <item x="702"/>
        <item x="939"/>
        <item x="384"/>
        <item x="658"/>
        <item x="302"/>
        <item x="294"/>
        <item x="890"/>
        <item x="57"/>
        <item x="916"/>
        <item x="19"/>
        <item x="242"/>
        <item x="442"/>
        <item x="689"/>
        <item x="248"/>
        <item x="643"/>
        <item x="597"/>
        <item x="751"/>
        <item x="412"/>
        <item x="739"/>
        <item x="200"/>
        <item x="148"/>
        <item x="616"/>
        <item x="491"/>
        <item x="551"/>
        <item x="47"/>
        <item x="341"/>
        <item x="357"/>
        <item x="6"/>
        <item x="970"/>
        <item x="780"/>
        <item x="132"/>
        <item x="764"/>
        <item x="13"/>
        <item x="34"/>
        <item x="714"/>
        <item x="892"/>
        <item x="644"/>
        <item x="266"/>
        <item x="257"/>
        <item x="85"/>
        <item x="571"/>
        <item x="655"/>
        <item x="618"/>
        <item x="37"/>
        <item x="561"/>
        <item x="549"/>
        <item x="959"/>
        <item x="555"/>
        <item x="636"/>
        <item x="852"/>
        <item x="87"/>
        <item x="887"/>
        <item x="709"/>
        <item x="457"/>
        <item x="330"/>
        <item x="531"/>
        <item x="127"/>
        <item x="848"/>
        <item x="399"/>
        <item x="576"/>
        <item x="918"/>
        <item x="529"/>
        <item x="607"/>
        <item x="536"/>
        <item x="825"/>
        <item x="418"/>
        <item x="673"/>
        <item x="305"/>
        <item x="512"/>
        <item x="759"/>
        <item x="604"/>
        <item x="523"/>
        <item x="234"/>
        <item x="426"/>
        <item x="437"/>
        <item x="93"/>
        <item x="222"/>
        <item x="84"/>
        <item x="678"/>
        <item x="434"/>
        <item x="578"/>
        <item x="100"/>
        <item x="111"/>
        <item x="363"/>
        <item x="577"/>
        <item x="821"/>
        <item x="141"/>
        <item x="833"/>
        <item x="943"/>
        <item x="631"/>
        <item x="73"/>
        <item x="736"/>
        <item x="911"/>
        <item x="789"/>
        <item x="422"/>
        <item x="484"/>
        <item x="343"/>
        <item x="594"/>
        <item x="838"/>
        <item x="173"/>
        <item x="197"/>
        <item x="580"/>
        <item x="337"/>
        <item x="990"/>
        <item x="630"/>
        <item x="590"/>
        <item x="186"/>
        <item x="189"/>
        <item x="579"/>
        <item x="798"/>
        <item x="276"/>
        <item x="708"/>
        <item x="16"/>
        <item x="465"/>
        <item x="663"/>
        <item x="431"/>
        <item x="2"/>
        <item x="185"/>
        <item x="704"/>
        <item x="733"/>
        <item x="721"/>
        <item x="634"/>
        <item x="379"/>
        <item x="360"/>
        <item x="250"/>
        <item x="24"/>
        <item x="924"/>
        <item x="716"/>
        <item x="144"/>
        <item x="293"/>
        <item x="649"/>
        <item x="515"/>
        <item x="526"/>
        <item x="664"/>
        <item x="747"/>
        <item x="281"/>
        <item x="463"/>
        <item x="533"/>
        <item x="290"/>
        <item x="106"/>
        <item x="994"/>
        <item x="195"/>
        <item x="405"/>
        <item x="411"/>
        <item x="530"/>
        <item x="552"/>
        <item x="177"/>
        <item x="221"/>
        <item x="48"/>
        <item x="878"/>
        <item x="298"/>
        <item x="974"/>
        <item x="62"/>
        <item x="190"/>
        <item x="660"/>
        <item x="647"/>
        <item x="15"/>
        <item x="917"/>
        <item x="953"/>
        <item x="570"/>
        <item x="287"/>
        <item x="140"/>
        <item x="449"/>
        <item x="4"/>
        <item x="9"/>
        <item x="329"/>
        <item x="806"/>
        <item x="331"/>
        <item x="446"/>
        <item x="937"/>
        <item x="931"/>
        <item x="308"/>
        <item x="957"/>
        <item x="188"/>
        <item x="923"/>
        <item x="548"/>
        <item x="582"/>
        <item x="224"/>
        <item x="701"/>
        <item x="502"/>
        <item x="659"/>
        <item x="826"/>
        <item x="783"/>
        <item x="500"/>
        <item x="146"/>
        <item x="182"/>
        <item x="602"/>
        <item x="746"/>
        <item x="368"/>
        <item x="315"/>
        <item x="711"/>
        <item x="692"/>
        <item x="828"/>
        <item x="934"/>
        <item x="791"/>
        <item x="83"/>
        <item x="560"/>
        <item x="587"/>
        <item x="538"/>
        <item x="435"/>
        <item x="932"/>
        <item x="258"/>
        <item x="521"/>
        <item x="595"/>
        <item x="198"/>
        <item x="23"/>
        <item x="381"/>
        <item x="123"/>
        <item x="998"/>
        <item x="808"/>
        <item x="344"/>
        <item x="210"/>
        <item x="477"/>
        <item x="884"/>
        <item x="115"/>
        <item x="622"/>
        <item x="268"/>
        <item x="598"/>
        <item x="110"/>
        <item x="545"/>
        <item x="89"/>
        <item x="155"/>
        <item x="206"/>
        <item x="888"/>
        <item x="600"/>
        <item x="763"/>
        <item x="899"/>
        <item x="565"/>
        <item x="950"/>
        <item x="927"/>
        <item x="413"/>
        <item x="514"/>
        <item x="836"/>
        <item x="584"/>
        <item x="39"/>
        <item x="63"/>
        <item x="385"/>
        <item x="620"/>
        <item x="608"/>
        <item x="317"/>
        <item x="769"/>
        <item x="324"/>
        <item x="232"/>
        <item x="41"/>
        <item x="120"/>
        <item x="874"/>
        <item x="629"/>
        <item x="425"/>
        <item x="540"/>
        <item x="225"/>
        <item x="163"/>
        <item x="490"/>
        <item x="104"/>
        <item x="646"/>
        <item x="908"/>
        <item x="273"/>
        <item x="962"/>
        <item x="625"/>
        <item x="228"/>
        <item x="948"/>
        <item x="672"/>
        <item x="981"/>
        <item x="245"/>
        <item x="311"/>
        <item x="44"/>
        <item x="617"/>
        <item x="610"/>
        <item x="420"/>
        <item x="304"/>
        <item x="854"/>
        <item x="226"/>
        <item x="792"/>
        <item x="513"/>
        <item x="172"/>
        <item x="389"/>
        <item x="424"/>
        <item x="735"/>
        <item x="285"/>
        <item x="585"/>
        <item x="788"/>
        <item x="355"/>
        <item x="218"/>
        <item x="81"/>
        <item x="103"/>
        <item x="681"/>
        <item x="193"/>
        <item x="277"/>
        <item x="496"/>
        <item x="847"/>
        <item x="971"/>
        <item x="166"/>
        <item x="929"/>
        <item x="156"/>
        <item x="839"/>
        <item x="507"/>
        <item x="972"/>
        <item x="768"/>
        <item x="599"/>
        <item x="60"/>
        <item x="665"/>
        <item x="843"/>
        <item x="504"/>
        <item x="309"/>
        <item x="1"/>
        <item x="333"/>
        <item x="606"/>
        <item x="208"/>
        <item x="832"/>
        <item x="841"/>
        <item x="903"/>
        <item x="860"/>
        <item x="609"/>
        <item x="750"/>
        <item x="965"/>
        <item x="128"/>
        <item x="170"/>
        <item x="467"/>
        <item x="380"/>
        <item x="160"/>
        <item x="176"/>
        <item x="885"/>
        <item x="98"/>
        <item x="255"/>
        <item x="327"/>
        <item x="811"/>
        <item x="211"/>
        <item x="427"/>
        <item x="299"/>
        <item x="486"/>
        <item x="666"/>
        <item x="495"/>
        <item x="243"/>
        <item x="147"/>
        <item x="559"/>
        <item x="113"/>
        <item x="375"/>
        <item x="699"/>
        <item x="5"/>
        <item x="479"/>
        <item x="492"/>
        <item x="31"/>
        <item x="470"/>
        <item x="56"/>
        <item x="275"/>
        <item x="356"/>
        <item x="262"/>
        <item x="738"/>
        <item x="524"/>
        <item x="896"/>
        <item x="895"/>
        <item x="624"/>
        <item x="233"/>
        <item x="837"/>
        <item x="58"/>
        <item x="269"/>
        <item x="430"/>
        <item x="730"/>
        <item x="489"/>
        <item x="842"/>
        <item x="38"/>
        <item x="637"/>
        <item x="758"/>
        <item x="762"/>
        <item x="392"/>
        <item x="64"/>
        <item x="50"/>
        <item x="729"/>
        <item x="271"/>
        <item x="94"/>
        <item x="42"/>
        <item x="968"/>
        <item x="138"/>
        <item x="454"/>
        <item x="364"/>
        <item x="731"/>
        <item x="391"/>
        <item x="239"/>
        <item x="913"/>
        <item x="951"/>
        <item x="488"/>
        <item x="71"/>
        <item x="641"/>
        <item x="247"/>
        <item x="288"/>
        <item x="365"/>
        <item x="976"/>
        <item x="338"/>
        <item x="966"/>
        <item x="862"/>
        <item x="7"/>
        <item x="74"/>
        <item x="251"/>
        <item x="669"/>
        <item x="638"/>
        <item x="845"/>
        <item x="80"/>
        <item x="390"/>
        <item x="249"/>
        <item x="872"/>
        <item x="639"/>
        <item x="497"/>
        <item x="272"/>
        <item x="930"/>
        <item x="989"/>
        <item x="886"/>
        <item x="696"/>
        <item x="253"/>
        <item x="466"/>
        <item x="319"/>
        <item x="992"/>
        <item x="967"/>
        <item x="398"/>
        <item x="441"/>
        <item x="518"/>
        <item x="781"/>
        <item x="694"/>
        <item x="713"/>
        <item x="468"/>
        <item x="753"/>
        <item x="306"/>
        <item x="383"/>
        <item x="829"/>
        <item x="159"/>
        <item x="830"/>
        <item x="59"/>
        <item x="742"/>
        <item x="558"/>
        <item x="683"/>
        <item x="813"/>
        <item x="157"/>
        <item x="979"/>
        <item x="774"/>
        <item x="612"/>
        <item x="857"/>
        <item x="928"/>
        <item x="996"/>
        <item x="236"/>
        <item x="452"/>
        <item x="397"/>
        <item x="520"/>
        <item x="478"/>
        <item x="688"/>
        <item x="55"/>
        <item x="505"/>
        <item x="793"/>
        <item x="745"/>
        <item x="718"/>
        <item x="815"/>
        <item x="471"/>
        <item x="291"/>
        <item x="501"/>
        <item x="511"/>
        <item x="889"/>
        <item x="985"/>
        <item x="676"/>
        <item x="795"/>
        <item x="313"/>
        <item x="778"/>
        <item x="95"/>
        <item x="49"/>
        <item x="508"/>
        <item x="869"/>
        <item x="45"/>
        <item x="61"/>
        <item x="359"/>
        <item x="213"/>
        <item x="650"/>
        <item x="326"/>
        <item x="674"/>
        <item x="668"/>
        <item x="946"/>
        <item x="469"/>
        <item x="168"/>
        <item x="748"/>
        <item x="975"/>
        <item x="393"/>
        <item x="875"/>
        <item x="451"/>
        <item x="800"/>
        <item x="772"/>
        <item x="79"/>
        <item x="635"/>
        <item x="662"/>
        <item x="743"/>
        <item x="69"/>
        <item x="373"/>
        <item x="794"/>
        <item x="945"/>
        <item x="366"/>
        <item x="284"/>
        <item x="589"/>
        <item x="581"/>
        <item x="433"/>
        <item x="283"/>
        <item x="942"/>
        <item x="926"/>
        <item x="105"/>
        <item x="525"/>
        <item x="135"/>
        <item x="535"/>
        <item x="856"/>
        <item x="409"/>
        <item x="407"/>
        <item x="802"/>
        <item x="541"/>
        <item x="351"/>
        <item x="922"/>
        <item x="779"/>
        <item x="86"/>
        <item x="295"/>
        <item x="246"/>
        <item x="691"/>
        <item x="840"/>
        <item x="575"/>
        <item x="318"/>
        <item x="703"/>
        <item x="447"/>
        <item x="203"/>
        <item x="107"/>
        <item x="388"/>
        <item x="675"/>
        <item x="328"/>
        <item x="274"/>
        <item x="286"/>
        <item x="591"/>
        <item x="623"/>
        <item x="749"/>
        <item x="991"/>
        <item x="296"/>
        <item x="487"/>
        <item x="868"/>
        <item x="810"/>
        <item x="139"/>
        <item x="150"/>
        <item x="909"/>
        <item x="66"/>
        <item x="444"/>
        <item x="863"/>
        <item x="986"/>
        <item x="179"/>
        <item x="566"/>
        <item x="537"/>
        <item x="229"/>
        <item x="684"/>
        <item x="428"/>
        <item x="367"/>
        <item x="429"/>
        <item x="642"/>
        <item x="801"/>
        <item x="54"/>
        <item x="201"/>
        <item x="964"/>
        <item x="988"/>
        <item x="707"/>
        <item x="904"/>
        <item x="677"/>
        <item x="240"/>
        <item x="879"/>
        <item x="877"/>
        <item x="516"/>
        <item x="256"/>
        <item x="480"/>
        <item x="984"/>
        <item x="443"/>
        <item x="370"/>
        <item x="339"/>
        <item x="921"/>
        <item x="265"/>
        <item x="279"/>
        <item x="728"/>
        <item x="915"/>
        <item x="819"/>
        <item x="775"/>
        <item x="615"/>
        <item x="20"/>
        <item x="977"/>
        <item x="65"/>
        <item x="583"/>
        <item x="51"/>
        <item x="919"/>
        <item x="131"/>
        <item x="142"/>
        <item x="301"/>
        <item x="406"/>
        <item x="416"/>
        <item x="133"/>
        <item x="494"/>
        <item x="27"/>
        <item x="667"/>
        <item x="485"/>
        <item x="901"/>
        <item x="26"/>
        <item x="633"/>
        <item x="68"/>
        <item x="936"/>
        <item x="517"/>
        <item x="417"/>
        <item x="362"/>
        <item x="270"/>
        <item x="652"/>
        <item x="323"/>
        <item x="898"/>
        <item x="459"/>
        <item x="627"/>
        <item x="859"/>
        <item x="698"/>
        <item x="199"/>
        <item x="786"/>
        <item x="995"/>
        <item x="334"/>
        <item x="816"/>
        <item x="99"/>
        <item x="86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4" baseField="0" baseItem="0"/>
  </dataFields>
  <formats count="7">
    <format dxfId="42">
      <pivotArea collapsedLevelsAreSubtotals="1" fieldPosition="0"/>
    </format>
    <format dxfId="43">
      <pivotArea collapsedLevelsAreSubtotals="1" fieldPosition="0"/>
    </format>
    <format dxfId="44">
      <pivotArea collapsedLevelsAreSubtotals="1" fieldPosition="0"/>
    </format>
    <format dxfId="45">
      <pivotArea collapsedLevelsAreSubtotals="1" fieldPosition="0"/>
    </format>
    <format dxfId="46">
      <pivotArea collapsedLevelsAreSubtotals="1" fieldPosition="0"/>
    </format>
    <format dxfId="47">
      <pivotArea collapsedLevelsAreSubtotals="1" fieldPosition="0"/>
    </format>
    <format dxfId="48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I10:J16" firstHeaderRow="1" firstDataRow="1" firstDataCol="1"/>
  <pivotFields count="18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3" showAll="0">
      <items count="870">
        <item x="431"/>
        <item x="128"/>
        <item x="102"/>
        <item x="758"/>
        <item x="298"/>
        <item x="178"/>
        <item x="248"/>
        <item x="120"/>
        <item x="532"/>
        <item x="389"/>
        <item x="133"/>
        <item x="759"/>
        <item x="498"/>
        <item x="22"/>
        <item x="11"/>
        <item x="78"/>
        <item x="229"/>
        <item x="113"/>
        <item x="203"/>
        <item x="787"/>
        <item x="171"/>
        <item x="490"/>
        <item x="149"/>
        <item x="411"/>
        <item x="292"/>
        <item x="52"/>
        <item x="493"/>
        <item x="40"/>
        <item x="377"/>
        <item x="129"/>
        <item x="111"/>
        <item x="676"/>
        <item x="514"/>
        <item x="198"/>
        <item x="18"/>
        <item x="317"/>
        <item x="213"/>
        <item x="295"/>
        <item x="123"/>
        <item x="326"/>
        <item x="228"/>
        <item x="647"/>
        <item x="32"/>
        <item x="155"/>
        <item x="465"/>
        <item x="793"/>
        <item x="96"/>
        <item x="115"/>
        <item x="189"/>
        <item x="92"/>
        <item x="159"/>
        <item x="201"/>
        <item x="316"/>
        <item x="671"/>
        <item x="403"/>
        <item x="3"/>
        <item x="36"/>
        <item x="210"/>
        <item x="199"/>
        <item x="303"/>
        <item x="334"/>
        <item x="366"/>
        <item x="307"/>
        <item x="858"/>
        <item x="91"/>
        <item x="8"/>
        <item x="151"/>
        <item x="172"/>
        <item x="654"/>
        <item x="413"/>
        <item x="275"/>
        <item x="790"/>
        <item x="72"/>
        <item x="325"/>
        <item x="25"/>
        <item x="373"/>
        <item x="318"/>
        <item x="563"/>
        <item x="528"/>
        <item x="183"/>
        <item x="16"/>
        <item x="2"/>
        <item x="245"/>
        <item x="437"/>
        <item x="855"/>
        <item x="330"/>
        <item x="117"/>
        <item x="322"/>
        <item x="150"/>
        <item x="33"/>
        <item x="466"/>
        <item x="408"/>
        <item x="184"/>
        <item x="462"/>
        <item x="116"/>
        <item x="697"/>
        <item x="97"/>
        <item x="242"/>
        <item x="101"/>
        <item x="162"/>
        <item x="744"/>
        <item x="476"/>
        <item x="714"/>
        <item x="350"/>
        <item x="685"/>
        <item x="779"/>
        <item x="695"/>
        <item x="147"/>
        <item x="580"/>
        <item x="181"/>
        <item x="506"/>
        <item x="371"/>
        <item x="507"/>
        <item x="630"/>
        <item x="585"/>
        <item x="782"/>
        <item x="615"/>
        <item x="118"/>
        <item x="223"/>
        <item x="219"/>
        <item x="673"/>
        <item x="249"/>
        <item x="285"/>
        <item x="587"/>
        <item x="640"/>
        <item x="732"/>
        <item x="35"/>
        <item x="746"/>
        <item x="432"/>
        <item x="751"/>
        <item x="46"/>
        <item x="677"/>
        <item x="634"/>
        <item x="251"/>
        <item x="82"/>
        <item x="420"/>
        <item x="645"/>
        <item x="351"/>
        <item x="762"/>
        <item x="365"/>
        <item x="819"/>
        <item x="383"/>
        <item x="768"/>
        <item x="206"/>
        <item x="187"/>
        <item x="843"/>
        <item x="729"/>
        <item x="612"/>
        <item x="141"/>
        <item x="329"/>
        <item x="278"/>
        <item x="372"/>
        <item x="577"/>
        <item x="835"/>
        <item x="837"/>
        <item x="440"/>
        <item x="644"/>
        <item x="725"/>
        <item x="14"/>
        <item x="641"/>
        <item x="196"/>
        <item x="854"/>
        <item x="88"/>
        <item x="716"/>
        <item x="795"/>
        <item x="422"/>
        <item x="863"/>
        <item x="624"/>
        <item x="546"/>
        <item x="508"/>
        <item x="439"/>
        <item x="28"/>
        <item x="540"/>
        <item x="211"/>
        <item x="379"/>
        <item x="337"/>
        <item x="629"/>
        <item x="124"/>
        <item x="143"/>
        <item x="346"/>
        <item x="754"/>
        <item x="619"/>
        <item x="0"/>
        <item x="548"/>
        <item x="418"/>
        <item x="549"/>
        <item x="561"/>
        <item x="327"/>
        <item x="831"/>
        <item x="481"/>
        <item x="255"/>
        <item x="688"/>
        <item x="495"/>
        <item x="662"/>
        <item x="77"/>
        <item x="611"/>
        <item x="867"/>
        <item x="672"/>
        <item x="721"/>
        <item x="417"/>
        <item x="785"/>
        <item x="459"/>
        <item x="776"/>
        <item x="554"/>
        <item x="565"/>
        <item x="710"/>
        <item x="598"/>
        <item x="599"/>
        <item x="90"/>
        <item x="168"/>
        <item x="12"/>
        <item x="610"/>
        <item x="266"/>
        <item x="825"/>
        <item x="438"/>
        <item x="30"/>
        <item x="135"/>
        <item x="538"/>
        <item x="53"/>
        <item x="177"/>
        <item x="455"/>
        <item x="807"/>
        <item x="108"/>
        <item x="708"/>
        <item x="21"/>
        <item x="17"/>
        <item x="648"/>
        <item x="166"/>
        <item x="423"/>
        <item x="433"/>
        <item x="748"/>
        <item x="829"/>
        <item x="694"/>
        <item x="637"/>
        <item x="797"/>
        <item x="43"/>
        <item x="387"/>
        <item x="268"/>
        <item x="67"/>
        <item x="722"/>
        <item x="852"/>
        <item x="158"/>
        <item x="75"/>
        <item x="70"/>
        <item x="288"/>
        <item x="833"/>
        <item x="367"/>
        <item x="778"/>
        <item x="252"/>
        <item x="175"/>
        <item x="304"/>
        <item x="830"/>
        <item x="450"/>
        <item x="164"/>
        <item x="764"/>
        <item x="643"/>
        <item x="348"/>
        <item x="209"/>
        <item x="511"/>
        <item x="10"/>
        <item x="222"/>
        <item x="161"/>
        <item x="29"/>
        <item x="121"/>
        <item x="646"/>
        <item x="683"/>
        <item x="355"/>
        <item x="398"/>
        <item x="515"/>
        <item x="234"/>
        <item x="657"/>
        <item x="125"/>
        <item x="584"/>
        <item x="208"/>
        <item x="76"/>
        <item x="180"/>
        <item x="626"/>
        <item x="818"/>
        <item x="357"/>
        <item x="588"/>
        <item x="287"/>
        <item x="280"/>
        <item x="775"/>
        <item x="57"/>
        <item x="799"/>
        <item x="19"/>
        <item x="232"/>
        <item x="405"/>
        <item x="614"/>
        <item x="238"/>
        <item x="575"/>
        <item x="533"/>
        <item x="669"/>
        <item x="381"/>
        <item x="659"/>
        <item x="194"/>
        <item x="146"/>
        <item x="551"/>
        <item x="448"/>
        <item x="499"/>
        <item x="47"/>
        <item x="321"/>
        <item x="333"/>
        <item x="6"/>
        <item x="844"/>
        <item x="691"/>
        <item x="131"/>
        <item x="680"/>
        <item x="13"/>
        <item x="34"/>
        <item x="636"/>
        <item x="777"/>
        <item x="576"/>
        <item x="254"/>
        <item x="246"/>
        <item x="85"/>
        <item x="513"/>
        <item x="586"/>
        <item x="553"/>
        <item x="37"/>
        <item x="505"/>
        <item x="497"/>
        <item x="834"/>
        <item x="501"/>
        <item x="569"/>
        <item x="745"/>
        <item x="87"/>
        <item x="772"/>
        <item x="632"/>
        <item x="419"/>
        <item x="312"/>
        <item x="484"/>
        <item x="126"/>
        <item x="743"/>
        <item x="370"/>
        <item x="517"/>
        <item x="801"/>
        <item x="482"/>
        <item x="542"/>
        <item x="487"/>
        <item x="723"/>
        <item x="386"/>
        <item x="601"/>
        <item x="290"/>
        <item x="468"/>
        <item x="675"/>
        <item x="539"/>
        <item x="477"/>
        <item x="226"/>
        <item x="393"/>
        <item x="402"/>
        <item x="93"/>
        <item x="215"/>
        <item x="84"/>
        <item x="606"/>
        <item x="400"/>
        <item x="519"/>
        <item x="100"/>
        <item x="110"/>
        <item x="339"/>
        <item x="518"/>
        <item x="720"/>
        <item x="139"/>
        <item x="731"/>
        <item x="821"/>
        <item x="564"/>
        <item x="73"/>
        <item x="656"/>
        <item x="794"/>
        <item x="699"/>
        <item x="390"/>
        <item x="441"/>
        <item x="323"/>
        <item x="530"/>
        <item x="735"/>
        <item x="170"/>
        <item x="191"/>
        <item x="520"/>
        <item x="182"/>
        <item x="628"/>
        <item x="653"/>
        <item x="642"/>
        <item x="567"/>
        <item x="352"/>
        <item x="336"/>
        <item x="240"/>
        <item x="24"/>
        <item x="806"/>
        <item x="638"/>
        <item x="142"/>
        <item x="279"/>
        <item x="581"/>
        <item x="471"/>
        <item x="480"/>
        <item x="592"/>
        <item x="665"/>
        <item x="267"/>
        <item x="424"/>
        <item x="485"/>
        <item x="276"/>
        <item x="106"/>
        <item x="864"/>
        <item x="190"/>
        <item x="374"/>
        <item x="380"/>
        <item x="483"/>
        <item x="500"/>
        <item x="174"/>
        <item x="214"/>
        <item x="48"/>
        <item x="767"/>
        <item x="283"/>
        <item x="847"/>
        <item x="62"/>
        <item x="186"/>
        <item x="590"/>
        <item x="579"/>
        <item x="15"/>
        <item x="800"/>
        <item x="828"/>
        <item x="512"/>
        <item x="273"/>
        <item x="138"/>
        <item x="412"/>
        <item x="4"/>
        <item x="9"/>
        <item x="311"/>
        <item x="709"/>
        <item x="313"/>
        <item x="409"/>
        <item x="817"/>
        <item x="813"/>
        <item x="293"/>
        <item x="832"/>
        <item x="185"/>
        <item x="805"/>
        <item x="496"/>
        <item x="522"/>
        <item x="216"/>
        <item x="625"/>
        <item x="458"/>
        <item x="589"/>
        <item x="724"/>
        <item x="693"/>
        <item x="456"/>
        <item x="144"/>
        <item x="179"/>
        <item x="537"/>
        <item x="664"/>
        <item x="344"/>
        <item x="299"/>
        <item x="633"/>
        <item x="618"/>
        <item x="726"/>
        <item x="815"/>
        <item x="700"/>
        <item x="83"/>
        <item x="504"/>
        <item x="526"/>
        <item x="489"/>
        <item x="401"/>
        <item x="814"/>
        <item x="247"/>
        <item x="475"/>
        <item x="531"/>
        <item x="192"/>
        <item x="23"/>
        <item x="354"/>
        <item x="122"/>
        <item x="868"/>
        <item x="711"/>
        <item x="324"/>
        <item x="204"/>
        <item x="434"/>
        <item x="769"/>
        <item x="114"/>
        <item x="556"/>
        <item x="256"/>
        <item x="534"/>
        <item x="109"/>
        <item x="494"/>
        <item x="89"/>
        <item x="152"/>
        <item x="200"/>
        <item x="773"/>
        <item x="536"/>
        <item x="679"/>
        <item x="784"/>
        <item x="509"/>
        <item x="826"/>
        <item x="809"/>
        <item x="382"/>
        <item x="470"/>
        <item x="733"/>
        <item x="524"/>
        <item x="39"/>
        <item x="63"/>
        <item x="358"/>
        <item x="555"/>
        <item x="543"/>
        <item x="300"/>
        <item x="682"/>
        <item x="306"/>
        <item x="224"/>
        <item x="41"/>
        <item x="119"/>
        <item x="765"/>
        <item x="562"/>
        <item x="392"/>
        <item x="491"/>
        <item x="217"/>
        <item x="160"/>
        <item x="447"/>
        <item x="104"/>
        <item x="578"/>
        <item x="791"/>
        <item x="261"/>
        <item x="836"/>
        <item x="559"/>
        <item x="220"/>
        <item x="824"/>
        <item x="600"/>
        <item x="853"/>
        <item x="235"/>
        <item x="296"/>
        <item x="44"/>
        <item x="552"/>
        <item x="545"/>
        <item x="388"/>
        <item x="289"/>
        <item x="747"/>
        <item x="218"/>
        <item x="701"/>
        <item x="469"/>
        <item x="169"/>
        <item x="360"/>
        <item x="391"/>
        <item x="655"/>
        <item x="271"/>
        <item x="525"/>
        <item x="698"/>
        <item x="331"/>
        <item x="212"/>
        <item x="81"/>
        <item x="103"/>
        <item x="607"/>
        <item x="188"/>
        <item x="264"/>
        <item x="453"/>
        <item x="742"/>
        <item x="845"/>
        <item x="163"/>
        <item x="811"/>
        <item x="153"/>
        <item x="736"/>
        <item x="463"/>
        <item x="846"/>
        <item x="681"/>
        <item x="535"/>
        <item x="60"/>
        <item x="593"/>
        <item x="740"/>
        <item x="460"/>
        <item x="294"/>
        <item x="1"/>
        <item x="314"/>
        <item x="541"/>
        <item x="202"/>
        <item x="730"/>
        <item x="738"/>
        <item x="788"/>
        <item x="753"/>
        <item x="544"/>
        <item x="668"/>
        <item x="839"/>
        <item x="127"/>
        <item x="167"/>
        <item x="426"/>
        <item x="353"/>
        <item x="157"/>
        <item x="173"/>
        <item x="770"/>
        <item x="98"/>
        <item x="244"/>
        <item x="309"/>
        <item x="713"/>
        <item x="205"/>
        <item x="394"/>
        <item x="284"/>
        <item x="443"/>
        <item x="594"/>
        <item x="452"/>
        <item x="233"/>
        <item x="145"/>
        <item x="503"/>
        <item x="112"/>
        <item x="349"/>
        <item x="623"/>
        <item x="5"/>
        <item x="436"/>
        <item x="449"/>
        <item x="31"/>
        <item x="429"/>
        <item x="56"/>
        <item x="263"/>
        <item x="332"/>
        <item x="250"/>
        <item x="658"/>
        <item x="478"/>
        <item x="781"/>
        <item x="780"/>
        <item x="558"/>
        <item x="225"/>
        <item x="734"/>
        <item x="58"/>
        <item x="257"/>
        <item x="397"/>
        <item x="651"/>
        <item x="446"/>
        <item x="739"/>
        <item x="38"/>
        <item x="570"/>
        <item x="674"/>
        <item x="678"/>
        <item x="363"/>
        <item x="64"/>
        <item x="50"/>
        <item x="650"/>
        <item x="259"/>
        <item x="94"/>
        <item x="42"/>
        <item x="842"/>
        <item x="136"/>
        <item x="416"/>
        <item x="340"/>
        <item x="652"/>
        <item x="362"/>
        <item x="230"/>
        <item x="796"/>
        <item x="827"/>
        <item x="445"/>
        <item x="71"/>
        <item x="573"/>
        <item x="237"/>
        <item x="274"/>
        <item x="341"/>
        <item x="849"/>
        <item x="319"/>
        <item x="840"/>
        <item x="755"/>
        <item x="7"/>
        <item x="74"/>
        <item x="241"/>
        <item x="597"/>
        <item x="571"/>
        <item x="741"/>
        <item x="80"/>
        <item x="361"/>
        <item x="239"/>
        <item x="763"/>
        <item x="572"/>
        <item x="454"/>
        <item x="260"/>
        <item x="812"/>
        <item x="860"/>
        <item x="771"/>
        <item x="621"/>
        <item x="243"/>
        <item x="425"/>
        <item x="302"/>
        <item x="862"/>
        <item x="841"/>
        <item x="369"/>
        <item x="404"/>
        <item x="473"/>
        <item x="692"/>
        <item x="620"/>
        <item x="635"/>
        <item x="427"/>
        <item x="670"/>
        <item x="291"/>
        <item x="356"/>
        <item x="727"/>
        <item x="156"/>
        <item x="728"/>
        <item x="59"/>
        <item x="660"/>
        <item x="502"/>
        <item x="608"/>
        <item x="715"/>
        <item x="154"/>
        <item x="851"/>
        <item x="686"/>
        <item x="547"/>
        <item x="750"/>
        <item x="810"/>
        <item x="866"/>
        <item x="227"/>
        <item x="415"/>
        <item x="368"/>
        <item x="474"/>
        <item x="435"/>
        <item x="613"/>
        <item x="55"/>
        <item x="461"/>
        <item x="702"/>
        <item x="663"/>
        <item x="639"/>
        <item x="717"/>
        <item x="430"/>
        <item x="277"/>
        <item x="457"/>
        <item x="467"/>
        <item x="774"/>
        <item x="856"/>
        <item x="604"/>
        <item x="704"/>
        <item x="297"/>
        <item x="689"/>
        <item x="95"/>
        <item x="49"/>
        <item x="464"/>
        <item x="761"/>
        <item x="45"/>
        <item x="61"/>
        <item x="335"/>
        <item x="207"/>
        <item x="582"/>
        <item x="308"/>
        <item x="602"/>
        <item x="596"/>
        <item x="823"/>
        <item x="428"/>
        <item x="165"/>
        <item x="666"/>
        <item x="848"/>
        <item x="364"/>
        <item x="766"/>
        <item x="414"/>
        <item x="705"/>
        <item x="684"/>
        <item x="79"/>
        <item x="568"/>
        <item x="591"/>
        <item x="661"/>
        <item x="69"/>
        <item x="347"/>
        <item x="703"/>
        <item x="822"/>
        <item x="342"/>
        <item x="270"/>
        <item x="527"/>
        <item x="521"/>
        <item x="399"/>
        <item x="269"/>
        <item x="820"/>
        <item x="808"/>
        <item x="105"/>
        <item x="479"/>
        <item x="134"/>
        <item x="486"/>
        <item x="749"/>
        <item x="378"/>
        <item x="376"/>
        <item x="707"/>
        <item x="492"/>
        <item x="328"/>
        <item x="804"/>
        <item x="690"/>
        <item x="86"/>
        <item x="281"/>
        <item x="236"/>
        <item x="616"/>
        <item x="737"/>
        <item x="516"/>
        <item x="301"/>
        <item x="627"/>
        <item x="410"/>
        <item x="197"/>
        <item x="107"/>
        <item x="359"/>
        <item x="603"/>
        <item x="310"/>
        <item x="262"/>
        <item x="272"/>
        <item x="529"/>
        <item x="557"/>
        <item x="667"/>
        <item x="861"/>
        <item x="282"/>
        <item x="444"/>
        <item x="760"/>
        <item x="712"/>
        <item x="137"/>
        <item x="148"/>
        <item x="792"/>
        <item x="66"/>
        <item x="407"/>
        <item x="756"/>
        <item x="857"/>
        <item x="176"/>
        <item x="510"/>
        <item x="488"/>
        <item x="221"/>
        <item x="609"/>
        <item x="395"/>
        <item x="343"/>
        <item x="396"/>
        <item x="574"/>
        <item x="706"/>
        <item x="54"/>
        <item x="195"/>
        <item x="838"/>
        <item x="859"/>
        <item x="631"/>
        <item x="789"/>
        <item x="605"/>
        <item x="231"/>
        <item x="617"/>
        <item x="406"/>
        <item x="345"/>
        <item x="320"/>
        <item x="803"/>
        <item x="253"/>
        <item x="265"/>
        <item x="649"/>
        <item x="798"/>
        <item x="719"/>
        <item x="687"/>
        <item x="550"/>
        <item x="20"/>
        <item x="850"/>
        <item x="65"/>
        <item x="523"/>
        <item x="51"/>
        <item x="802"/>
        <item x="130"/>
        <item x="140"/>
        <item x="286"/>
        <item x="375"/>
        <item x="384"/>
        <item x="132"/>
        <item x="451"/>
        <item x="27"/>
        <item x="595"/>
        <item x="442"/>
        <item x="786"/>
        <item x="26"/>
        <item x="566"/>
        <item x="68"/>
        <item x="816"/>
        <item x="472"/>
        <item x="385"/>
        <item x="338"/>
        <item x="258"/>
        <item x="583"/>
        <item x="305"/>
        <item x="783"/>
        <item x="421"/>
        <item x="560"/>
        <item x="752"/>
        <item x="622"/>
        <item x="193"/>
        <item x="696"/>
        <item x="865"/>
        <item x="315"/>
        <item x="718"/>
        <item x="99"/>
        <item x="757"/>
        <item t="default"/>
      </items>
    </pivotField>
    <pivotField compact="0" showAll="0">
      <items count="13">
        <item x="1"/>
        <item x="5"/>
        <item x="3"/>
        <item x="0"/>
        <item x="7"/>
        <item x="6"/>
        <item x="2"/>
        <item x="4"/>
        <item x="11"/>
        <item x="9"/>
        <item x="10"/>
        <item x="8"/>
        <item t="default"/>
      </items>
    </pivotField>
    <pivotField compact="0" showAll="0">
      <items count="14">
        <item x="7"/>
        <item x="11"/>
        <item x="8"/>
        <item x="2"/>
        <item x="0"/>
        <item x="12"/>
        <item x="4"/>
        <item x="9"/>
        <item x="1"/>
        <item x="3"/>
        <item x="5"/>
        <item x="10"/>
        <item x="6"/>
        <item t="default"/>
      </items>
    </pivotField>
    <pivotField compact="0" showAll="0">
      <items count="7">
        <item x="2"/>
        <item x="1"/>
        <item x="0"/>
        <item x="4"/>
        <item x="3"/>
        <item x="5"/>
        <item t="default"/>
      </items>
    </pivotField>
    <pivotField axis="axisRow" compact="0" showAll="0">
      <items count="6">
        <item x="4"/>
        <item x="2"/>
        <item x="1"/>
        <item x="3"/>
        <item x="0"/>
        <item t="default"/>
      </items>
    </pivotField>
    <pivotField compact="0" showAll="0">
      <items count="19">
        <item x="10"/>
        <item x="7"/>
        <item x="12"/>
        <item x="5"/>
        <item x="4"/>
        <item x="2"/>
        <item x="6"/>
        <item x="15"/>
        <item x="14"/>
        <item x="16"/>
        <item x="11"/>
        <item x="17"/>
        <item x="1"/>
        <item x="9"/>
        <item x="8"/>
        <item x="0"/>
        <item x="13"/>
        <item x="3"/>
        <item t="default"/>
      </items>
    </pivotField>
    <pivotField compact="0" showAll="0">
      <items count="54">
        <item x="27"/>
        <item x="10"/>
        <item x="20"/>
        <item x="7"/>
        <item x="16"/>
        <item x="3"/>
        <item x="11"/>
        <item x="46"/>
        <item x="40"/>
        <item x="49"/>
        <item x="24"/>
        <item x="34"/>
        <item x="30"/>
        <item x="51"/>
        <item x="37"/>
        <item x="42"/>
        <item x="44"/>
        <item x="15"/>
        <item x="26"/>
        <item x="17"/>
        <item x="19"/>
        <item x="0"/>
        <item x="50"/>
        <item x="14"/>
        <item x="23"/>
        <item x="38"/>
        <item x="6"/>
        <item x="39"/>
        <item x="43"/>
        <item x="33"/>
        <item x="2"/>
        <item x="21"/>
        <item x="45"/>
        <item x="52"/>
        <item x="18"/>
        <item x="29"/>
        <item x="9"/>
        <item x="13"/>
        <item x="8"/>
        <item x="35"/>
        <item x="28"/>
        <item x="12"/>
        <item x="31"/>
        <item x="25"/>
        <item x="4"/>
        <item x="22"/>
        <item x="41"/>
        <item x="5"/>
        <item x="1"/>
        <item x="48"/>
        <item x="32"/>
        <item x="36"/>
        <item x="47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4">
        <item x="6"/>
        <item x="5"/>
        <item m="1" x="12"/>
        <item x="1"/>
        <item x="2"/>
        <item x="8"/>
        <item x="4"/>
        <item x="10"/>
        <item x="11"/>
        <item x="3"/>
        <item x="9"/>
        <item x="7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1">
        <item x="4"/>
        <item x="9"/>
        <item x="3"/>
        <item x="1"/>
        <item x="0"/>
        <item x="6"/>
        <item x="7"/>
        <item x="2"/>
        <item x="5"/>
        <item x="8"/>
        <item t="default"/>
      </items>
    </pivotField>
    <pivotField compact="0" showAll="0">
      <items count="506">
        <item x="124"/>
        <item x="108"/>
        <item x="360"/>
        <item x="10"/>
        <item x="90"/>
        <item x="468"/>
        <item x="174"/>
        <item x="253"/>
        <item x="101"/>
        <item x="243"/>
        <item x="7"/>
        <item x="29"/>
        <item x="79"/>
        <item x="236"/>
        <item x="151"/>
        <item x="2"/>
        <item x="426"/>
        <item x="192"/>
        <item x="280"/>
        <item x="31"/>
        <item x="138"/>
        <item x="196"/>
        <item x="204"/>
        <item x="100"/>
        <item x="441"/>
        <item x="86"/>
        <item x="175"/>
        <item x="89"/>
        <item x="136"/>
        <item x="55"/>
        <item x="369"/>
        <item x="435"/>
        <item x="103"/>
        <item x="479"/>
        <item x="349"/>
        <item x="1"/>
        <item x="41"/>
        <item x="229"/>
        <item x="94"/>
        <item x="109"/>
        <item x="194"/>
        <item x="336"/>
        <item x="407"/>
        <item x="32"/>
        <item x="237"/>
        <item x="15"/>
        <item x="401"/>
        <item x="27"/>
        <item x="149"/>
        <item x="279"/>
        <item x="13"/>
        <item x="413"/>
        <item x="127"/>
        <item x="126"/>
        <item x="370"/>
        <item x="365"/>
        <item x="387"/>
        <item x="5"/>
        <item x="469"/>
        <item x="115"/>
        <item x="172"/>
        <item x="404"/>
        <item x="430"/>
        <item x="112"/>
        <item x="439"/>
        <item x="68"/>
        <item x="334"/>
        <item x="450"/>
        <item x="249"/>
        <item x="197"/>
        <item x="166"/>
        <item x="105"/>
        <item x="139"/>
        <item x="141"/>
        <item x="208"/>
        <item x="106"/>
        <item x="227"/>
        <item x="436"/>
        <item x="445"/>
        <item x="38"/>
        <item x="305"/>
        <item x="425"/>
        <item x="458"/>
        <item x="303"/>
        <item x="498"/>
        <item x="143"/>
        <item x="180"/>
        <item x="176"/>
        <item x="432"/>
        <item x="222"/>
        <item x="274"/>
        <item x="375"/>
        <item x="315"/>
        <item x="116"/>
        <item x="150"/>
        <item x="199"/>
        <item x="72"/>
        <item x="49"/>
        <item x="267"/>
        <item x="471"/>
        <item x="129"/>
        <item x="343"/>
        <item x="46"/>
        <item x="268"/>
        <item x="207"/>
        <item x="21"/>
        <item x="36"/>
        <item x="284"/>
        <item x="74"/>
        <item x="308"/>
        <item x="378"/>
        <item x="330"/>
        <item x="179"/>
        <item x="434"/>
        <item x="8"/>
        <item x="359"/>
        <item x="367"/>
        <item x="121"/>
        <item x="163"/>
        <item x="16"/>
        <item x="220"/>
        <item x="325"/>
        <item x="223"/>
        <item x="35"/>
        <item x="358"/>
        <item x="225"/>
        <item x="118"/>
        <item x="405"/>
        <item x="211"/>
        <item x="347"/>
        <item x="297"/>
        <item x="352"/>
        <item x="314"/>
        <item x="250"/>
        <item x="183"/>
        <item x="496"/>
        <item x="28"/>
        <item x="410"/>
        <item x="131"/>
        <item x="262"/>
        <item x="160"/>
        <item x="122"/>
        <item x="288"/>
        <item x="350"/>
        <item x="62"/>
        <item x="133"/>
        <item x="85"/>
        <item x="157"/>
        <item x="164"/>
        <item x="99"/>
        <item x="415"/>
        <item x="156"/>
        <item x="81"/>
        <item x="39"/>
        <item x="168"/>
        <item x="154"/>
        <item x="457"/>
        <item x="148"/>
        <item x="224"/>
        <item x="389"/>
        <item x="495"/>
        <item x="24"/>
        <item x="419"/>
        <item x="408"/>
        <item x="161"/>
        <item x="500"/>
        <item x="78"/>
        <item x="4"/>
        <item x="502"/>
        <item x="201"/>
        <item x="245"/>
        <item x="48"/>
        <item x="47"/>
        <item x="165"/>
        <item x="381"/>
        <item x="240"/>
        <item x="3"/>
        <item x="453"/>
        <item x="461"/>
        <item x="433"/>
        <item x="87"/>
        <item x="392"/>
        <item x="484"/>
        <item x="170"/>
        <item x="186"/>
        <item x="20"/>
        <item x="411"/>
        <item x="289"/>
        <item x="134"/>
        <item x="242"/>
        <item x="256"/>
        <item x="12"/>
        <item x="276"/>
        <item x="290"/>
        <item x="238"/>
        <item x="71"/>
        <item x="326"/>
        <item x="80"/>
        <item x="460"/>
        <item x="246"/>
        <item x="339"/>
        <item x="125"/>
        <item x="355"/>
        <item x="169"/>
        <item x="285"/>
        <item x="257"/>
        <item x="328"/>
        <item x="107"/>
        <item x="120"/>
        <item x="264"/>
        <item x="466"/>
        <item x="272"/>
        <item x="0"/>
        <item x="374"/>
        <item x="251"/>
        <item x="438"/>
        <item x="428"/>
        <item x="67"/>
        <item x="351"/>
        <item x="283"/>
        <item x="431"/>
        <item x="452"/>
        <item x="383"/>
        <item x="178"/>
        <item x="397"/>
        <item x="11"/>
        <item x="210"/>
        <item x="403"/>
        <item x="26"/>
        <item x="92"/>
        <item x="147"/>
        <item x="488"/>
        <item x="142"/>
        <item x="241"/>
        <item x="345"/>
        <item x="281"/>
        <item x="235"/>
        <item x="248"/>
        <item x="63"/>
        <item x="247"/>
        <item x="137"/>
        <item x="226"/>
        <item x="446"/>
        <item x="293"/>
        <item x="463"/>
        <item x="340"/>
        <item x="480"/>
        <item x="287"/>
        <item x="58"/>
        <item x="298"/>
        <item x="66"/>
        <item x="61"/>
        <item x="91"/>
        <item x="277"/>
        <item x="273"/>
        <item x="200"/>
        <item x="145"/>
        <item x="232"/>
        <item x="472"/>
        <item x="265"/>
        <item x="357"/>
        <item x="135"/>
        <item x="25"/>
        <item x="104"/>
        <item x="420"/>
        <item x="437"/>
        <item x="270"/>
        <item x="64"/>
        <item x="391"/>
        <item x="43"/>
        <item x="412"/>
        <item x="51"/>
        <item x="50"/>
        <item x="482"/>
        <item x="17"/>
        <item x="188"/>
        <item x="52"/>
        <item x="123"/>
        <item x="376"/>
        <item x="73"/>
        <item x="69"/>
        <item x="42"/>
        <item x="216"/>
        <item x="6"/>
        <item x="110"/>
        <item x="30"/>
        <item x="128"/>
        <item x="451"/>
        <item x="388"/>
        <item x="195"/>
        <item x="75"/>
        <item x="244"/>
        <item x="33"/>
        <item x="354"/>
        <item x="493"/>
        <item x="77"/>
        <item x="476"/>
        <item x="414"/>
        <item x="342"/>
        <item x="278"/>
        <item x="473"/>
        <item x="371"/>
        <item x="454"/>
        <item x="399"/>
        <item x="337"/>
        <item x="296"/>
        <item x="82"/>
        <item x="171"/>
        <item x="294"/>
        <item x="88"/>
        <item x="96"/>
        <item x="310"/>
        <item x="255"/>
        <item x="382"/>
        <item x="424"/>
        <item x="261"/>
        <item x="44"/>
        <item x="158"/>
        <item x="333"/>
        <item x="368"/>
        <item x="153"/>
        <item x="362"/>
        <item x="206"/>
        <item x="390"/>
        <item x="14"/>
        <item x="309"/>
        <item x="394"/>
        <item x="53"/>
        <item x="423"/>
        <item x="418"/>
        <item x="76"/>
        <item x="190"/>
        <item x="487"/>
        <item x="417"/>
        <item x="119"/>
        <item x="218"/>
        <item x="332"/>
        <item x="140"/>
        <item x="503"/>
        <item x="282"/>
        <item x="286"/>
        <item x="341"/>
        <item x="144"/>
        <item x="221"/>
        <item x="483"/>
        <item x="295"/>
        <item x="202"/>
        <item x="215"/>
        <item x="304"/>
        <item x="9"/>
        <item x="447"/>
        <item x="301"/>
        <item x="491"/>
        <item x="489"/>
        <item x="152"/>
        <item x="486"/>
        <item x="348"/>
        <item x="363"/>
        <item x="173"/>
        <item x="393"/>
        <item x="203"/>
        <item x="324"/>
        <item x="97"/>
        <item x="416"/>
        <item x="490"/>
        <item x="299"/>
        <item x="353"/>
        <item x="366"/>
        <item x="19"/>
        <item x="269"/>
        <item x="70"/>
        <item x="475"/>
        <item x="98"/>
        <item x="379"/>
        <item x="95"/>
        <item x="346"/>
        <item x="477"/>
        <item x="184"/>
        <item x="319"/>
        <item x="372"/>
        <item x="234"/>
        <item x="37"/>
        <item x="102"/>
        <item x="322"/>
        <item x="494"/>
        <item x="380"/>
        <item x="177"/>
        <item x="398"/>
        <item x="499"/>
        <item x="40"/>
        <item x="377"/>
        <item x="373"/>
        <item x="462"/>
        <item x="45"/>
        <item x="331"/>
        <item x="291"/>
        <item x="217"/>
        <item x="213"/>
        <item x="442"/>
        <item x="254"/>
        <item x="155"/>
        <item x="327"/>
        <item x="478"/>
        <item x="465"/>
        <item x="57"/>
        <item x="302"/>
        <item x="193"/>
        <item x="233"/>
        <item x="448"/>
        <item x="167"/>
        <item x="292"/>
        <item x="318"/>
        <item x="266"/>
        <item x="316"/>
        <item x="205"/>
        <item x="198"/>
        <item x="159"/>
        <item x="56"/>
        <item x="181"/>
        <item x="459"/>
        <item x="421"/>
        <item x="321"/>
        <item x="34"/>
        <item x="385"/>
        <item x="313"/>
        <item x="83"/>
        <item x="113"/>
        <item x="306"/>
        <item x="259"/>
        <item x="422"/>
        <item x="300"/>
        <item x="320"/>
        <item x="65"/>
        <item x="191"/>
        <item x="396"/>
        <item x="386"/>
        <item x="189"/>
        <item x="323"/>
        <item x="231"/>
        <item x="409"/>
        <item x="311"/>
        <item x="271"/>
        <item x="455"/>
        <item x="132"/>
        <item x="456"/>
        <item x="130"/>
        <item x="260"/>
        <item x="182"/>
        <item x="18"/>
        <item x="335"/>
        <item x="449"/>
        <item x="228"/>
        <item x="84"/>
        <item x="329"/>
        <item x="470"/>
        <item x="54"/>
        <item x="312"/>
        <item x="429"/>
        <item x="497"/>
        <item x="275"/>
        <item x="474"/>
        <item x="384"/>
        <item x="427"/>
        <item x="60"/>
        <item x="492"/>
        <item x="317"/>
        <item x="212"/>
        <item x="338"/>
        <item x="111"/>
        <item x="464"/>
        <item x="444"/>
        <item x="344"/>
        <item x="252"/>
        <item x="485"/>
        <item x="440"/>
        <item x="219"/>
        <item x="187"/>
        <item x="361"/>
        <item x="230"/>
        <item x="162"/>
        <item x="93"/>
        <item x="400"/>
        <item x="214"/>
        <item x="501"/>
        <item x="114"/>
        <item x="146"/>
        <item x="356"/>
        <item x="406"/>
        <item x="443"/>
        <item x="402"/>
        <item x="185"/>
        <item x="263"/>
        <item x="209"/>
        <item x="481"/>
        <item x="364"/>
        <item x="117"/>
        <item x="23"/>
        <item x="395"/>
        <item x="22"/>
        <item x="59"/>
        <item x="258"/>
        <item x="307"/>
        <item x="504"/>
        <item x="239"/>
        <item x="467"/>
        <item t="default"/>
      </items>
    </pivotField>
    <pivotField compact="0" showAll="0">
      <items count="6">
        <item x="4"/>
        <item x="0"/>
        <item x="2"/>
        <item x="1"/>
        <item x="3"/>
        <item t="default"/>
      </items>
    </pivotField>
    <pivotField dataField="1" compact="0" showAll="0">
      <items count="881">
        <item x="441"/>
        <item x="125"/>
        <item x="51"/>
        <item x="691"/>
        <item x="100"/>
        <item x="769"/>
        <item x="298"/>
        <item x="335"/>
        <item x="114"/>
        <item x="323"/>
        <item x="148"/>
        <item x="33"/>
        <item x="472"/>
        <item x="417"/>
        <item x="180"/>
        <item x="175"/>
        <item x="668"/>
        <item x="243"/>
        <item x="379"/>
        <item x="393"/>
        <item x="366"/>
        <item x="248"/>
        <item x="468"/>
        <item x="113"/>
        <item x="704"/>
        <item x="96"/>
        <item x="241"/>
        <item x="99"/>
        <item x="159"/>
        <item x="778"/>
        <item x="545"/>
        <item x="801"/>
        <item x="117"/>
        <item x="802"/>
        <item x="549"/>
        <item x="120"/>
        <item x="130"/>
        <item x="300"/>
        <item x="434"/>
        <item x="770"/>
        <item x="753"/>
        <item x="484"/>
        <item x="724"/>
        <item x="356"/>
        <item x="693"/>
        <item x="792"/>
        <item x="703"/>
        <item x="145"/>
        <item x="82"/>
        <item x="178"/>
        <item x="520"/>
        <item x="378"/>
        <item x="521"/>
        <item x="643"/>
        <item x="599"/>
        <item x="794"/>
        <item x="627"/>
        <item x="509"/>
        <item x="784"/>
        <item x="589"/>
        <item x="22"/>
        <item x="447"/>
        <item x="606"/>
        <item x="213"/>
        <item x="620"/>
        <item x="754"/>
        <item x="11"/>
        <item x="132"/>
        <item x="409"/>
        <item x="696"/>
        <item x="546"/>
        <item x="77"/>
        <item x="236"/>
        <item x="481"/>
        <item x="227"/>
        <item x="726"/>
        <item x="329"/>
        <item x="250"/>
        <item x="110"/>
        <item x="200"/>
        <item x="798"/>
        <item x="443"/>
        <item x="168"/>
        <item x="267"/>
        <item x="713"/>
        <item x="718"/>
        <item x="687"/>
        <item x="716"/>
        <item x="499"/>
        <item x="147"/>
        <item x="425"/>
        <item x="667"/>
        <item x="740"/>
        <item x="420"/>
        <item x="863"/>
        <item x="115"/>
        <item x="220"/>
        <item x="8"/>
        <item x="680"/>
        <item x="249"/>
        <item x="287"/>
        <item x="601"/>
        <item x="654"/>
        <item x="741"/>
        <item x="35"/>
        <item x="757"/>
        <item x="442"/>
        <item x="762"/>
        <item x="46"/>
        <item x="684"/>
        <item x="649"/>
        <item x="252"/>
        <item x="81"/>
        <item x="429"/>
        <item x="333"/>
        <item x="358"/>
        <item x="773"/>
        <item x="372"/>
        <item x="832"/>
        <item x="392"/>
        <item x="783"/>
        <item x="495"/>
        <item x="52"/>
        <item x="660"/>
        <item x="502"/>
        <item x="836"/>
        <item x="40"/>
        <item x="334"/>
        <item x="386"/>
        <item x="126"/>
        <item x="184"/>
        <item x="431"/>
        <item x="108"/>
        <item x="570"/>
        <item x="596"/>
        <item x="224"/>
        <item x="848"/>
        <item x="683"/>
        <item x="782"/>
        <item x="722"/>
        <item x="530"/>
        <item x="542"/>
        <item x="686"/>
        <item x="195"/>
        <item x="18"/>
        <item x="749"/>
        <item x="341"/>
        <item x="712"/>
        <item x="304"/>
        <item x="210"/>
        <item x="526"/>
        <item x="294"/>
        <item x="841"/>
        <item x="316"/>
        <item x="357"/>
        <item x="506"/>
        <item x="411"/>
        <item x="516"/>
        <item x="440"/>
        <item x="330"/>
        <item x="226"/>
        <item x="515"/>
        <item x="310"/>
        <item x="860"/>
        <item x="296"/>
        <item x="32"/>
        <item x="633"/>
        <item x="153"/>
        <item x="349"/>
        <item x="208"/>
        <item x="471"/>
        <item x="803"/>
        <item x="513"/>
        <item x="619"/>
        <item x="351"/>
        <item x="95"/>
        <item x="34"/>
        <item x="365"/>
        <item x="462"/>
        <item x="291"/>
        <item x="112"/>
        <item x="647"/>
        <item x="707"/>
        <item x="187"/>
        <item x="825"/>
        <item x="91"/>
        <item x="43"/>
        <item x="202"/>
        <item x="185"/>
        <item x="856"/>
        <item x="739"/>
        <item x="139"/>
        <item x="280"/>
        <item x="380"/>
        <item x="593"/>
        <item x="849"/>
        <item x="851"/>
        <item x="448"/>
        <item x="656"/>
        <item x="735"/>
        <item x="14"/>
        <item x="655"/>
        <item x="193"/>
        <item x="865"/>
        <item x="87"/>
        <item x="805"/>
        <item x="263"/>
        <item x="875"/>
        <item x="638"/>
        <item x="562"/>
        <item x="512"/>
        <item x="284"/>
        <item x="123"/>
        <item x="198"/>
        <item x="575"/>
        <item x="688"/>
        <item x="317"/>
        <item x="679"/>
        <item x="301"/>
        <item x="412"/>
        <item x="830"/>
        <item x="3"/>
        <item x="209"/>
        <item x="732"/>
        <item x="146"/>
        <item x="755"/>
        <item x="681"/>
        <item x="36"/>
        <item x="413"/>
        <item x="602"/>
        <item x="813"/>
        <item x="206"/>
        <item x="230"/>
        <item x="504"/>
        <item x="196"/>
        <item x="635"/>
        <item x="527"/>
        <item x="305"/>
        <item x="107"/>
        <item x="321"/>
        <item x="827"/>
        <item x="339"/>
        <item x="700"/>
        <item x="373"/>
        <item x="399"/>
        <item x="315"/>
        <item x="309"/>
        <item x="869"/>
        <item x="90"/>
        <item x="751"/>
        <item x="326"/>
        <item x="89"/>
        <item x="728"/>
        <item x="489"/>
        <item x="149"/>
        <item x="552"/>
        <item x="522"/>
        <item x="28"/>
        <item x="556"/>
        <item x="207"/>
        <item x="388"/>
        <item x="342"/>
        <item x="642"/>
        <item x="121"/>
        <item x="141"/>
        <item x="352"/>
        <item x="765"/>
        <item x="631"/>
        <item x="0"/>
        <item x="563"/>
        <item x="428"/>
        <item x="564"/>
        <item x="577"/>
        <item x="331"/>
        <item x="844"/>
        <item x="490"/>
        <item x="256"/>
        <item x="695"/>
        <item x="186"/>
        <item x="671"/>
        <item x="76"/>
        <item x="624"/>
        <item x="879"/>
        <item x="439"/>
        <item x="730"/>
        <item x="427"/>
        <item x="797"/>
        <item x="466"/>
        <item x="789"/>
        <item x="221"/>
        <item x="581"/>
        <item x="720"/>
        <item x="611"/>
        <item x="612"/>
        <item x="165"/>
        <item x="12"/>
        <item x="623"/>
        <item x="269"/>
        <item x="839"/>
        <item x="318"/>
        <item x="30"/>
        <item x="133"/>
        <item x="554"/>
        <item x="174"/>
        <item x="461"/>
        <item x="818"/>
        <item x="105"/>
        <item x="169"/>
        <item x="833"/>
        <item x="781"/>
        <item x="482"/>
        <item x="662"/>
        <item x="422"/>
        <item x="277"/>
        <item x="503"/>
        <item x="382"/>
        <item x="223"/>
        <item x="328"/>
        <item x="71"/>
        <item x="327"/>
        <item x="25"/>
        <item x="381"/>
        <item x="727"/>
        <item x="717"/>
        <item x="21"/>
        <item x="17"/>
        <item x="658"/>
        <item x="163"/>
        <item x="432"/>
        <item x="403"/>
        <item x="759"/>
        <item x="288"/>
        <item x="702"/>
        <item x="651"/>
        <item x="807"/>
        <item x="396"/>
        <item x="271"/>
        <item x="66"/>
        <item x="731"/>
        <item x="597"/>
        <item x="156"/>
        <item x="74"/>
        <item x="69"/>
        <item x="290"/>
        <item x="846"/>
        <item x="374"/>
        <item x="791"/>
        <item x="253"/>
        <item x="172"/>
        <item x="306"/>
        <item x="843"/>
        <item x="458"/>
        <item x="161"/>
        <item x="775"/>
        <item x="354"/>
        <item x="205"/>
        <item x="525"/>
        <item x="10"/>
        <item x="219"/>
        <item x="158"/>
        <item x="29"/>
        <item x="118"/>
        <item x="657"/>
        <item x="690"/>
        <item x="361"/>
        <item x="531"/>
        <item x="233"/>
        <item x="665"/>
        <item x="122"/>
        <item x="598"/>
        <item x="204"/>
        <item x="75"/>
        <item x="177"/>
        <item x="831"/>
        <item x="363"/>
        <item x="603"/>
        <item x="289"/>
        <item x="282"/>
        <item x="788"/>
        <item x="56"/>
        <item x="809"/>
        <item x="19"/>
        <item x="231"/>
        <item x="414"/>
        <item x="626"/>
        <item x="237"/>
        <item x="529"/>
        <item x="550"/>
        <item x="677"/>
        <item x="390"/>
        <item x="666"/>
        <item x="192"/>
        <item x="144"/>
        <item x="566"/>
        <item x="456"/>
        <item x="510"/>
        <item x="47"/>
        <item x="322"/>
        <item x="338"/>
        <item x="6"/>
        <item x="857"/>
        <item x="698"/>
        <item x="128"/>
        <item x="568"/>
        <item x="13"/>
        <item x="790"/>
        <item x="592"/>
        <item x="255"/>
        <item x="246"/>
        <item x="84"/>
        <item x="600"/>
        <item x="37"/>
        <item x="519"/>
        <item x="508"/>
        <item x="847"/>
        <item x="514"/>
        <item x="585"/>
        <item x="756"/>
        <item x="86"/>
        <item x="787"/>
        <item x="646"/>
        <item x="313"/>
        <item x="493"/>
        <item x="752"/>
        <item x="377"/>
        <item x="53"/>
        <item x="811"/>
        <item x="491"/>
        <item x="558"/>
        <item x="733"/>
        <item x="395"/>
        <item x="614"/>
        <item x="474"/>
        <item x="555"/>
        <item x="485"/>
        <item x="410"/>
        <item x="92"/>
        <item x="212"/>
        <item x="83"/>
        <item x="618"/>
        <item x="407"/>
        <item x="98"/>
        <item x="344"/>
        <item x="533"/>
        <item x="729"/>
        <item x="137"/>
        <item x="835"/>
        <item x="580"/>
        <item x="72"/>
        <item x="664"/>
        <item x="804"/>
        <item x="706"/>
        <item x="398"/>
        <item x="449"/>
        <item x="324"/>
        <item x="547"/>
        <item x="744"/>
        <item x="167"/>
        <item x="189"/>
        <item x="535"/>
        <item x="872"/>
        <item x="579"/>
        <item x="543"/>
        <item x="179"/>
        <item x="182"/>
        <item x="534"/>
        <item x="299"/>
        <item x="265"/>
        <item x="645"/>
        <item x="16"/>
        <item x="435"/>
        <item x="607"/>
        <item x="405"/>
        <item x="2"/>
        <item x="641"/>
        <item x="661"/>
        <item x="337"/>
        <item x="583"/>
        <item x="218"/>
        <item x="239"/>
        <item x="24"/>
        <item x="817"/>
        <item x="652"/>
        <item x="140"/>
        <item x="281"/>
        <item x="311"/>
        <item x="477"/>
        <item x="488"/>
        <item x="673"/>
        <item x="270"/>
        <item x="433"/>
        <item x="494"/>
        <item x="278"/>
        <item x="103"/>
        <item x="876"/>
        <item x="188"/>
        <item x="383"/>
        <item x="389"/>
        <item x="492"/>
        <item x="511"/>
        <item x="171"/>
        <item x="211"/>
        <item x="48"/>
        <item x="780"/>
        <item x="285"/>
        <item x="861"/>
        <item x="61"/>
        <item x="183"/>
        <item x="605"/>
        <item x="594"/>
        <item x="15"/>
        <item x="810"/>
        <item x="842"/>
        <item x="528"/>
        <item x="276"/>
        <item x="136"/>
        <item x="421"/>
        <item x="4"/>
        <item x="9"/>
        <item x="312"/>
        <item x="719"/>
        <item x="314"/>
        <item x="418"/>
        <item x="829"/>
        <item x="824"/>
        <item x="845"/>
        <item x="181"/>
        <item x="816"/>
        <item x="507"/>
        <item x="537"/>
        <item x="214"/>
        <item x="639"/>
        <item x="465"/>
        <item x="604"/>
        <item x="734"/>
        <item x="701"/>
        <item x="463"/>
        <item x="142"/>
        <item x="176"/>
        <item x="553"/>
        <item x="672"/>
        <item x="348"/>
        <item x="648"/>
        <item x="630"/>
        <item x="736"/>
        <item x="826"/>
        <item x="708"/>
        <item x="518"/>
        <item x="541"/>
        <item x="498"/>
        <item x="408"/>
        <item x="247"/>
        <item x="483"/>
        <item x="548"/>
        <item x="190"/>
        <item x="23"/>
        <item x="360"/>
        <item x="119"/>
        <item x="721"/>
        <item x="325"/>
        <item x="164"/>
        <item x="111"/>
        <item x="571"/>
        <item x="257"/>
        <item x="551"/>
        <item x="106"/>
        <item x="505"/>
        <item x="88"/>
        <item x="150"/>
        <item x="197"/>
        <item x="228"/>
        <item x="685"/>
        <item x="796"/>
        <item x="523"/>
        <item x="820"/>
        <item x="391"/>
        <item x="476"/>
        <item x="742"/>
        <item x="539"/>
        <item x="39"/>
        <item x="62"/>
        <item x="364"/>
        <item x="569"/>
        <item x="559"/>
        <item x="689"/>
        <item x="308"/>
        <item x="41"/>
        <item x="116"/>
        <item x="776"/>
        <item x="578"/>
        <item x="401"/>
        <item x="500"/>
        <item x="215"/>
        <item x="157"/>
        <item x="455"/>
        <item x="101"/>
        <item x="254"/>
        <item x="262"/>
        <item x="850"/>
        <item x="574"/>
        <item x="217"/>
        <item x="838"/>
        <item x="613"/>
        <item x="864"/>
        <item x="234"/>
        <item x="295"/>
        <item x="44"/>
        <item x="567"/>
        <item x="561"/>
        <item x="397"/>
        <item x="758"/>
        <item x="216"/>
        <item x="709"/>
        <item x="475"/>
        <item x="166"/>
        <item x="367"/>
        <item x="400"/>
        <item x="663"/>
        <item x="274"/>
        <item x="540"/>
        <item x="705"/>
        <item x="336"/>
        <item x="80"/>
        <item x="54"/>
        <item x="621"/>
        <item x="266"/>
        <item x="45"/>
        <item x="858"/>
        <item x="160"/>
        <item x="822"/>
        <item x="151"/>
        <item x="745"/>
        <item x="469"/>
        <item x="859"/>
        <item x="650"/>
        <item x="59"/>
        <item x="748"/>
        <item x="467"/>
        <item x="293"/>
        <item x="1"/>
        <item x="557"/>
        <item x="199"/>
        <item x="67"/>
        <item x="747"/>
        <item x="799"/>
        <item x="764"/>
        <item x="560"/>
        <item x="676"/>
        <item x="853"/>
        <item x="124"/>
        <item x="129"/>
        <item x="359"/>
        <item x="155"/>
        <item x="170"/>
        <item x="785"/>
        <item x="244"/>
        <item x="723"/>
        <item x="201"/>
        <item x="402"/>
        <item x="286"/>
        <item x="451"/>
        <item x="608"/>
        <item x="232"/>
        <item x="143"/>
        <item x="109"/>
        <item x="355"/>
        <item x="637"/>
        <item x="5"/>
        <item x="445"/>
        <item x="457"/>
        <item x="31"/>
        <item x="55"/>
        <item x="264"/>
        <item x="251"/>
        <item x="486"/>
        <item x="793"/>
        <item x="573"/>
        <item x="222"/>
        <item x="743"/>
        <item x="57"/>
        <item x="258"/>
        <item x="404"/>
        <item x="454"/>
        <item x="38"/>
        <item x="586"/>
        <item x="682"/>
        <item x="370"/>
        <item x="63"/>
        <item x="50"/>
        <item x="79"/>
        <item x="260"/>
        <item x="93"/>
        <item x="42"/>
        <item x="855"/>
        <item x="134"/>
        <item x="426"/>
        <item x="345"/>
        <item x="369"/>
        <item x="806"/>
        <item x="840"/>
        <item x="453"/>
        <item x="70"/>
        <item x="590"/>
        <item x="319"/>
        <item x="854"/>
        <item x="766"/>
        <item x="7"/>
        <item x="73"/>
        <item x="240"/>
        <item x="587"/>
        <item x="750"/>
        <item x="368"/>
        <item x="238"/>
        <item x="774"/>
        <item x="588"/>
        <item x="460"/>
        <item x="261"/>
        <item x="823"/>
        <item x="871"/>
        <item x="786"/>
        <item x="634"/>
        <item x="242"/>
        <item x="436"/>
        <item x="303"/>
        <item x="874"/>
        <item x="376"/>
        <item x="480"/>
        <item x="699"/>
        <item x="632"/>
        <item x="437"/>
        <item x="678"/>
        <item x="292"/>
        <item x="362"/>
        <item x="737"/>
        <item x="154"/>
        <item x="738"/>
        <item x="58"/>
        <item x="669"/>
        <item x="517"/>
        <item x="152"/>
        <item x="761"/>
        <item x="821"/>
        <item x="878"/>
        <item x="225"/>
        <item x="424"/>
        <item x="375"/>
        <item x="444"/>
        <item x="625"/>
        <item x="710"/>
        <item x="653"/>
        <item x="725"/>
        <item x="279"/>
        <item x="464"/>
        <item x="473"/>
        <item x="867"/>
        <item x="616"/>
        <item x="297"/>
        <item x="94"/>
        <item x="49"/>
        <item x="470"/>
        <item x="772"/>
        <item x="60"/>
        <item x="340"/>
        <item x="203"/>
        <item x="595"/>
        <item x="615"/>
        <item x="610"/>
        <item x="837"/>
        <item x="438"/>
        <item x="162"/>
        <item x="674"/>
        <item x="862"/>
        <item x="371"/>
        <item x="777"/>
        <item x="423"/>
        <item x="714"/>
        <item x="692"/>
        <item x="78"/>
        <item x="584"/>
        <item x="670"/>
        <item x="68"/>
        <item x="353"/>
        <item x="711"/>
        <item x="346"/>
        <item x="273"/>
        <item x="536"/>
        <item x="406"/>
        <item x="272"/>
        <item x="834"/>
        <item x="819"/>
        <item x="102"/>
        <item x="487"/>
        <item x="131"/>
        <item x="496"/>
        <item x="760"/>
        <item x="387"/>
        <item x="385"/>
        <item x="715"/>
        <item x="501"/>
        <item x="332"/>
        <item x="815"/>
        <item x="697"/>
        <item x="85"/>
        <item x="283"/>
        <item x="235"/>
        <item x="628"/>
        <item x="746"/>
        <item x="532"/>
        <item x="302"/>
        <item x="640"/>
        <item x="419"/>
        <item x="194"/>
        <item x="104"/>
        <item x="275"/>
        <item x="544"/>
        <item x="572"/>
        <item x="675"/>
        <item x="873"/>
        <item x="452"/>
        <item x="771"/>
        <item x="135"/>
        <item x="65"/>
        <item x="416"/>
        <item x="767"/>
        <item x="868"/>
        <item x="173"/>
        <item x="524"/>
        <item x="497"/>
        <item x="622"/>
        <item x="347"/>
        <item x="591"/>
        <item x="97"/>
        <item x="852"/>
        <item x="870"/>
        <item x="644"/>
        <item x="800"/>
        <item x="617"/>
        <item x="229"/>
        <item x="779"/>
        <item x="478"/>
        <item x="245"/>
        <item x="446"/>
        <item x="866"/>
        <item x="629"/>
        <item x="415"/>
        <item x="350"/>
        <item x="320"/>
        <item x="814"/>
        <item x="268"/>
        <item x="659"/>
        <item x="808"/>
        <item x="694"/>
        <item x="565"/>
        <item x="20"/>
        <item x="64"/>
        <item x="538"/>
        <item x="812"/>
        <item x="127"/>
        <item x="138"/>
        <item x="384"/>
        <item x="394"/>
        <item x="459"/>
        <item x="27"/>
        <item x="609"/>
        <item x="450"/>
        <item x="26"/>
        <item x="582"/>
        <item x="828"/>
        <item x="479"/>
        <item x="343"/>
        <item x="259"/>
        <item x="307"/>
        <item x="795"/>
        <item x="430"/>
        <item x="576"/>
        <item x="763"/>
        <item x="636"/>
        <item x="191"/>
        <item x="877"/>
        <item x="768"/>
        <item t="default"/>
      </items>
    </pivotField>
    <pivotField compact="0" showAll="0">
      <items count="1001">
        <item x="473"/>
        <item x="129"/>
        <item x="573"/>
        <item x="772"/>
        <item x="102"/>
        <item x="866"/>
        <item x="314"/>
        <item x="354"/>
        <item x="118"/>
        <item x="342"/>
        <item x="153"/>
        <item x="33"/>
        <item x="510"/>
        <item x="445"/>
        <item x="187"/>
        <item x="181"/>
        <item x="742"/>
        <item x="254"/>
        <item x="401"/>
        <item x="415"/>
        <item x="387"/>
        <item x="259"/>
        <item x="506"/>
        <item x="117"/>
        <item x="788"/>
        <item x="97"/>
        <item x="252"/>
        <item x="101"/>
        <item x="165"/>
        <item x="877"/>
        <item x="592"/>
        <item x="907"/>
        <item x="121"/>
        <item x="908"/>
        <item x="596"/>
        <item x="421"/>
        <item x="134"/>
        <item x="316"/>
        <item x="464"/>
        <item x="867"/>
        <item x="850"/>
        <item x="522"/>
        <item x="813"/>
        <item x="376"/>
        <item x="774"/>
        <item x="895"/>
        <item x="786"/>
        <item x="149"/>
        <item x="648"/>
        <item x="184"/>
        <item x="562"/>
        <item x="400"/>
        <item x="563"/>
        <item x="707"/>
        <item x="654"/>
        <item x="898"/>
        <item x="690"/>
        <item x="550"/>
        <item x="884"/>
        <item x="640"/>
        <item x="22"/>
        <item x="868"/>
        <item x="661"/>
        <item x="223"/>
        <item x="680"/>
        <item x="851"/>
        <item x="11"/>
        <item x="136"/>
        <item x="436"/>
        <item x="778"/>
        <item x="593"/>
        <item x="78"/>
        <item x="753"/>
        <item x="519"/>
        <item x="238"/>
        <item x="818"/>
        <item x="348"/>
        <item x="261"/>
        <item x="114"/>
        <item x="209"/>
        <item x="903"/>
        <item x="476"/>
        <item x="174"/>
        <item x="278"/>
        <item x="800"/>
        <item x="806"/>
        <item x="767"/>
        <item x="804"/>
        <item x="539"/>
        <item x="152"/>
        <item x="453"/>
        <item x="741"/>
        <item x="835"/>
        <item x="448"/>
        <item x="979"/>
        <item x="307"/>
        <item x="119"/>
        <item x="231"/>
        <item x="227"/>
        <item x="757"/>
        <item x="260"/>
        <item x="300"/>
        <item x="656"/>
        <item x="720"/>
        <item x="836"/>
        <item x="35"/>
        <item x="854"/>
        <item x="474"/>
        <item x="859"/>
        <item x="46"/>
        <item x="762"/>
        <item x="713"/>
        <item x="263"/>
        <item x="82"/>
        <item x="458"/>
        <item x="725"/>
        <item x="378"/>
        <item x="872"/>
        <item x="394"/>
        <item x="941"/>
        <item x="414"/>
        <item x="883"/>
        <item x="534"/>
        <item x="52"/>
        <item x="733"/>
        <item x="542"/>
        <item x="945"/>
        <item x="40"/>
        <item x="353"/>
        <item x="408"/>
        <item x="130"/>
        <item x="191"/>
        <item x="461"/>
        <item x="112"/>
        <item x="621"/>
        <item x="651"/>
        <item x="235"/>
        <item x="961"/>
        <item x="761"/>
        <item x="882"/>
        <item x="810"/>
        <item x="572"/>
        <item x="588"/>
        <item x="766"/>
        <item x="204"/>
        <item x="18"/>
        <item x="845"/>
        <item x="718"/>
        <item x="336"/>
        <item x="797"/>
        <item x="320"/>
        <item x="220"/>
        <item x="568"/>
        <item x="310"/>
        <item x="953"/>
        <item x="682"/>
        <item x="377"/>
        <item x="124"/>
        <item x="546"/>
        <item x="438"/>
        <item x="557"/>
        <item x="472"/>
        <item x="349"/>
        <item x="237"/>
        <item x="556"/>
        <item x="727"/>
        <item x="974"/>
        <item x="312"/>
        <item x="32"/>
        <item x="696"/>
        <item x="158"/>
        <item x="369"/>
        <item x="948"/>
        <item x="509"/>
        <item x="911"/>
        <item x="554"/>
        <item x="679"/>
        <item x="371"/>
        <item x="96"/>
        <item x="196"/>
        <item x="386"/>
        <item x="499"/>
        <item x="532"/>
        <item x="116"/>
        <item x="711"/>
        <item x="791"/>
        <item x="194"/>
        <item x="934"/>
        <item x="92"/>
        <item x="586"/>
        <item x="212"/>
        <item x="192"/>
        <item x="970"/>
        <item x="832"/>
        <item x="687"/>
        <item x="143"/>
        <item x="352"/>
        <item x="292"/>
        <item x="402"/>
        <item x="645"/>
        <item x="962"/>
        <item x="964"/>
        <item x="483"/>
        <item x="724"/>
        <item x="828"/>
        <item x="14"/>
        <item x="721"/>
        <item x="202"/>
        <item x="983"/>
        <item x="88"/>
        <item x="815"/>
        <item x="913"/>
        <item x="460"/>
        <item x="994"/>
        <item x="701"/>
        <item x="611"/>
        <item x="553"/>
        <item x="297"/>
        <item x="162"/>
        <item x="207"/>
        <item x="626"/>
        <item x="768"/>
        <item x="335"/>
        <item x="755"/>
        <item x="871"/>
        <item x="439"/>
        <item x="939"/>
        <item x="3"/>
        <item x="219"/>
        <item x="825"/>
        <item x="151"/>
        <item x="852"/>
        <item x="758"/>
        <item x="36"/>
        <item x="440"/>
        <item x="657"/>
        <item x="921"/>
        <item x="216"/>
        <item x="241"/>
        <item x="544"/>
        <item x="205"/>
        <item x="698"/>
        <item x="569"/>
        <item x="321"/>
        <item x="798"/>
        <item x="340"/>
        <item x="936"/>
        <item x="358"/>
        <item x="783"/>
        <item x="395"/>
        <item x="423"/>
        <item x="332"/>
        <item x="325"/>
        <item x="988"/>
        <item x="91"/>
        <item x="847"/>
        <item x="345"/>
        <item x="8"/>
        <item x="108"/>
        <item x="821"/>
        <item x="527"/>
        <item x="154"/>
        <item x="601"/>
        <item x="564"/>
        <item x="482"/>
        <item x="28"/>
        <item x="605"/>
        <item x="217"/>
        <item x="410"/>
        <item x="361"/>
        <item x="706"/>
        <item x="125"/>
        <item x="145"/>
        <item x="372"/>
        <item x="862"/>
        <item x="694"/>
        <item x="0"/>
        <item x="613"/>
        <item x="456"/>
        <item x="614"/>
        <item x="628"/>
        <item x="350"/>
        <item x="957"/>
        <item x="528"/>
        <item x="267"/>
        <item x="777"/>
        <item x="547"/>
        <item x="745"/>
        <item x="77"/>
        <item x="686"/>
        <item x="998"/>
        <item x="756"/>
        <item x="823"/>
        <item x="455"/>
        <item x="901"/>
        <item x="503"/>
        <item x="892"/>
        <item x="619"/>
        <item x="632"/>
        <item x="808"/>
        <item x="670"/>
        <item x="671"/>
        <item x="90"/>
        <item x="171"/>
        <item x="12"/>
        <item x="685"/>
        <item x="280"/>
        <item x="950"/>
        <item x="481"/>
        <item x="30"/>
        <item x="137"/>
        <item x="603"/>
        <item x="53"/>
        <item x="180"/>
        <item x="498"/>
        <item x="926"/>
        <item x="109"/>
        <item x="175"/>
        <item x="942"/>
        <item x="881"/>
        <item x="984"/>
        <item x="735"/>
        <item x="450"/>
        <item x="289"/>
        <item x="543"/>
        <item x="404"/>
        <item x="906"/>
        <item x="347"/>
        <item x="72"/>
        <item x="346"/>
        <item x="25"/>
        <item x="403"/>
        <item x="819"/>
        <item x="805"/>
        <item x="21"/>
        <item x="17"/>
        <item x="728"/>
        <item x="169"/>
        <item x="462"/>
        <item x="475"/>
        <item x="856"/>
        <item x="955"/>
        <item x="785"/>
        <item x="716"/>
        <item x="915"/>
        <item x="43"/>
        <item x="419"/>
        <item x="282"/>
        <item x="67"/>
        <item x="824"/>
        <item x="981"/>
        <item x="161"/>
        <item x="75"/>
        <item x="70"/>
        <item x="303"/>
        <item x="959"/>
        <item x="396"/>
        <item x="894"/>
        <item x="264"/>
        <item x="178"/>
        <item x="322"/>
        <item x="956"/>
        <item x="493"/>
        <item x="167"/>
        <item x="874"/>
        <item x="723"/>
        <item x="374"/>
        <item x="215"/>
        <item x="567"/>
        <item x="10"/>
        <item x="230"/>
        <item x="164"/>
        <item x="29"/>
        <item x="122"/>
        <item x="726"/>
        <item x="771"/>
        <item x="382"/>
        <item x="432"/>
        <item x="574"/>
        <item x="244"/>
        <item x="738"/>
        <item x="126"/>
        <item x="653"/>
        <item x="214"/>
        <item x="76"/>
        <item x="183"/>
        <item x="703"/>
        <item x="940"/>
        <item x="384"/>
        <item x="658"/>
        <item x="302"/>
        <item x="294"/>
        <item x="891"/>
        <item x="57"/>
        <item x="917"/>
        <item x="19"/>
        <item x="242"/>
        <item x="442"/>
        <item x="689"/>
        <item x="248"/>
        <item x="643"/>
        <item x="597"/>
        <item x="752"/>
        <item x="412"/>
        <item x="740"/>
        <item x="200"/>
        <item x="148"/>
        <item x="616"/>
        <item x="491"/>
        <item x="551"/>
        <item x="47"/>
        <item x="341"/>
        <item x="357"/>
        <item x="6"/>
        <item x="971"/>
        <item x="781"/>
        <item x="132"/>
        <item x="765"/>
        <item x="13"/>
        <item x="34"/>
        <item x="715"/>
        <item x="893"/>
        <item x="644"/>
        <item x="266"/>
        <item x="257"/>
        <item x="85"/>
        <item x="571"/>
        <item x="655"/>
        <item x="618"/>
        <item x="37"/>
        <item x="561"/>
        <item x="549"/>
        <item x="960"/>
        <item x="555"/>
        <item x="636"/>
        <item x="853"/>
        <item x="87"/>
        <item x="888"/>
        <item x="710"/>
        <item x="457"/>
        <item x="330"/>
        <item x="531"/>
        <item x="127"/>
        <item x="849"/>
        <item x="399"/>
        <item x="576"/>
        <item x="919"/>
        <item x="529"/>
        <item x="607"/>
        <item x="536"/>
        <item x="826"/>
        <item x="418"/>
        <item x="673"/>
        <item x="305"/>
        <item x="512"/>
        <item x="760"/>
        <item x="604"/>
        <item x="523"/>
        <item x="234"/>
        <item x="426"/>
        <item x="437"/>
        <item x="93"/>
        <item x="222"/>
        <item x="84"/>
        <item x="678"/>
        <item x="434"/>
        <item x="578"/>
        <item x="100"/>
        <item x="111"/>
        <item x="363"/>
        <item x="577"/>
        <item x="822"/>
        <item x="141"/>
        <item x="834"/>
        <item x="944"/>
        <item x="631"/>
        <item x="73"/>
        <item x="737"/>
        <item x="912"/>
        <item x="790"/>
        <item x="422"/>
        <item x="484"/>
        <item x="343"/>
        <item x="594"/>
        <item x="839"/>
        <item x="173"/>
        <item x="197"/>
        <item x="580"/>
        <item x="337"/>
        <item x="991"/>
        <item x="630"/>
        <item x="590"/>
        <item x="186"/>
        <item x="189"/>
        <item x="579"/>
        <item x="799"/>
        <item x="276"/>
        <item x="709"/>
        <item x="16"/>
        <item x="465"/>
        <item x="663"/>
        <item x="431"/>
        <item x="2"/>
        <item x="185"/>
        <item x="705"/>
        <item x="734"/>
        <item x="722"/>
        <item x="634"/>
        <item x="379"/>
        <item x="360"/>
        <item x="250"/>
        <item x="24"/>
        <item x="925"/>
        <item x="717"/>
        <item x="144"/>
        <item x="293"/>
        <item x="649"/>
        <item x="515"/>
        <item x="526"/>
        <item x="664"/>
        <item x="748"/>
        <item x="281"/>
        <item x="463"/>
        <item x="533"/>
        <item x="290"/>
        <item x="106"/>
        <item x="995"/>
        <item x="195"/>
        <item x="405"/>
        <item x="411"/>
        <item x="530"/>
        <item x="552"/>
        <item x="177"/>
        <item x="221"/>
        <item x="48"/>
        <item x="879"/>
        <item x="298"/>
        <item x="975"/>
        <item x="62"/>
        <item x="190"/>
        <item x="660"/>
        <item x="647"/>
        <item x="15"/>
        <item x="918"/>
        <item x="954"/>
        <item x="570"/>
        <item x="287"/>
        <item x="140"/>
        <item x="449"/>
        <item x="4"/>
        <item x="9"/>
        <item x="329"/>
        <item x="807"/>
        <item x="331"/>
        <item x="446"/>
        <item x="938"/>
        <item x="932"/>
        <item x="308"/>
        <item x="958"/>
        <item x="188"/>
        <item x="924"/>
        <item x="548"/>
        <item x="582"/>
        <item x="224"/>
        <item x="702"/>
        <item x="502"/>
        <item x="659"/>
        <item x="827"/>
        <item x="784"/>
        <item x="500"/>
        <item x="146"/>
        <item x="182"/>
        <item x="602"/>
        <item x="747"/>
        <item x="368"/>
        <item x="315"/>
        <item x="712"/>
        <item x="693"/>
        <item x="829"/>
        <item x="935"/>
        <item x="792"/>
        <item x="83"/>
        <item x="560"/>
        <item x="587"/>
        <item x="538"/>
        <item x="435"/>
        <item x="933"/>
        <item x="258"/>
        <item x="521"/>
        <item x="595"/>
        <item x="198"/>
        <item x="23"/>
        <item x="381"/>
        <item x="123"/>
        <item x="999"/>
        <item x="809"/>
        <item x="344"/>
        <item x="210"/>
        <item x="477"/>
        <item x="885"/>
        <item x="115"/>
        <item x="622"/>
        <item x="268"/>
        <item x="598"/>
        <item x="110"/>
        <item x="545"/>
        <item x="89"/>
        <item x="155"/>
        <item x="206"/>
        <item x="889"/>
        <item x="600"/>
        <item x="764"/>
        <item x="900"/>
        <item x="565"/>
        <item x="951"/>
        <item x="928"/>
        <item x="413"/>
        <item x="514"/>
        <item x="837"/>
        <item x="584"/>
        <item x="39"/>
        <item x="63"/>
        <item x="385"/>
        <item x="620"/>
        <item x="608"/>
        <item x="317"/>
        <item x="770"/>
        <item x="324"/>
        <item x="232"/>
        <item x="41"/>
        <item x="120"/>
        <item x="875"/>
        <item x="629"/>
        <item x="425"/>
        <item x="540"/>
        <item x="225"/>
        <item x="163"/>
        <item x="490"/>
        <item x="104"/>
        <item x="646"/>
        <item x="909"/>
        <item x="273"/>
        <item x="963"/>
        <item x="625"/>
        <item x="228"/>
        <item x="949"/>
        <item x="672"/>
        <item x="982"/>
        <item x="245"/>
        <item x="311"/>
        <item x="44"/>
        <item x="617"/>
        <item x="610"/>
        <item x="420"/>
        <item x="304"/>
        <item x="855"/>
        <item x="226"/>
        <item x="793"/>
        <item x="513"/>
        <item x="172"/>
        <item x="389"/>
        <item x="424"/>
        <item x="736"/>
        <item x="285"/>
        <item x="585"/>
        <item x="789"/>
        <item x="355"/>
        <item x="218"/>
        <item x="81"/>
        <item x="103"/>
        <item x="681"/>
        <item x="193"/>
        <item x="277"/>
        <item x="496"/>
        <item x="848"/>
        <item x="972"/>
        <item x="166"/>
        <item x="930"/>
        <item x="156"/>
        <item x="840"/>
        <item x="507"/>
        <item x="973"/>
        <item x="769"/>
        <item x="599"/>
        <item x="60"/>
        <item x="665"/>
        <item x="844"/>
        <item x="504"/>
        <item x="309"/>
        <item x="1"/>
        <item x="333"/>
        <item x="606"/>
        <item x="208"/>
        <item x="833"/>
        <item x="842"/>
        <item x="904"/>
        <item x="861"/>
        <item x="609"/>
        <item x="751"/>
        <item x="966"/>
        <item x="128"/>
        <item x="170"/>
        <item x="467"/>
        <item x="380"/>
        <item x="160"/>
        <item x="176"/>
        <item x="886"/>
        <item x="98"/>
        <item x="255"/>
        <item x="327"/>
        <item x="812"/>
        <item x="211"/>
        <item x="427"/>
        <item x="299"/>
        <item x="486"/>
        <item x="666"/>
        <item x="495"/>
        <item x="243"/>
        <item x="147"/>
        <item x="559"/>
        <item x="113"/>
        <item x="375"/>
        <item x="700"/>
        <item x="5"/>
        <item x="479"/>
        <item x="492"/>
        <item x="31"/>
        <item x="470"/>
        <item x="56"/>
        <item x="275"/>
        <item x="356"/>
        <item x="262"/>
        <item x="739"/>
        <item x="524"/>
        <item x="897"/>
        <item x="896"/>
        <item x="624"/>
        <item x="233"/>
        <item x="838"/>
        <item x="58"/>
        <item x="269"/>
        <item x="430"/>
        <item x="731"/>
        <item x="489"/>
        <item x="843"/>
        <item x="38"/>
        <item x="637"/>
        <item x="759"/>
        <item x="763"/>
        <item x="392"/>
        <item x="64"/>
        <item x="50"/>
        <item x="730"/>
        <item x="271"/>
        <item x="94"/>
        <item x="42"/>
        <item x="969"/>
        <item x="138"/>
        <item x="454"/>
        <item x="364"/>
        <item x="732"/>
        <item x="391"/>
        <item x="239"/>
        <item x="914"/>
        <item x="952"/>
        <item x="488"/>
        <item x="71"/>
        <item x="641"/>
        <item x="247"/>
        <item x="288"/>
        <item x="365"/>
        <item x="977"/>
        <item x="338"/>
        <item x="967"/>
        <item x="863"/>
        <item x="7"/>
        <item x="74"/>
        <item x="251"/>
        <item x="669"/>
        <item x="638"/>
        <item x="846"/>
        <item x="80"/>
        <item x="390"/>
        <item x="249"/>
        <item x="873"/>
        <item x="639"/>
        <item x="497"/>
        <item x="272"/>
        <item x="931"/>
        <item x="990"/>
        <item x="887"/>
        <item x="697"/>
        <item x="253"/>
        <item x="466"/>
        <item x="319"/>
        <item x="993"/>
        <item x="968"/>
        <item x="398"/>
        <item x="441"/>
        <item x="518"/>
        <item x="782"/>
        <item x="695"/>
        <item x="714"/>
        <item x="468"/>
        <item x="754"/>
        <item x="306"/>
        <item x="383"/>
        <item x="830"/>
        <item x="159"/>
        <item x="831"/>
        <item x="59"/>
        <item x="743"/>
        <item x="558"/>
        <item x="683"/>
        <item x="814"/>
        <item x="157"/>
        <item x="980"/>
        <item x="775"/>
        <item x="612"/>
        <item x="858"/>
        <item x="929"/>
        <item x="997"/>
        <item x="236"/>
        <item x="452"/>
        <item x="397"/>
        <item x="520"/>
        <item x="478"/>
        <item x="688"/>
        <item x="55"/>
        <item x="505"/>
        <item x="794"/>
        <item x="746"/>
        <item x="719"/>
        <item x="816"/>
        <item x="471"/>
        <item x="291"/>
        <item x="501"/>
        <item x="511"/>
        <item x="890"/>
        <item x="986"/>
        <item x="676"/>
        <item x="796"/>
        <item x="313"/>
        <item x="779"/>
        <item x="95"/>
        <item x="49"/>
        <item x="508"/>
        <item x="870"/>
        <item x="45"/>
        <item x="61"/>
        <item x="359"/>
        <item x="213"/>
        <item x="650"/>
        <item x="326"/>
        <item x="674"/>
        <item x="668"/>
        <item x="947"/>
        <item x="469"/>
        <item x="168"/>
        <item x="749"/>
        <item x="976"/>
        <item x="393"/>
        <item x="876"/>
        <item x="451"/>
        <item x="801"/>
        <item x="773"/>
        <item x="79"/>
        <item x="635"/>
        <item x="662"/>
        <item x="744"/>
        <item x="69"/>
        <item x="373"/>
        <item x="795"/>
        <item x="946"/>
        <item x="366"/>
        <item x="284"/>
        <item x="589"/>
        <item x="581"/>
        <item x="433"/>
        <item x="283"/>
        <item x="943"/>
        <item x="927"/>
        <item x="105"/>
        <item x="525"/>
        <item x="135"/>
        <item x="535"/>
        <item x="857"/>
        <item x="409"/>
        <item x="407"/>
        <item x="803"/>
        <item x="541"/>
        <item x="351"/>
        <item x="923"/>
        <item x="780"/>
        <item x="86"/>
        <item x="295"/>
        <item x="246"/>
        <item x="691"/>
        <item x="841"/>
        <item x="575"/>
        <item x="318"/>
        <item x="704"/>
        <item x="447"/>
        <item x="203"/>
        <item x="107"/>
        <item x="388"/>
        <item x="675"/>
        <item x="328"/>
        <item x="274"/>
        <item x="286"/>
        <item x="591"/>
        <item x="623"/>
        <item x="750"/>
        <item x="992"/>
        <item x="296"/>
        <item x="487"/>
        <item x="869"/>
        <item x="811"/>
        <item x="139"/>
        <item x="150"/>
        <item x="910"/>
        <item x="66"/>
        <item x="444"/>
        <item x="864"/>
        <item x="987"/>
        <item x="179"/>
        <item x="566"/>
        <item x="537"/>
        <item x="229"/>
        <item x="684"/>
        <item x="428"/>
        <item x="367"/>
        <item x="429"/>
        <item x="642"/>
        <item x="802"/>
        <item x="54"/>
        <item x="201"/>
        <item x="965"/>
        <item x="989"/>
        <item x="708"/>
        <item x="905"/>
        <item x="677"/>
        <item x="240"/>
        <item x="880"/>
        <item x="878"/>
        <item x="516"/>
        <item x="256"/>
        <item x="480"/>
        <item x="985"/>
        <item x="692"/>
        <item x="443"/>
        <item x="370"/>
        <item x="339"/>
        <item x="922"/>
        <item x="265"/>
        <item x="279"/>
        <item x="729"/>
        <item x="916"/>
        <item x="820"/>
        <item x="776"/>
        <item x="615"/>
        <item x="20"/>
        <item x="978"/>
        <item x="65"/>
        <item x="583"/>
        <item x="51"/>
        <item x="920"/>
        <item x="131"/>
        <item x="142"/>
        <item x="301"/>
        <item x="406"/>
        <item x="416"/>
        <item x="133"/>
        <item x="494"/>
        <item x="27"/>
        <item x="667"/>
        <item x="485"/>
        <item x="902"/>
        <item x="26"/>
        <item x="633"/>
        <item x="68"/>
        <item x="937"/>
        <item x="517"/>
        <item x="417"/>
        <item x="362"/>
        <item x="270"/>
        <item x="652"/>
        <item x="323"/>
        <item x="899"/>
        <item x="459"/>
        <item x="627"/>
        <item x="860"/>
        <item x="699"/>
        <item x="199"/>
        <item x="787"/>
        <item x="996"/>
        <item x="334"/>
        <item x="817"/>
        <item x="99"/>
        <item x="865"/>
        <item t="default"/>
      </items>
    </pivotField>
    <pivotField compact="0" showAll="0">
      <items count="1000">
        <item x="473"/>
        <item x="129"/>
        <item x="573"/>
        <item x="771"/>
        <item x="102"/>
        <item x="865"/>
        <item x="314"/>
        <item x="354"/>
        <item x="118"/>
        <item x="342"/>
        <item x="153"/>
        <item x="33"/>
        <item x="510"/>
        <item x="445"/>
        <item x="187"/>
        <item x="181"/>
        <item x="741"/>
        <item x="254"/>
        <item x="401"/>
        <item x="415"/>
        <item x="387"/>
        <item x="259"/>
        <item x="506"/>
        <item x="117"/>
        <item x="787"/>
        <item x="97"/>
        <item x="252"/>
        <item x="101"/>
        <item x="165"/>
        <item x="876"/>
        <item x="592"/>
        <item x="906"/>
        <item x="121"/>
        <item x="907"/>
        <item x="596"/>
        <item x="421"/>
        <item x="134"/>
        <item x="316"/>
        <item x="464"/>
        <item x="866"/>
        <item x="849"/>
        <item x="522"/>
        <item x="812"/>
        <item x="376"/>
        <item x="773"/>
        <item x="894"/>
        <item x="785"/>
        <item x="149"/>
        <item x="648"/>
        <item x="184"/>
        <item x="562"/>
        <item x="400"/>
        <item x="563"/>
        <item x="706"/>
        <item x="654"/>
        <item x="897"/>
        <item x="690"/>
        <item x="550"/>
        <item x="883"/>
        <item x="640"/>
        <item x="22"/>
        <item x="867"/>
        <item x="661"/>
        <item x="223"/>
        <item x="680"/>
        <item x="850"/>
        <item x="11"/>
        <item x="136"/>
        <item x="436"/>
        <item x="777"/>
        <item x="593"/>
        <item x="78"/>
        <item x="752"/>
        <item x="519"/>
        <item x="238"/>
        <item x="817"/>
        <item x="348"/>
        <item x="261"/>
        <item x="114"/>
        <item x="209"/>
        <item x="902"/>
        <item x="476"/>
        <item x="174"/>
        <item x="278"/>
        <item x="799"/>
        <item x="805"/>
        <item x="766"/>
        <item x="803"/>
        <item x="539"/>
        <item x="152"/>
        <item x="453"/>
        <item x="740"/>
        <item x="834"/>
        <item x="448"/>
        <item x="978"/>
        <item x="307"/>
        <item x="119"/>
        <item x="231"/>
        <item x="227"/>
        <item x="756"/>
        <item x="260"/>
        <item x="300"/>
        <item x="656"/>
        <item x="719"/>
        <item x="835"/>
        <item x="35"/>
        <item x="853"/>
        <item x="474"/>
        <item x="858"/>
        <item x="46"/>
        <item x="761"/>
        <item x="712"/>
        <item x="263"/>
        <item x="82"/>
        <item x="458"/>
        <item x="724"/>
        <item x="378"/>
        <item x="871"/>
        <item x="394"/>
        <item x="940"/>
        <item x="414"/>
        <item x="882"/>
        <item x="534"/>
        <item x="52"/>
        <item x="732"/>
        <item x="542"/>
        <item x="944"/>
        <item x="40"/>
        <item x="353"/>
        <item x="408"/>
        <item x="130"/>
        <item x="191"/>
        <item x="461"/>
        <item x="112"/>
        <item x="621"/>
        <item x="651"/>
        <item x="235"/>
        <item x="960"/>
        <item x="760"/>
        <item x="881"/>
        <item x="809"/>
        <item x="572"/>
        <item x="588"/>
        <item x="765"/>
        <item x="204"/>
        <item x="18"/>
        <item x="844"/>
        <item x="717"/>
        <item x="336"/>
        <item x="796"/>
        <item x="320"/>
        <item x="220"/>
        <item x="568"/>
        <item x="310"/>
        <item x="952"/>
        <item x="682"/>
        <item x="377"/>
        <item x="124"/>
        <item x="546"/>
        <item x="438"/>
        <item x="557"/>
        <item x="472"/>
        <item x="349"/>
        <item x="237"/>
        <item x="556"/>
        <item x="726"/>
        <item x="973"/>
        <item x="312"/>
        <item x="32"/>
        <item x="695"/>
        <item x="158"/>
        <item x="369"/>
        <item x="947"/>
        <item x="509"/>
        <item x="910"/>
        <item x="554"/>
        <item x="679"/>
        <item x="371"/>
        <item x="96"/>
        <item x="196"/>
        <item x="386"/>
        <item x="499"/>
        <item x="532"/>
        <item x="116"/>
        <item x="710"/>
        <item x="790"/>
        <item x="194"/>
        <item x="933"/>
        <item x="92"/>
        <item x="586"/>
        <item x="212"/>
        <item x="192"/>
        <item x="969"/>
        <item x="831"/>
        <item x="687"/>
        <item x="143"/>
        <item x="352"/>
        <item x="292"/>
        <item x="402"/>
        <item x="645"/>
        <item x="961"/>
        <item x="963"/>
        <item x="483"/>
        <item x="723"/>
        <item x="827"/>
        <item x="14"/>
        <item x="720"/>
        <item x="202"/>
        <item x="982"/>
        <item x="88"/>
        <item x="814"/>
        <item x="912"/>
        <item x="460"/>
        <item x="993"/>
        <item x="700"/>
        <item x="611"/>
        <item x="553"/>
        <item x="297"/>
        <item x="162"/>
        <item x="207"/>
        <item x="626"/>
        <item x="767"/>
        <item x="335"/>
        <item x="754"/>
        <item x="870"/>
        <item x="439"/>
        <item x="938"/>
        <item x="3"/>
        <item x="219"/>
        <item x="824"/>
        <item x="151"/>
        <item x="851"/>
        <item x="757"/>
        <item x="36"/>
        <item x="440"/>
        <item x="657"/>
        <item x="920"/>
        <item x="216"/>
        <item x="241"/>
        <item x="544"/>
        <item x="205"/>
        <item x="697"/>
        <item x="569"/>
        <item x="321"/>
        <item x="797"/>
        <item x="340"/>
        <item x="935"/>
        <item x="358"/>
        <item x="782"/>
        <item x="395"/>
        <item x="423"/>
        <item x="332"/>
        <item x="325"/>
        <item x="987"/>
        <item x="91"/>
        <item x="846"/>
        <item x="345"/>
        <item x="8"/>
        <item x="108"/>
        <item x="820"/>
        <item x="527"/>
        <item x="154"/>
        <item x="601"/>
        <item x="564"/>
        <item x="482"/>
        <item x="28"/>
        <item x="605"/>
        <item x="217"/>
        <item x="410"/>
        <item x="361"/>
        <item x="705"/>
        <item x="125"/>
        <item x="145"/>
        <item x="372"/>
        <item x="861"/>
        <item x="693"/>
        <item x="0"/>
        <item x="613"/>
        <item x="456"/>
        <item x="614"/>
        <item x="628"/>
        <item x="350"/>
        <item x="956"/>
        <item x="528"/>
        <item x="267"/>
        <item x="776"/>
        <item x="547"/>
        <item x="744"/>
        <item x="77"/>
        <item x="686"/>
        <item x="997"/>
        <item x="755"/>
        <item x="822"/>
        <item x="455"/>
        <item x="900"/>
        <item x="503"/>
        <item x="891"/>
        <item x="619"/>
        <item x="632"/>
        <item x="807"/>
        <item x="670"/>
        <item x="671"/>
        <item x="90"/>
        <item x="171"/>
        <item x="12"/>
        <item x="685"/>
        <item x="280"/>
        <item x="949"/>
        <item x="481"/>
        <item x="30"/>
        <item x="137"/>
        <item x="603"/>
        <item x="53"/>
        <item x="180"/>
        <item x="498"/>
        <item x="925"/>
        <item x="109"/>
        <item x="175"/>
        <item x="941"/>
        <item x="880"/>
        <item x="983"/>
        <item x="734"/>
        <item x="450"/>
        <item x="289"/>
        <item x="543"/>
        <item x="404"/>
        <item x="905"/>
        <item x="347"/>
        <item x="72"/>
        <item x="346"/>
        <item x="25"/>
        <item x="403"/>
        <item x="818"/>
        <item x="804"/>
        <item x="21"/>
        <item x="17"/>
        <item x="727"/>
        <item x="169"/>
        <item x="462"/>
        <item x="475"/>
        <item x="855"/>
        <item x="954"/>
        <item x="784"/>
        <item x="715"/>
        <item x="914"/>
        <item x="43"/>
        <item x="419"/>
        <item x="282"/>
        <item x="67"/>
        <item x="823"/>
        <item x="980"/>
        <item x="161"/>
        <item x="75"/>
        <item x="70"/>
        <item x="303"/>
        <item x="958"/>
        <item x="396"/>
        <item x="893"/>
        <item x="264"/>
        <item x="178"/>
        <item x="322"/>
        <item x="955"/>
        <item x="493"/>
        <item x="167"/>
        <item x="873"/>
        <item x="722"/>
        <item x="374"/>
        <item x="215"/>
        <item x="567"/>
        <item x="10"/>
        <item x="230"/>
        <item x="164"/>
        <item x="29"/>
        <item x="122"/>
        <item x="725"/>
        <item x="770"/>
        <item x="382"/>
        <item x="432"/>
        <item x="574"/>
        <item x="244"/>
        <item x="737"/>
        <item x="126"/>
        <item x="653"/>
        <item x="214"/>
        <item x="76"/>
        <item x="183"/>
        <item x="702"/>
        <item x="939"/>
        <item x="384"/>
        <item x="658"/>
        <item x="302"/>
        <item x="294"/>
        <item x="890"/>
        <item x="57"/>
        <item x="916"/>
        <item x="19"/>
        <item x="242"/>
        <item x="442"/>
        <item x="689"/>
        <item x="248"/>
        <item x="643"/>
        <item x="597"/>
        <item x="751"/>
        <item x="412"/>
        <item x="739"/>
        <item x="200"/>
        <item x="148"/>
        <item x="616"/>
        <item x="491"/>
        <item x="551"/>
        <item x="47"/>
        <item x="341"/>
        <item x="357"/>
        <item x="6"/>
        <item x="970"/>
        <item x="780"/>
        <item x="132"/>
        <item x="764"/>
        <item x="13"/>
        <item x="34"/>
        <item x="714"/>
        <item x="892"/>
        <item x="644"/>
        <item x="266"/>
        <item x="257"/>
        <item x="85"/>
        <item x="571"/>
        <item x="655"/>
        <item x="618"/>
        <item x="37"/>
        <item x="561"/>
        <item x="549"/>
        <item x="959"/>
        <item x="555"/>
        <item x="636"/>
        <item x="852"/>
        <item x="87"/>
        <item x="887"/>
        <item x="709"/>
        <item x="457"/>
        <item x="330"/>
        <item x="531"/>
        <item x="127"/>
        <item x="848"/>
        <item x="399"/>
        <item x="576"/>
        <item x="918"/>
        <item x="529"/>
        <item x="607"/>
        <item x="536"/>
        <item x="825"/>
        <item x="418"/>
        <item x="673"/>
        <item x="305"/>
        <item x="512"/>
        <item x="759"/>
        <item x="604"/>
        <item x="523"/>
        <item x="234"/>
        <item x="426"/>
        <item x="437"/>
        <item x="93"/>
        <item x="222"/>
        <item x="84"/>
        <item x="678"/>
        <item x="434"/>
        <item x="578"/>
        <item x="100"/>
        <item x="111"/>
        <item x="363"/>
        <item x="577"/>
        <item x="821"/>
        <item x="141"/>
        <item x="833"/>
        <item x="943"/>
        <item x="631"/>
        <item x="73"/>
        <item x="736"/>
        <item x="911"/>
        <item x="789"/>
        <item x="422"/>
        <item x="484"/>
        <item x="343"/>
        <item x="594"/>
        <item x="838"/>
        <item x="173"/>
        <item x="197"/>
        <item x="580"/>
        <item x="337"/>
        <item x="990"/>
        <item x="630"/>
        <item x="590"/>
        <item x="186"/>
        <item x="189"/>
        <item x="579"/>
        <item x="798"/>
        <item x="276"/>
        <item x="708"/>
        <item x="16"/>
        <item x="465"/>
        <item x="663"/>
        <item x="431"/>
        <item x="2"/>
        <item x="185"/>
        <item x="704"/>
        <item x="733"/>
        <item x="721"/>
        <item x="634"/>
        <item x="379"/>
        <item x="360"/>
        <item x="250"/>
        <item x="24"/>
        <item x="924"/>
        <item x="716"/>
        <item x="144"/>
        <item x="293"/>
        <item x="649"/>
        <item x="515"/>
        <item x="526"/>
        <item x="664"/>
        <item x="747"/>
        <item x="281"/>
        <item x="463"/>
        <item x="533"/>
        <item x="290"/>
        <item x="106"/>
        <item x="994"/>
        <item x="195"/>
        <item x="405"/>
        <item x="411"/>
        <item x="530"/>
        <item x="552"/>
        <item x="177"/>
        <item x="221"/>
        <item x="48"/>
        <item x="878"/>
        <item x="298"/>
        <item x="974"/>
        <item x="62"/>
        <item x="190"/>
        <item x="660"/>
        <item x="647"/>
        <item x="15"/>
        <item x="917"/>
        <item x="953"/>
        <item x="570"/>
        <item x="287"/>
        <item x="140"/>
        <item x="449"/>
        <item x="4"/>
        <item x="9"/>
        <item x="329"/>
        <item x="806"/>
        <item x="331"/>
        <item x="446"/>
        <item x="937"/>
        <item x="931"/>
        <item x="308"/>
        <item x="957"/>
        <item x="188"/>
        <item x="923"/>
        <item x="548"/>
        <item x="582"/>
        <item x="224"/>
        <item x="701"/>
        <item x="502"/>
        <item x="659"/>
        <item x="826"/>
        <item x="783"/>
        <item x="500"/>
        <item x="146"/>
        <item x="182"/>
        <item x="602"/>
        <item x="746"/>
        <item x="368"/>
        <item x="315"/>
        <item x="711"/>
        <item x="692"/>
        <item x="828"/>
        <item x="934"/>
        <item x="791"/>
        <item x="83"/>
        <item x="560"/>
        <item x="587"/>
        <item x="538"/>
        <item x="435"/>
        <item x="932"/>
        <item x="258"/>
        <item x="521"/>
        <item x="595"/>
        <item x="198"/>
        <item x="23"/>
        <item x="381"/>
        <item x="123"/>
        <item x="998"/>
        <item x="808"/>
        <item x="344"/>
        <item x="210"/>
        <item x="477"/>
        <item x="884"/>
        <item x="115"/>
        <item x="622"/>
        <item x="268"/>
        <item x="598"/>
        <item x="110"/>
        <item x="545"/>
        <item x="89"/>
        <item x="155"/>
        <item x="206"/>
        <item x="888"/>
        <item x="600"/>
        <item x="763"/>
        <item x="899"/>
        <item x="565"/>
        <item x="950"/>
        <item x="927"/>
        <item x="413"/>
        <item x="514"/>
        <item x="836"/>
        <item x="584"/>
        <item x="39"/>
        <item x="63"/>
        <item x="385"/>
        <item x="620"/>
        <item x="608"/>
        <item x="317"/>
        <item x="769"/>
        <item x="324"/>
        <item x="232"/>
        <item x="41"/>
        <item x="120"/>
        <item x="874"/>
        <item x="629"/>
        <item x="425"/>
        <item x="540"/>
        <item x="225"/>
        <item x="163"/>
        <item x="490"/>
        <item x="104"/>
        <item x="646"/>
        <item x="908"/>
        <item x="273"/>
        <item x="962"/>
        <item x="625"/>
        <item x="228"/>
        <item x="948"/>
        <item x="672"/>
        <item x="981"/>
        <item x="245"/>
        <item x="311"/>
        <item x="44"/>
        <item x="617"/>
        <item x="610"/>
        <item x="420"/>
        <item x="304"/>
        <item x="854"/>
        <item x="226"/>
        <item x="792"/>
        <item x="513"/>
        <item x="172"/>
        <item x="389"/>
        <item x="424"/>
        <item x="735"/>
        <item x="285"/>
        <item x="585"/>
        <item x="788"/>
        <item x="355"/>
        <item x="218"/>
        <item x="81"/>
        <item x="103"/>
        <item x="681"/>
        <item x="193"/>
        <item x="277"/>
        <item x="496"/>
        <item x="847"/>
        <item x="971"/>
        <item x="166"/>
        <item x="929"/>
        <item x="156"/>
        <item x="839"/>
        <item x="507"/>
        <item x="972"/>
        <item x="768"/>
        <item x="599"/>
        <item x="60"/>
        <item x="665"/>
        <item x="843"/>
        <item x="504"/>
        <item x="309"/>
        <item x="1"/>
        <item x="333"/>
        <item x="606"/>
        <item x="208"/>
        <item x="832"/>
        <item x="841"/>
        <item x="903"/>
        <item x="860"/>
        <item x="609"/>
        <item x="750"/>
        <item x="965"/>
        <item x="128"/>
        <item x="170"/>
        <item x="467"/>
        <item x="380"/>
        <item x="160"/>
        <item x="176"/>
        <item x="885"/>
        <item x="98"/>
        <item x="255"/>
        <item x="327"/>
        <item x="811"/>
        <item x="211"/>
        <item x="427"/>
        <item x="299"/>
        <item x="486"/>
        <item x="666"/>
        <item x="495"/>
        <item x="243"/>
        <item x="147"/>
        <item x="559"/>
        <item x="113"/>
        <item x="375"/>
        <item x="699"/>
        <item x="5"/>
        <item x="479"/>
        <item x="492"/>
        <item x="31"/>
        <item x="470"/>
        <item x="56"/>
        <item x="275"/>
        <item x="356"/>
        <item x="262"/>
        <item x="738"/>
        <item x="524"/>
        <item x="896"/>
        <item x="895"/>
        <item x="624"/>
        <item x="233"/>
        <item x="837"/>
        <item x="58"/>
        <item x="269"/>
        <item x="430"/>
        <item x="730"/>
        <item x="489"/>
        <item x="842"/>
        <item x="38"/>
        <item x="637"/>
        <item x="758"/>
        <item x="762"/>
        <item x="392"/>
        <item x="64"/>
        <item x="50"/>
        <item x="729"/>
        <item x="271"/>
        <item x="94"/>
        <item x="42"/>
        <item x="968"/>
        <item x="138"/>
        <item x="454"/>
        <item x="364"/>
        <item x="731"/>
        <item x="391"/>
        <item x="239"/>
        <item x="913"/>
        <item x="951"/>
        <item x="488"/>
        <item x="71"/>
        <item x="641"/>
        <item x="247"/>
        <item x="288"/>
        <item x="365"/>
        <item x="976"/>
        <item x="338"/>
        <item x="966"/>
        <item x="862"/>
        <item x="7"/>
        <item x="74"/>
        <item x="251"/>
        <item x="669"/>
        <item x="638"/>
        <item x="845"/>
        <item x="80"/>
        <item x="390"/>
        <item x="249"/>
        <item x="872"/>
        <item x="639"/>
        <item x="497"/>
        <item x="272"/>
        <item x="930"/>
        <item x="989"/>
        <item x="886"/>
        <item x="696"/>
        <item x="253"/>
        <item x="466"/>
        <item x="319"/>
        <item x="992"/>
        <item x="967"/>
        <item x="398"/>
        <item x="441"/>
        <item x="518"/>
        <item x="781"/>
        <item x="694"/>
        <item x="713"/>
        <item x="468"/>
        <item x="753"/>
        <item x="306"/>
        <item x="383"/>
        <item x="829"/>
        <item x="159"/>
        <item x="830"/>
        <item x="59"/>
        <item x="742"/>
        <item x="558"/>
        <item x="683"/>
        <item x="813"/>
        <item x="157"/>
        <item x="979"/>
        <item x="774"/>
        <item x="612"/>
        <item x="857"/>
        <item x="928"/>
        <item x="996"/>
        <item x="236"/>
        <item x="452"/>
        <item x="397"/>
        <item x="520"/>
        <item x="478"/>
        <item x="688"/>
        <item x="55"/>
        <item x="505"/>
        <item x="793"/>
        <item x="745"/>
        <item x="718"/>
        <item x="815"/>
        <item x="471"/>
        <item x="291"/>
        <item x="501"/>
        <item x="511"/>
        <item x="889"/>
        <item x="985"/>
        <item x="676"/>
        <item x="795"/>
        <item x="313"/>
        <item x="778"/>
        <item x="95"/>
        <item x="49"/>
        <item x="508"/>
        <item x="869"/>
        <item x="45"/>
        <item x="61"/>
        <item x="359"/>
        <item x="213"/>
        <item x="650"/>
        <item x="326"/>
        <item x="674"/>
        <item x="668"/>
        <item x="946"/>
        <item x="469"/>
        <item x="168"/>
        <item x="748"/>
        <item x="975"/>
        <item x="393"/>
        <item x="875"/>
        <item x="451"/>
        <item x="800"/>
        <item x="772"/>
        <item x="79"/>
        <item x="635"/>
        <item x="662"/>
        <item x="743"/>
        <item x="69"/>
        <item x="373"/>
        <item x="794"/>
        <item x="945"/>
        <item x="366"/>
        <item x="284"/>
        <item x="589"/>
        <item x="581"/>
        <item x="433"/>
        <item x="283"/>
        <item x="942"/>
        <item x="926"/>
        <item x="105"/>
        <item x="525"/>
        <item x="135"/>
        <item x="535"/>
        <item x="856"/>
        <item x="409"/>
        <item x="407"/>
        <item x="802"/>
        <item x="541"/>
        <item x="351"/>
        <item x="922"/>
        <item x="779"/>
        <item x="86"/>
        <item x="295"/>
        <item x="246"/>
        <item x="691"/>
        <item x="840"/>
        <item x="575"/>
        <item x="318"/>
        <item x="703"/>
        <item x="447"/>
        <item x="203"/>
        <item x="107"/>
        <item x="388"/>
        <item x="675"/>
        <item x="328"/>
        <item x="274"/>
        <item x="286"/>
        <item x="591"/>
        <item x="623"/>
        <item x="749"/>
        <item x="991"/>
        <item x="296"/>
        <item x="487"/>
        <item x="868"/>
        <item x="810"/>
        <item x="139"/>
        <item x="150"/>
        <item x="909"/>
        <item x="66"/>
        <item x="444"/>
        <item x="863"/>
        <item x="986"/>
        <item x="179"/>
        <item x="566"/>
        <item x="537"/>
        <item x="229"/>
        <item x="684"/>
        <item x="428"/>
        <item x="367"/>
        <item x="429"/>
        <item x="642"/>
        <item x="801"/>
        <item x="54"/>
        <item x="201"/>
        <item x="964"/>
        <item x="988"/>
        <item x="707"/>
        <item x="904"/>
        <item x="677"/>
        <item x="240"/>
        <item x="879"/>
        <item x="877"/>
        <item x="516"/>
        <item x="256"/>
        <item x="480"/>
        <item x="984"/>
        <item x="443"/>
        <item x="370"/>
        <item x="339"/>
        <item x="921"/>
        <item x="265"/>
        <item x="279"/>
        <item x="728"/>
        <item x="915"/>
        <item x="819"/>
        <item x="775"/>
        <item x="615"/>
        <item x="20"/>
        <item x="977"/>
        <item x="65"/>
        <item x="583"/>
        <item x="51"/>
        <item x="919"/>
        <item x="131"/>
        <item x="142"/>
        <item x="301"/>
        <item x="406"/>
        <item x="416"/>
        <item x="133"/>
        <item x="494"/>
        <item x="27"/>
        <item x="667"/>
        <item x="485"/>
        <item x="901"/>
        <item x="26"/>
        <item x="633"/>
        <item x="68"/>
        <item x="936"/>
        <item x="517"/>
        <item x="417"/>
        <item x="362"/>
        <item x="270"/>
        <item x="652"/>
        <item x="323"/>
        <item x="898"/>
        <item x="459"/>
        <item x="627"/>
        <item x="859"/>
        <item x="698"/>
        <item x="199"/>
        <item x="786"/>
        <item x="995"/>
        <item x="334"/>
        <item x="816"/>
        <item x="99"/>
        <item x="86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4" baseField="0" baseItem="0"/>
  </dataFields>
  <formats count="7">
    <format dxfId="49">
      <pivotArea collapsedLevelsAreSubtotals="1" fieldPosition="0"/>
    </format>
    <format dxfId="50">
      <pivotArea collapsedLevelsAreSubtotals="1" fieldPosition="0"/>
    </format>
    <format dxfId="51">
      <pivotArea collapsedLevelsAreSubtotals="1" fieldPosition="0"/>
    </format>
    <format dxfId="52">
      <pivotArea collapsedLevelsAreSubtotals="1" fieldPosition="0"/>
    </format>
    <format dxfId="53">
      <pivotArea collapsedLevelsAreSubtotals="1" fieldPosition="0"/>
    </format>
    <format dxfId="54">
      <pivotArea collapsedLevelsAreSubtotals="1" fieldPosition="0"/>
    </format>
    <format dxfId="55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28:D42" firstHeaderRow="1" firstDataRow="1" firstDataCol="1"/>
  <pivotFields count="18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3" showAll="0">
      <items count="870">
        <item x="431"/>
        <item x="128"/>
        <item x="102"/>
        <item x="758"/>
        <item x="298"/>
        <item x="178"/>
        <item x="248"/>
        <item x="120"/>
        <item x="532"/>
        <item x="389"/>
        <item x="133"/>
        <item x="759"/>
        <item x="498"/>
        <item x="22"/>
        <item x="11"/>
        <item x="78"/>
        <item x="229"/>
        <item x="113"/>
        <item x="203"/>
        <item x="787"/>
        <item x="171"/>
        <item x="490"/>
        <item x="149"/>
        <item x="411"/>
        <item x="292"/>
        <item x="52"/>
        <item x="493"/>
        <item x="40"/>
        <item x="377"/>
        <item x="129"/>
        <item x="111"/>
        <item x="676"/>
        <item x="514"/>
        <item x="198"/>
        <item x="18"/>
        <item x="317"/>
        <item x="213"/>
        <item x="295"/>
        <item x="123"/>
        <item x="326"/>
        <item x="228"/>
        <item x="647"/>
        <item x="32"/>
        <item x="155"/>
        <item x="465"/>
        <item x="793"/>
        <item x="96"/>
        <item x="115"/>
        <item x="189"/>
        <item x="92"/>
        <item x="159"/>
        <item x="201"/>
        <item x="316"/>
        <item x="671"/>
        <item x="403"/>
        <item x="3"/>
        <item x="36"/>
        <item x="210"/>
        <item x="199"/>
        <item x="303"/>
        <item x="334"/>
        <item x="366"/>
        <item x="307"/>
        <item x="858"/>
        <item x="91"/>
        <item x="8"/>
        <item x="151"/>
        <item x="172"/>
        <item x="654"/>
        <item x="413"/>
        <item x="275"/>
        <item x="790"/>
        <item x="72"/>
        <item x="325"/>
        <item x="25"/>
        <item x="373"/>
        <item x="318"/>
        <item x="563"/>
        <item x="528"/>
        <item x="183"/>
        <item x="16"/>
        <item x="2"/>
        <item x="245"/>
        <item x="437"/>
        <item x="855"/>
        <item x="330"/>
        <item x="117"/>
        <item x="322"/>
        <item x="150"/>
        <item x="33"/>
        <item x="466"/>
        <item x="408"/>
        <item x="184"/>
        <item x="462"/>
        <item x="116"/>
        <item x="697"/>
        <item x="97"/>
        <item x="242"/>
        <item x="101"/>
        <item x="162"/>
        <item x="744"/>
        <item x="476"/>
        <item x="714"/>
        <item x="350"/>
        <item x="685"/>
        <item x="779"/>
        <item x="695"/>
        <item x="147"/>
        <item x="580"/>
        <item x="181"/>
        <item x="506"/>
        <item x="371"/>
        <item x="507"/>
        <item x="630"/>
        <item x="585"/>
        <item x="782"/>
        <item x="615"/>
        <item x="118"/>
        <item x="223"/>
        <item x="219"/>
        <item x="673"/>
        <item x="249"/>
        <item x="285"/>
        <item x="587"/>
        <item x="640"/>
        <item x="732"/>
        <item x="35"/>
        <item x="746"/>
        <item x="432"/>
        <item x="751"/>
        <item x="46"/>
        <item x="677"/>
        <item x="634"/>
        <item x="251"/>
        <item x="82"/>
        <item x="420"/>
        <item x="645"/>
        <item x="351"/>
        <item x="762"/>
        <item x="365"/>
        <item x="819"/>
        <item x="383"/>
        <item x="768"/>
        <item x="206"/>
        <item x="187"/>
        <item x="843"/>
        <item x="729"/>
        <item x="612"/>
        <item x="141"/>
        <item x="329"/>
        <item x="278"/>
        <item x="372"/>
        <item x="577"/>
        <item x="835"/>
        <item x="837"/>
        <item x="440"/>
        <item x="644"/>
        <item x="725"/>
        <item x="14"/>
        <item x="641"/>
        <item x="196"/>
        <item x="854"/>
        <item x="88"/>
        <item x="716"/>
        <item x="795"/>
        <item x="422"/>
        <item x="863"/>
        <item x="624"/>
        <item x="546"/>
        <item x="508"/>
        <item x="439"/>
        <item x="28"/>
        <item x="540"/>
        <item x="211"/>
        <item x="379"/>
        <item x="337"/>
        <item x="629"/>
        <item x="124"/>
        <item x="143"/>
        <item x="346"/>
        <item x="754"/>
        <item x="619"/>
        <item x="0"/>
        <item x="548"/>
        <item x="418"/>
        <item x="549"/>
        <item x="561"/>
        <item x="327"/>
        <item x="831"/>
        <item x="481"/>
        <item x="255"/>
        <item x="688"/>
        <item x="495"/>
        <item x="662"/>
        <item x="77"/>
        <item x="611"/>
        <item x="867"/>
        <item x="672"/>
        <item x="721"/>
        <item x="417"/>
        <item x="785"/>
        <item x="459"/>
        <item x="776"/>
        <item x="554"/>
        <item x="565"/>
        <item x="710"/>
        <item x="598"/>
        <item x="599"/>
        <item x="90"/>
        <item x="168"/>
        <item x="12"/>
        <item x="610"/>
        <item x="266"/>
        <item x="825"/>
        <item x="438"/>
        <item x="30"/>
        <item x="135"/>
        <item x="538"/>
        <item x="53"/>
        <item x="177"/>
        <item x="455"/>
        <item x="807"/>
        <item x="108"/>
        <item x="708"/>
        <item x="21"/>
        <item x="17"/>
        <item x="648"/>
        <item x="166"/>
        <item x="423"/>
        <item x="433"/>
        <item x="748"/>
        <item x="829"/>
        <item x="694"/>
        <item x="637"/>
        <item x="797"/>
        <item x="43"/>
        <item x="387"/>
        <item x="268"/>
        <item x="67"/>
        <item x="722"/>
        <item x="852"/>
        <item x="158"/>
        <item x="75"/>
        <item x="70"/>
        <item x="288"/>
        <item x="833"/>
        <item x="367"/>
        <item x="778"/>
        <item x="252"/>
        <item x="175"/>
        <item x="304"/>
        <item x="830"/>
        <item x="450"/>
        <item x="164"/>
        <item x="764"/>
        <item x="643"/>
        <item x="348"/>
        <item x="209"/>
        <item x="511"/>
        <item x="10"/>
        <item x="222"/>
        <item x="161"/>
        <item x="29"/>
        <item x="121"/>
        <item x="646"/>
        <item x="683"/>
        <item x="355"/>
        <item x="398"/>
        <item x="515"/>
        <item x="234"/>
        <item x="657"/>
        <item x="125"/>
        <item x="584"/>
        <item x="208"/>
        <item x="76"/>
        <item x="180"/>
        <item x="626"/>
        <item x="818"/>
        <item x="357"/>
        <item x="588"/>
        <item x="287"/>
        <item x="280"/>
        <item x="775"/>
        <item x="57"/>
        <item x="799"/>
        <item x="19"/>
        <item x="232"/>
        <item x="405"/>
        <item x="614"/>
        <item x="238"/>
        <item x="575"/>
        <item x="533"/>
        <item x="669"/>
        <item x="381"/>
        <item x="659"/>
        <item x="194"/>
        <item x="146"/>
        <item x="551"/>
        <item x="448"/>
        <item x="499"/>
        <item x="47"/>
        <item x="321"/>
        <item x="333"/>
        <item x="6"/>
        <item x="844"/>
        <item x="691"/>
        <item x="131"/>
        <item x="680"/>
        <item x="13"/>
        <item x="34"/>
        <item x="636"/>
        <item x="777"/>
        <item x="576"/>
        <item x="254"/>
        <item x="246"/>
        <item x="85"/>
        <item x="513"/>
        <item x="586"/>
        <item x="553"/>
        <item x="37"/>
        <item x="505"/>
        <item x="497"/>
        <item x="834"/>
        <item x="501"/>
        <item x="569"/>
        <item x="745"/>
        <item x="87"/>
        <item x="772"/>
        <item x="632"/>
        <item x="419"/>
        <item x="312"/>
        <item x="484"/>
        <item x="126"/>
        <item x="743"/>
        <item x="370"/>
        <item x="517"/>
        <item x="801"/>
        <item x="482"/>
        <item x="542"/>
        <item x="487"/>
        <item x="723"/>
        <item x="386"/>
        <item x="601"/>
        <item x="290"/>
        <item x="468"/>
        <item x="675"/>
        <item x="539"/>
        <item x="477"/>
        <item x="226"/>
        <item x="393"/>
        <item x="402"/>
        <item x="93"/>
        <item x="215"/>
        <item x="84"/>
        <item x="606"/>
        <item x="400"/>
        <item x="519"/>
        <item x="100"/>
        <item x="110"/>
        <item x="339"/>
        <item x="518"/>
        <item x="720"/>
        <item x="139"/>
        <item x="731"/>
        <item x="821"/>
        <item x="564"/>
        <item x="73"/>
        <item x="656"/>
        <item x="794"/>
        <item x="699"/>
        <item x="390"/>
        <item x="441"/>
        <item x="323"/>
        <item x="530"/>
        <item x="735"/>
        <item x="170"/>
        <item x="191"/>
        <item x="520"/>
        <item x="182"/>
        <item x="628"/>
        <item x="653"/>
        <item x="642"/>
        <item x="567"/>
        <item x="352"/>
        <item x="336"/>
        <item x="240"/>
        <item x="24"/>
        <item x="806"/>
        <item x="638"/>
        <item x="142"/>
        <item x="279"/>
        <item x="581"/>
        <item x="471"/>
        <item x="480"/>
        <item x="592"/>
        <item x="665"/>
        <item x="267"/>
        <item x="424"/>
        <item x="485"/>
        <item x="276"/>
        <item x="106"/>
        <item x="864"/>
        <item x="190"/>
        <item x="374"/>
        <item x="380"/>
        <item x="483"/>
        <item x="500"/>
        <item x="174"/>
        <item x="214"/>
        <item x="48"/>
        <item x="767"/>
        <item x="283"/>
        <item x="847"/>
        <item x="62"/>
        <item x="186"/>
        <item x="590"/>
        <item x="579"/>
        <item x="15"/>
        <item x="800"/>
        <item x="828"/>
        <item x="512"/>
        <item x="273"/>
        <item x="138"/>
        <item x="412"/>
        <item x="4"/>
        <item x="9"/>
        <item x="311"/>
        <item x="709"/>
        <item x="313"/>
        <item x="409"/>
        <item x="817"/>
        <item x="813"/>
        <item x="293"/>
        <item x="832"/>
        <item x="185"/>
        <item x="805"/>
        <item x="496"/>
        <item x="522"/>
        <item x="216"/>
        <item x="625"/>
        <item x="458"/>
        <item x="589"/>
        <item x="724"/>
        <item x="693"/>
        <item x="456"/>
        <item x="144"/>
        <item x="179"/>
        <item x="537"/>
        <item x="664"/>
        <item x="344"/>
        <item x="299"/>
        <item x="633"/>
        <item x="618"/>
        <item x="726"/>
        <item x="815"/>
        <item x="700"/>
        <item x="83"/>
        <item x="504"/>
        <item x="526"/>
        <item x="489"/>
        <item x="401"/>
        <item x="814"/>
        <item x="247"/>
        <item x="475"/>
        <item x="531"/>
        <item x="192"/>
        <item x="23"/>
        <item x="354"/>
        <item x="122"/>
        <item x="868"/>
        <item x="711"/>
        <item x="324"/>
        <item x="204"/>
        <item x="434"/>
        <item x="769"/>
        <item x="114"/>
        <item x="556"/>
        <item x="256"/>
        <item x="534"/>
        <item x="109"/>
        <item x="494"/>
        <item x="89"/>
        <item x="152"/>
        <item x="200"/>
        <item x="773"/>
        <item x="536"/>
        <item x="679"/>
        <item x="784"/>
        <item x="509"/>
        <item x="826"/>
        <item x="809"/>
        <item x="382"/>
        <item x="470"/>
        <item x="733"/>
        <item x="524"/>
        <item x="39"/>
        <item x="63"/>
        <item x="358"/>
        <item x="555"/>
        <item x="543"/>
        <item x="300"/>
        <item x="682"/>
        <item x="306"/>
        <item x="224"/>
        <item x="41"/>
        <item x="119"/>
        <item x="765"/>
        <item x="562"/>
        <item x="392"/>
        <item x="491"/>
        <item x="217"/>
        <item x="160"/>
        <item x="447"/>
        <item x="104"/>
        <item x="578"/>
        <item x="791"/>
        <item x="261"/>
        <item x="836"/>
        <item x="559"/>
        <item x="220"/>
        <item x="824"/>
        <item x="600"/>
        <item x="853"/>
        <item x="235"/>
        <item x="296"/>
        <item x="44"/>
        <item x="552"/>
        <item x="545"/>
        <item x="388"/>
        <item x="289"/>
        <item x="747"/>
        <item x="218"/>
        <item x="701"/>
        <item x="469"/>
        <item x="169"/>
        <item x="360"/>
        <item x="391"/>
        <item x="655"/>
        <item x="271"/>
        <item x="525"/>
        <item x="698"/>
        <item x="331"/>
        <item x="212"/>
        <item x="81"/>
        <item x="103"/>
        <item x="607"/>
        <item x="188"/>
        <item x="264"/>
        <item x="453"/>
        <item x="742"/>
        <item x="845"/>
        <item x="163"/>
        <item x="811"/>
        <item x="153"/>
        <item x="736"/>
        <item x="463"/>
        <item x="846"/>
        <item x="681"/>
        <item x="535"/>
        <item x="60"/>
        <item x="593"/>
        <item x="740"/>
        <item x="460"/>
        <item x="294"/>
        <item x="1"/>
        <item x="314"/>
        <item x="541"/>
        <item x="202"/>
        <item x="730"/>
        <item x="738"/>
        <item x="788"/>
        <item x="753"/>
        <item x="544"/>
        <item x="668"/>
        <item x="839"/>
        <item x="127"/>
        <item x="167"/>
        <item x="426"/>
        <item x="353"/>
        <item x="157"/>
        <item x="173"/>
        <item x="770"/>
        <item x="98"/>
        <item x="244"/>
        <item x="309"/>
        <item x="713"/>
        <item x="205"/>
        <item x="394"/>
        <item x="284"/>
        <item x="443"/>
        <item x="594"/>
        <item x="452"/>
        <item x="233"/>
        <item x="145"/>
        <item x="503"/>
        <item x="112"/>
        <item x="349"/>
        <item x="623"/>
        <item x="5"/>
        <item x="436"/>
        <item x="449"/>
        <item x="31"/>
        <item x="429"/>
        <item x="56"/>
        <item x="263"/>
        <item x="332"/>
        <item x="250"/>
        <item x="658"/>
        <item x="478"/>
        <item x="781"/>
        <item x="780"/>
        <item x="558"/>
        <item x="225"/>
        <item x="734"/>
        <item x="58"/>
        <item x="257"/>
        <item x="397"/>
        <item x="651"/>
        <item x="446"/>
        <item x="739"/>
        <item x="38"/>
        <item x="570"/>
        <item x="674"/>
        <item x="678"/>
        <item x="363"/>
        <item x="64"/>
        <item x="50"/>
        <item x="650"/>
        <item x="259"/>
        <item x="94"/>
        <item x="42"/>
        <item x="842"/>
        <item x="136"/>
        <item x="416"/>
        <item x="340"/>
        <item x="652"/>
        <item x="362"/>
        <item x="230"/>
        <item x="796"/>
        <item x="827"/>
        <item x="445"/>
        <item x="71"/>
        <item x="573"/>
        <item x="237"/>
        <item x="274"/>
        <item x="341"/>
        <item x="849"/>
        <item x="319"/>
        <item x="840"/>
        <item x="755"/>
        <item x="7"/>
        <item x="74"/>
        <item x="241"/>
        <item x="597"/>
        <item x="571"/>
        <item x="741"/>
        <item x="80"/>
        <item x="361"/>
        <item x="239"/>
        <item x="763"/>
        <item x="572"/>
        <item x="454"/>
        <item x="260"/>
        <item x="812"/>
        <item x="860"/>
        <item x="771"/>
        <item x="621"/>
        <item x="243"/>
        <item x="425"/>
        <item x="302"/>
        <item x="862"/>
        <item x="841"/>
        <item x="369"/>
        <item x="404"/>
        <item x="473"/>
        <item x="692"/>
        <item x="620"/>
        <item x="635"/>
        <item x="427"/>
        <item x="670"/>
        <item x="291"/>
        <item x="356"/>
        <item x="727"/>
        <item x="156"/>
        <item x="728"/>
        <item x="59"/>
        <item x="660"/>
        <item x="502"/>
        <item x="608"/>
        <item x="715"/>
        <item x="154"/>
        <item x="851"/>
        <item x="686"/>
        <item x="547"/>
        <item x="750"/>
        <item x="810"/>
        <item x="866"/>
        <item x="227"/>
        <item x="415"/>
        <item x="368"/>
        <item x="474"/>
        <item x="435"/>
        <item x="613"/>
        <item x="55"/>
        <item x="461"/>
        <item x="702"/>
        <item x="663"/>
        <item x="639"/>
        <item x="717"/>
        <item x="430"/>
        <item x="277"/>
        <item x="457"/>
        <item x="467"/>
        <item x="774"/>
        <item x="856"/>
        <item x="604"/>
        <item x="704"/>
        <item x="297"/>
        <item x="689"/>
        <item x="95"/>
        <item x="49"/>
        <item x="464"/>
        <item x="761"/>
        <item x="45"/>
        <item x="61"/>
        <item x="335"/>
        <item x="207"/>
        <item x="582"/>
        <item x="308"/>
        <item x="602"/>
        <item x="596"/>
        <item x="823"/>
        <item x="428"/>
        <item x="165"/>
        <item x="666"/>
        <item x="848"/>
        <item x="364"/>
        <item x="766"/>
        <item x="414"/>
        <item x="705"/>
        <item x="684"/>
        <item x="79"/>
        <item x="568"/>
        <item x="591"/>
        <item x="661"/>
        <item x="69"/>
        <item x="347"/>
        <item x="703"/>
        <item x="822"/>
        <item x="342"/>
        <item x="270"/>
        <item x="527"/>
        <item x="521"/>
        <item x="399"/>
        <item x="269"/>
        <item x="820"/>
        <item x="808"/>
        <item x="105"/>
        <item x="479"/>
        <item x="134"/>
        <item x="486"/>
        <item x="749"/>
        <item x="378"/>
        <item x="376"/>
        <item x="707"/>
        <item x="492"/>
        <item x="328"/>
        <item x="804"/>
        <item x="690"/>
        <item x="86"/>
        <item x="281"/>
        <item x="236"/>
        <item x="616"/>
        <item x="737"/>
        <item x="516"/>
        <item x="301"/>
        <item x="627"/>
        <item x="410"/>
        <item x="197"/>
        <item x="107"/>
        <item x="359"/>
        <item x="603"/>
        <item x="310"/>
        <item x="262"/>
        <item x="272"/>
        <item x="529"/>
        <item x="557"/>
        <item x="667"/>
        <item x="861"/>
        <item x="282"/>
        <item x="444"/>
        <item x="760"/>
        <item x="712"/>
        <item x="137"/>
        <item x="148"/>
        <item x="792"/>
        <item x="66"/>
        <item x="407"/>
        <item x="756"/>
        <item x="857"/>
        <item x="176"/>
        <item x="510"/>
        <item x="488"/>
        <item x="221"/>
        <item x="609"/>
        <item x="395"/>
        <item x="343"/>
        <item x="396"/>
        <item x="574"/>
        <item x="706"/>
        <item x="54"/>
        <item x="195"/>
        <item x="838"/>
        <item x="859"/>
        <item x="631"/>
        <item x="789"/>
        <item x="605"/>
        <item x="231"/>
        <item x="617"/>
        <item x="406"/>
        <item x="345"/>
        <item x="320"/>
        <item x="803"/>
        <item x="253"/>
        <item x="265"/>
        <item x="649"/>
        <item x="798"/>
        <item x="719"/>
        <item x="687"/>
        <item x="550"/>
        <item x="20"/>
        <item x="850"/>
        <item x="65"/>
        <item x="523"/>
        <item x="51"/>
        <item x="802"/>
        <item x="130"/>
        <item x="140"/>
        <item x="286"/>
        <item x="375"/>
        <item x="384"/>
        <item x="132"/>
        <item x="451"/>
        <item x="27"/>
        <item x="595"/>
        <item x="442"/>
        <item x="786"/>
        <item x="26"/>
        <item x="566"/>
        <item x="68"/>
        <item x="816"/>
        <item x="472"/>
        <item x="385"/>
        <item x="338"/>
        <item x="258"/>
        <item x="583"/>
        <item x="305"/>
        <item x="783"/>
        <item x="421"/>
        <item x="560"/>
        <item x="752"/>
        <item x="622"/>
        <item x="193"/>
        <item x="696"/>
        <item x="865"/>
        <item x="315"/>
        <item x="718"/>
        <item x="99"/>
        <item x="757"/>
        <item t="default"/>
      </items>
    </pivotField>
    <pivotField compact="0" showAll="0">
      <items count="13">
        <item x="1"/>
        <item x="5"/>
        <item x="3"/>
        <item x="0"/>
        <item x="7"/>
        <item x="6"/>
        <item x="2"/>
        <item x="4"/>
        <item x="11"/>
        <item x="9"/>
        <item x="10"/>
        <item x="8"/>
        <item t="default"/>
      </items>
    </pivotField>
    <pivotField axis="axisRow" compact="0" sortType="ascending" showAll="0">
      <items count="14">
        <item x="7"/>
        <item x="11"/>
        <item x="8"/>
        <item x="2"/>
        <item x="0"/>
        <item x="12"/>
        <item x="4"/>
        <item x="9"/>
        <item x="1"/>
        <item x="3"/>
        <item x="5"/>
        <item x="10"/>
        <item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7">
        <item x="2"/>
        <item x="1"/>
        <item x="0"/>
        <item x="4"/>
        <item x="3"/>
        <item x="5"/>
        <item t="default"/>
      </items>
    </pivotField>
    <pivotField compact="0" showAll="0">
      <items count="6">
        <item x="4"/>
        <item x="2"/>
        <item x="1"/>
        <item x="3"/>
        <item x="0"/>
        <item t="default"/>
      </items>
    </pivotField>
    <pivotField compact="0" showAll="0">
      <items count="19">
        <item x="10"/>
        <item x="7"/>
        <item x="12"/>
        <item x="5"/>
        <item x="4"/>
        <item x="2"/>
        <item x="6"/>
        <item x="15"/>
        <item x="14"/>
        <item x="16"/>
        <item x="11"/>
        <item x="17"/>
        <item x="1"/>
        <item x="9"/>
        <item x="8"/>
        <item x="0"/>
        <item x="13"/>
        <item x="3"/>
        <item t="default"/>
      </items>
    </pivotField>
    <pivotField compact="0" showAll="0">
      <items count="54">
        <item x="27"/>
        <item x="10"/>
        <item x="20"/>
        <item x="7"/>
        <item x="16"/>
        <item x="3"/>
        <item x="11"/>
        <item x="46"/>
        <item x="40"/>
        <item x="49"/>
        <item x="24"/>
        <item x="34"/>
        <item x="30"/>
        <item x="51"/>
        <item x="37"/>
        <item x="42"/>
        <item x="44"/>
        <item x="15"/>
        <item x="26"/>
        <item x="17"/>
        <item x="19"/>
        <item x="0"/>
        <item x="50"/>
        <item x="14"/>
        <item x="23"/>
        <item x="38"/>
        <item x="6"/>
        <item x="39"/>
        <item x="43"/>
        <item x="33"/>
        <item x="2"/>
        <item x="21"/>
        <item x="45"/>
        <item x="52"/>
        <item x="18"/>
        <item x="29"/>
        <item x="9"/>
        <item x="13"/>
        <item x="8"/>
        <item x="35"/>
        <item x="28"/>
        <item x="12"/>
        <item x="31"/>
        <item x="25"/>
        <item x="4"/>
        <item x="22"/>
        <item x="41"/>
        <item x="5"/>
        <item x="1"/>
        <item x="48"/>
        <item x="32"/>
        <item x="36"/>
        <item x="47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4">
        <item x="6"/>
        <item x="5"/>
        <item m="1" x="12"/>
        <item x="1"/>
        <item x="2"/>
        <item x="8"/>
        <item x="4"/>
        <item x="10"/>
        <item x="11"/>
        <item x="3"/>
        <item x="9"/>
        <item x="7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1">
        <item x="4"/>
        <item x="9"/>
        <item x="3"/>
        <item x="1"/>
        <item x="0"/>
        <item x="6"/>
        <item x="7"/>
        <item x="2"/>
        <item x="5"/>
        <item x="8"/>
        <item t="default"/>
      </items>
    </pivotField>
    <pivotField compact="0" showAll="0">
      <items count="506">
        <item x="124"/>
        <item x="108"/>
        <item x="360"/>
        <item x="10"/>
        <item x="90"/>
        <item x="468"/>
        <item x="174"/>
        <item x="253"/>
        <item x="101"/>
        <item x="243"/>
        <item x="7"/>
        <item x="29"/>
        <item x="79"/>
        <item x="236"/>
        <item x="151"/>
        <item x="2"/>
        <item x="426"/>
        <item x="192"/>
        <item x="280"/>
        <item x="31"/>
        <item x="138"/>
        <item x="196"/>
        <item x="204"/>
        <item x="100"/>
        <item x="441"/>
        <item x="86"/>
        <item x="175"/>
        <item x="89"/>
        <item x="136"/>
        <item x="55"/>
        <item x="369"/>
        <item x="435"/>
        <item x="103"/>
        <item x="479"/>
        <item x="349"/>
        <item x="1"/>
        <item x="41"/>
        <item x="229"/>
        <item x="94"/>
        <item x="109"/>
        <item x="194"/>
        <item x="336"/>
        <item x="407"/>
        <item x="32"/>
        <item x="237"/>
        <item x="15"/>
        <item x="401"/>
        <item x="27"/>
        <item x="149"/>
        <item x="279"/>
        <item x="13"/>
        <item x="413"/>
        <item x="127"/>
        <item x="126"/>
        <item x="370"/>
        <item x="365"/>
        <item x="387"/>
        <item x="5"/>
        <item x="469"/>
        <item x="115"/>
        <item x="172"/>
        <item x="404"/>
        <item x="430"/>
        <item x="112"/>
        <item x="439"/>
        <item x="68"/>
        <item x="334"/>
        <item x="450"/>
        <item x="249"/>
        <item x="197"/>
        <item x="166"/>
        <item x="105"/>
        <item x="139"/>
        <item x="141"/>
        <item x="208"/>
        <item x="106"/>
        <item x="227"/>
        <item x="436"/>
        <item x="445"/>
        <item x="38"/>
        <item x="305"/>
        <item x="425"/>
        <item x="458"/>
        <item x="303"/>
        <item x="498"/>
        <item x="143"/>
        <item x="180"/>
        <item x="176"/>
        <item x="432"/>
        <item x="222"/>
        <item x="274"/>
        <item x="375"/>
        <item x="315"/>
        <item x="116"/>
        <item x="150"/>
        <item x="199"/>
        <item x="72"/>
        <item x="49"/>
        <item x="267"/>
        <item x="471"/>
        <item x="129"/>
        <item x="343"/>
        <item x="46"/>
        <item x="268"/>
        <item x="207"/>
        <item x="21"/>
        <item x="36"/>
        <item x="284"/>
        <item x="74"/>
        <item x="308"/>
        <item x="378"/>
        <item x="330"/>
        <item x="179"/>
        <item x="434"/>
        <item x="8"/>
        <item x="359"/>
        <item x="367"/>
        <item x="121"/>
        <item x="163"/>
        <item x="16"/>
        <item x="220"/>
        <item x="325"/>
        <item x="223"/>
        <item x="35"/>
        <item x="358"/>
        <item x="225"/>
        <item x="118"/>
        <item x="405"/>
        <item x="211"/>
        <item x="347"/>
        <item x="297"/>
        <item x="352"/>
        <item x="314"/>
        <item x="250"/>
        <item x="183"/>
        <item x="496"/>
        <item x="28"/>
        <item x="410"/>
        <item x="131"/>
        <item x="262"/>
        <item x="160"/>
        <item x="122"/>
        <item x="288"/>
        <item x="350"/>
        <item x="62"/>
        <item x="133"/>
        <item x="85"/>
        <item x="157"/>
        <item x="164"/>
        <item x="99"/>
        <item x="415"/>
        <item x="156"/>
        <item x="81"/>
        <item x="39"/>
        <item x="168"/>
        <item x="154"/>
        <item x="457"/>
        <item x="148"/>
        <item x="224"/>
        <item x="389"/>
        <item x="495"/>
        <item x="24"/>
        <item x="419"/>
        <item x="408"/>
        <item x="161"/>
        <item x="500"/>
        <item x="78"/>
        <item x="4"/>
        <item x="502"/>
        <item x="201"/>
        <item x="245"/>
        <item x="48"/>
        <item x="47"/>
        <item x="165"/>
        <item x="381"/>
        <item x="240"/>
        <item x="3"/>
        <item x="453"/>
        <item x="461"/>
        <item x="433"/>
        <item x="87"/>
        <item x="392"/>
        <item x="484"/>
        <item x="170"/>
        <item x="186"/>
        <item x="20"/>
        <item x="411"/>
        <item x="289"/>
        <item x="134"/>
        <item x="242"/>
        <item x="256"/>
        <item x="12"/>
        <item x="276"/>
        <item x="290"/>
        <item x="238"/>
        <item x="71"/>
        <item x="326"/>
        <item x="80"/>
        <item x="460"/>
        <item x="246"/>
        <item x="339"/>
        <item x="125"/>
        <item x="355"/>
        <item x="169"/>
        <item x="285"/>
        <item x="257"/>
        <item x="328"/>
        <item x="107"/>
        <item x="120"/>
        <item x="264"/>
        <item x="466"/>
        <item x="272"/>
        <item x="0"/>
        <item x="374"/>
        <item x="251"/>
        <item x="438"/>
        <item x="428"/>
        <item x="67"/>
        <item x="351"/>
        <item x="283"/>
        <item x="431"/>
        <item x="452"/>
        <item x="383"/>
        <item x="178"/>
        <item x="397"/>
        <item x="11"/>
        <item x="210"/>
        <item x="403"/>
        <item x="26"/>
        <item x="92"/>
        <item x="147"/>
        <item x="488"/>
        <item x="142"/>
        <item x="241"/>
        <item x="345"/>
        <item x="281"/>
        <item x="235"/>
        <item x="248"/>
        <item x="63"/>
        <item x="247"/>
        <item x="137"/>
        <item x="226"/>
        <item x="446"/>
        <item x="293"/>
        <item x="463"/>
        <item x="340"/>
        <item x="480"/>
        <item x="287"/>
        <item x="58"/>
        <item x="298"/>
        <item x="66"/>
        <item x="61"/>
        <item x="91"/>
        <item x="277"/>
        <item x="273"/>
        <item x="200"/>
        <item x="145"/>
        <item x="232"/>
        <item x="472"/>
        <item x="265"/>
        <item x="357"/>
        <item x="135"/>
        <item x="25"/>
        <item x="104"/>
        <item x="420"/>
        <item x="437"/>
        <item x="270"/>
        <item x="64"/>
        <item x="391"/>
        <item x="43"/>
        <item x="412"/>
        <item x="51"/>
        <item x="50"/>
        <item x="482"/>
        <item x="17"/>
        <item x="188"/>
        <item x="52"/>
        <item x="123"/>
        <item x="376"/>
        <item x="73"/>
        <item x="69"/>
        <item x="42"/>
        <item x="216"/>
        <item x="6"/>
        <item x="110"/>
        <item x="30"/>
        <item x="128"/>
        <item x="451"/>
        <item x="388"/>
        <item x="195"/>
        <item x="75"/>
        <item x="244"/>
        <item x="33"/>
        <item x="354"/>
        <item x="493"/>
        <item x="77"/>
        <item x="476"/>
        <item x="414"/>
        <item x="342"/>
        <item x="278"/>
        <item x="473"/>
        <item x="371"/>
        <item x="454"/>
        <item x="399"/>
        <item x="337"/>
        <item x="296"/>
        <item x="82"/>
        <item x="171"/>
        <item x="294"/>
        <item x="88"/>
        <item x="96"/>
        <item x="310"/>
        <item x="255"/>
        <item x="382"/>
        <item x="424"/>
        <item x="261"/>
        <item x="44"/>
        <item x="158"/>
        <item x="333"/>
        <item x="368"/>
        <item x="153"/>
        <item x="362"/>
        <item x="206"/>
        <item x="390"/>
        <item x="14"/>
        <item x="309"/>
        <item x="394"/>
        <item x="53"/>
        <item x="423"/>
        <item x="418"/>
        <item x="76"/>
        <item x="190"/>
        <item x="487"/>
        <item x="417"/>
        <item x="119"/>
        <item x="218"/>
        <item x="332"/>
        <item x="140"/>
        <item x="503"/>
        <item x="282"/>
        <item x="286"/>
        <item x="341"/>
        <item x="144"/>
        <item x="221"/>
        <item x="483"/>
        <item x="295"/>
        <item x="202"/>
        <item x="215"/>
        <item x="304"/>
        <item x="9"/>
        <item x="447"/>
        <item x="301"/>
        <item x="491"/>
        <item x="489"/>
        <item x="152"/>
        <item x="486"/>
        <item x="348"/>
        <item x="363"/>
        <item x="173"/>
        <item x="393"/>
        <item x="203"/>
        <item x="324"/>
        <item x="97"/>
        <item x="416"/>
        <item x="490"/>
        <item x="299"/>
        <item x="353"/>
        <item x="366"/>
        <item x="19"/>
        <item x="269"/>
        <item x="70"/>
        <item x="475"/>
        <item x="98"/>
        <item x="379"/>
        <item x="95"/>
        <item x="346"/>
        <item x="477"/>
        <item x="184"/>
        <item x="319"/>
        <item x="372"/>
        <item x="234"/>
        <item x="37"/>
        <item x="102"/>
        <item x="322"/>
        <item x="494"/>
        <item x="380"/>
        <item x="177"/>
        <item x="398"/>
        <item x="499"/>
        <item x="40"/>
        <item x="377"/>
        <item x="373"/>
        <item x="462"/>
        <item x="45"/>
        <item x="331"/>
        <item x="291"/>
        <item x="217"/>
        <item x="213"/>
        <item x="442"/>
        <item x="254"/>
        <item x="155"/>
        <item x="327"/>
        <item x="478"/>
        <item x="465"/>
        <item x="57"/>
        <item x="302"/>
        <item x="193"/>
        <item x="233"/>
        <item x="448"/>
        <item x="167"/>
        <item x="292"/>
        <item x="318"/>
        <item x="266"/>
        <item x="316"/>
        <item x="205"/>
        <item x="198"/>
        <item x="159"/>
        <item x="56"/>
        <item x="181"/>
        <item x="459"/>
        <item x="421"/>
        <item x="321"/>
        <item x="34"/>
        <item x="385"/>
        <item x="313"/>
        <item x="83"/>
        <item x="113"/>
        <item x="306"/>
        <item x="259"/>
        <item x="422"/>
        <item x="300"/>
        <item x="320"/>
        <item x="65"/>
        <item x="191"/>
        <item x="396"/>
        <item x="386"/>
        <item x="189"/>
        <item x="323"/>
        <item x="231"/>
        <item x="409"/>
        <item x="311"/>
        <item x="271"/>
        <item x="455"/>
        <item x="132"/>
        <item x="456"/>
        <item x="130"/>
        <item x="260"/>
        <item x="182"/>
        <item x="18"/>
        <item x="335"/>
        <item x="449"/>
        <item x="228"/>
        <item x="84"/>
        <item x="329"/>
        <item x="470"/>
        <item x="54"/>
        <item x="312"/>
        <item x="429"/>
        <item x="497"/>
        <item x="275"/>
        <item x="474"/>
        <item x="384"/>
        <item x="427"/>
        <item x="60"/>
        <item x="492"/>
        <item x="317"/>
        <item x="212"/>
        <item x="338"/>
        <item x="111"/>
        <item x="464"/>
        <item x="444"/>
        <item x="344"/>
        <item x="252"/>
        <item x="485"/>
        <item x="440"/>
        <item x="219"/>
        <item x="187"/>
        <item x="361"/>
        <item x="230"/>
        <item x="162"/>
        <item x="93"/>
        <item x="400"/>
        <item x="214"/>
        <item x="501"/>
        <item x="114"/>
        <item x="146"/>
        <item x="356"/>
        <item x="406"/>
        <item x="443"/>
        <item x="402"/>
        <item x="185"/>
        <item x="263"/>
        <item x="209"/>
        <item x="481"/>
        <item x="364"/>
        <item x="117"/>
        <item x="23"/>
        <item x="395"/>
        <item x="22"/>
        <item x="59"/>
        <item x="258"/>
        <item x="307"/>
        <item x="504"/>
        <item x="239"/>
        <item x="467"/>
        <item t="default"/>
      </items>
    </pivotField>
    <pivotField compact="0" showAll="0">
      <items count="6">
        <item x="4"/>
        <item x="0"/>
        <item x="2"/>
        <item x="1"/>
        <item x="3"/>
        <item t="default"/>
      </items>
    </pivotField>
    <pivotField dataField="1" compact="0" showAll="0">
      <items count="881">
        <item x="441"/>
        <item x="125"/>
        <item x="51"/>
        <item x="691"/>
        <item x="100"/>
        <item x="769"/>
        <item x="298"/>
        <item x="335"/>
        <item x="114"/>
        <item x="323"/>
        <item x="148"/>
        <item x="33"/>
        <item x="472"/>
        <item x="417"/>
        <item x="180"/>
        <item x="175"/>
        <item x="668"/>
        <item x="243"/>
        <item x="379"/>
        <item x="393"/>
        <item x="366"/>
        <item x="248"/>
        <item x="468"/>
        <item x="113"/>
        <item x="704"/>
        <item x="96"/>
        <item x="241"/>
        <item x="99"/>
        <item x="159"/>
        <item x="778"/>
        <item x="545"/>
        <item x="801"/>
        <item x="117"/>
        <item x="802"/>
        <item x="549"/>
        <item x="120"/>
        <item x="130"/>
        <item x="300"/>
        <item x="434"/>
        <item x="770"/>
        <item x="753"/>
        <item x="484"/>
        <item x="724"/>
        <item x="356"/>
        <item x="693"/>
        <item x="792"/>
        <item x="703"/>
        <item x="145"/>
        <item x="82"/>
        <item x="178"/>
        <item x="520"/>
        <item x="378"/>
        <item x="521"/>
        <item x="643"/>
        <item x="599"/>
        <item x="794"/>
        <item x="627"/>
        <item x="509"/>
        <item x="784"/>
        <item x="589"/>
        <item x="22"/>
        <item x="447"/>
        <item x="606"/>
        <item x="213"/>
        <item x="620"/>
        <item x="754"/>
        <item x="11"/>
        <item x="132"/>
        <item x="409"/>
        <item x="696"/>
        <item x="546"/>
        <item x="77"/>
        <item x="236"/>
        <item x="481"/>
        <item x="227"/>
        <item x="726"/>
        <item x="329"/>
        <item x="250"/>
        <item x="110"/>
        <item x="200"/>
        <item x="798"/>
        <item x="443"/>
        <item x="168"/>
        <item x="267"/>
        <item x="713"/>
        <item x="718"/>
        <item x="687"/>
        <item x="716"/>
        <item x="499"/>
        <item x="147"/>
        <item x="425"/>
        <item x="667"/>
        <item x="740"/>
        <item x="420"/>
        <item x="863"/>
        <item x="115"/>
        <item x="220"/>
        <item x="8"/>
        <item x="680"/>
        <item x="249"/>
        <item x="287"/>
        <item x="601"/>
        <item x="654"/>
        <item x="741"/>
        <item x="35"/>
        <item x="757"/>
        <item x="442"/>
        <item x="762"/>
        <item x="46"/>
        <item x="684"/>
        <item x="649"/>
        <item x="252"/>
        <item x="81"/>
        <item x="429"/>
        <item x="333"/>
        <item x="358"/>
        <item x="773"/>
        <item x="372"/>
        <item x="832"/>
        <item x="392"/>
        <item x="783"/>
        <item x="495"/>
        <item x="52"/>
        <item x="660"/>
        <item x="502"/>
        <item x="836"/>
        <item x="40"/>
        <item x="334"/>
        <item x="386"/>
        <item x="126"/>
        <item x="184"/>
        <item x="431"/>
        <item x="108"/>
        <item x="570"/>
        <item x="596"/>
        <item x="224"/>
        <item x="848"/>
        <item x="683"/>
        <item x="782"/>
        <item x="722"/>
        <item x="530"/>
        <item x="542"/>
        <item x="686"/>
        <item x="195"/>
        <item x="18"/>
        <item x="749"/>
        <item x="341"/>
        <item x="712"/>
        <item x="304"/>
        <item x="210"/>
        <item x="526"/>
        <item x="294"/>
        <item x="841"/>
        <item x="316"/>
        <item x="357"/>
        <item x="506"/>
        <item x="411"/>
        <item x="516"/>
        <item x="440"/>
        <item x="330"/>
        <item x="226"/>
        <item x="515"/>
        <item x="310"/>
        <item x="860"/>
        <item x="296"/>
        <item x="32"/>
        <item x="633"/>
        <item x="153"/>
        <item x="349"/>
        <item x="208"/>
        <item x="471"/>
        <item x="803"/>
        <item x="513"/>
        <item x="619"/>
        <item x="351"/>
        <item x="95"/>
        <item x="34"/>
        <item x="365"/>
        <item x="462"/>
        <item x="291"/>
        <item x="112"/>
        <item x="647"/>
        <item x="707"/>
        <item x="187"/>
        <item x="825"/>
        <item x="91"/>
        <item x="43"/>
        <item x="202"/>
        <item x="185"/>
        <item x="856"/>
        <item x="739"/>
        <item x="139"/>
        <item x="280"/>
        <item x="380"/>
        <item x="593"/>
        <item x="849"/>
        <item x="851"/>
        <item x="448"/>
        <item x="656"/>
        <item x="735"/>
        <item x="14"/>
        <item x="655"/>
        <item x="193"/>
        <item x="865"/>
        <item x="87"/>
        <item x="805"/>
        <item x="263"/>
        <item x="875"/>
        <item x="638"/>
        <item x="562"/>
        <item x="512"/>
        <item x="284"/>
        <item x="123"/>
        <item x="198"/>
        <item x="575"/>
        <item x="688"/>
        <item x="317"/>
        <item x="679"/>
        <item x="301"/>
        <item x="412"/>
        <item x="830"/>
        <item x="3"/>
        <item x="209"/>
        <item x="732"/>
        <item x="146"/>
        <item x="755"/>
        <item x="681"/>
        <item x="36"/>
        <item x="413"/>
        <item x="602"/>
        <item x="813"/>
        <item x="206"/>
        <item x="230"/>
        <item x="504"/>
        <item x="196"/>
        <item x="635"/>
        <item x="527"/>
        <item x="305"/>
        <item x="107"/>
        <item x="321"/>
        <item x="827"/>
        <item x="339"/>
        <item x="700"/>
        <item x="373"/>
        <item x="399"/>
        <item x="315"/>
        <item x="309"/>
        <item x="869"/>
        <item x="90"/>
        <item x="751"/>
        <item x="326"/>
        <item x="89"/>
        <item x="728"/>
        <item x="489"/>
        <item x="149"/>
        <item x="552"/>
        <item x="522"/>
        <item x="28"/>
        <item x="556"/>
        <item x="207"/>
        <item x="388"/>
        <item x="342"/>
        <item x="642"/>
        <item x="121"/>
        <item x="141"/>
        <item x="352"/>
        <item x="765"/>
        <item x="631"/>
        <item x="0"/>
        <item x="563"/>
        <item x="428"/>
        <item x="564"/>
        <item x="577"/>
        <item x="331"/>
        <item x="844"/>
        <item x="490"/>
        <item x="256"/>
        <item x="695"/>
        <item x="186"/>
        <item x="671"/>
        <item x="76"/>
        <item x="624"/>
        <item x="879"/>
        <item x="439"/>
        <item x="730"/>
        <item x="427"/>
        <item x="797"/>
        <item x="466"/>
        <item x="789"/>
        <item x="221"/>
        <item x="581"/>
        <item x="720"/>
        <item x="611"/>
        <item x="612"/>
        <item x="165"/>
        <item x="12"/>
        <item x="623"/>
        <item x="269"/>
        <item x="839"/>
        <item x="318"/>
        <item x="30"/>
        <item x="133"/>
        <item x="554"/>
        <item x="174"/>
        <item x="461"/>
        <item x="818"/>
        <item x="105"/>
        <item x="169"/>
        <item x="833"/>
        <item x="781"/>
        <item x="482"/>
        <item x="662"/>
        <item x="422"/>
        <item x="277"/>
        <item x="503"/>
        <item x="382"/>
        <item x="223"/>
        <item x="328"/>
        <item x="71"/>
        <item x="327"/>
        <item x="25"/>
        <item x="381"/>
        <item x="727"/>
        <item x="717"/>
        <item x="21"/>
        <item x="17"/>
        <item x="658"/>
        <item x="163"/>
        <item x="432"/>
        <item x="403"/>
        <item x="759"/>
        <item x="288"/>
        <item x="702"/>
        <item x="651"/>
        <item x="807"/>
        <item x="396"/>
        <item x="271"/>
        <item x="66"/>
        <item x="731"/>
        <item x="597"/>
        <item x="156"/>
        <item x="74"/>
        <item x="69"/>
        <item x="290"/>
        <item x="846"/>
        <item x="374"/>
        <item x="791"/>
        <item x="253"/>
        <item x="172"/>
        <item x="306"/>
        <item x="843"/>
        <item x="458"/>
        <item x="161"/>
        <item x="775"/>
        <item x="354"/>
        <item x="205"/>
        <item x="525"/>
        <item x="10"/>
        <item x="219"/>
        <item x="158"/>
        <item x="29"/>
        <item x="118"/>
        <item x="657"/>
        <item x="690"/>
        <item x="361"/>
        <item x="531"/>
        <item x="233"/>
        <item x="665"/>
        <item x="122"/>
        <item x="598"/>
        <item x="204"/>
        <item x="75"/>
        <item x="177"/>
        <item x="831"/>
        <item x="363"/>
        <item x="603"/>
        <item x="289"/>
        <item x="282"/>
        <item x="788"/>
        <item x="56"/>
        <item x="809"/>
        <item x="19"/>
        <item x="231"/>
        <item x="414"/>
        <item x="626"/>
        <item x="237"/>
        <item x="529"/>
        <item x="550"/>
        <item x="677"/>
        <item x="390"/>
        <item x="666"/>
        <item x="192"/>
        <item x="144"/>
        <item x="566"/>
        <item x="456"/>
        <item x="510"/>
        <item x="47"/>
        <item x="322"/>
        <item x="338"/>
        <item x="6"/>
        <item x="857"/>
        <item x="698"/>
        <item x="128"/>
        <item x="568"/>
        <item x="13"/>
        <item x="790"/>
        <item x="592"/>
        <item x="255"/>
        <item x="246"/>
        <item x="84"/>
        <item x="600"/>
        <item x="37"/>
        <item x="519"/>
        <item x="508"/>
        <item x="847"/>
        <item x="514"/>
        <item x="585"/>
        <item x="756"/>
        <item x="86"/>
        <item x="787"/>
        <item x="646"/>
        <item x="313"/>
        <item x="493"/>
        <item x="752"/>
        <item x="377"/>
        <item x="53"/>
        <item x="811"/>
        <item x="491"/>
        <item x="558"/>
        <item x="733"/>
        <item x="395"/>
        <item x="614"/>
        <item x="474"/>
        <item x="555"/>
        <item x="485"/>
        <item x="410"/>
        <item x="92"/>
        <item x="212"/>
        <item x="83"/>
        <item x="618"/>
        <item x="407"/>
        <item x="98"/>
        <item x="344"/>
        <item x="533"/>
        <item x="729"/>
        <item x="137"/>
        <item x="835"/>
        <item x="580"/>
        <item x="72"/>
        <item x="664"/>
        <item x="804"/>
        <item x="706"/>
        <item x="398"/>
        <item x="449"/>
        <item x="324"/>
        <item x="547"/>
        <item x="744"/>
        <item x="167"/>
        <item x="189"/>
        <item x="535"/>
        <item x="872"/>
        <item x="579"/>
        <item x="543"/>
        <item x="179"/>
        <item x="182"/>
        <item x="534"/>
        <item x="299"/>
        <item x="265"/>
        <item x="645"/>
        <item x="16"/>
        <item x="435"/>
        <item x="607"/>
        <item x="405"/>
        <item x="2"/>
        <item x="641"/>
        <item x="661"/>
        <item x="337"/>
        <item x="583"/>
        <item x="218"/>
        <item x="239"/>
        <item x="24"/>
        <item x="817"/>
        <item x="652"/>
        <item x="140"/>
        <item x="281"/>
        <item x="311"/>
        <item x="477"/>
        <item x="488"/>
        <item x="673"/>
        <item x="270"/>
        <item x="433"/>
        <item x="494"/>
        <item x="278"/>
        <item x="103"/>
        <item x="876"/>
        <item x="188"/>
        <item x="383"/>
        <item x="389"/>
        <item x="492"/>
        <item x="511"/>
        <item x="171"/>
        <item x="211"/>
        <item x="48"/>
        <item x="780"/>
        <item x="285"/>
        <item x="861"/>
        <item x="61"/>
        <item x="183"/>
        <item x="605"/>
        <item x="594"/>
        <item x="15"/>
        <item x="810"/>
        <item x="842"/>
        <item x="528"/>
        <item x="276"/>
        <item x="136"/>
        <item x="421"/>
        <item x="4"/>
        <item x="9"/>
        <item x="312"/>
        <item x="719"/>
        <item x="314"/>
        <item x="418"/>
        <item x="829"/>
        <item x="824"/>
        <item x="845"/>
        <item x="181"/>
        <item x="816"/>
        <item x="507"/>
        <item x="537"/>
        <item x="214"/>
        <item x="639"/>
        <item x="465"/>
        <item x="604"/>
        <item x="734"/>
        <item x="701"/>
        <item x="463"/>
        <item x="142"/>
        <item x="176"/>
        <item x="553"/>
        <item x="672"/>
        <item x="348"/>
        <item x="648"/>
        <item x="630"/>
        <item x="736"/>
        <item x="826"/>
        <item x="708"/>
        <item x="518"/>
        <item x="541"/>
        <item x="498"/>
        <item x="408"/>
        <item x="247"/>
        <item x="483"/>
        <item x="548"/>
        <item x="190"/>
        <item x="23"/>
        <item x="360"/>
        <item x="119"/>
        <item x="721"/>
        <item x="325"/>
        <item x="164"/>
        <item x="111"/>
        <item x="571"/>
        <item x="257"/>
        <item x="551"/>
        <item x="106"/>
        <item x="505"/>
        <item x="88"/>
        <item x="150"/>
        <item x="197"/>
        <item x="228"/>
        <item x="685"/>
        <item x="796"/>
        <item x="523"/>
        <item x="820"/>
        <item x="391"/>
        <item x="476"/>
        <item x="742"/>
        <item x="539"/>
        <item x="39"/>
        <item x="62"/>
        <item x="364"/>
        <item x="569"/>
        <item x="559"/>
        <item x="689"/>
        <item x="308"/>
        <item x="41"/>
        <item x="116"/>
        <item x="776"/>
        <item x="578"/>
        <item x="401"/>
        <item x="500"/>
        <item x="215"/>
        <item x="157"/>
        <item x="455"/>
        <item x="101"/>
        <item x="254"/>
        <item x="262"/>
        <item x="850"/>
        <item x="574"/>
        <item x="217"/>
        <item x="838"/>
        <item x="613"/>
        <item x="864"/>
        <item x="234"/>
        <item x="295"/>
        <item x="44"/>
        <item x="567"/>
        <item x="561"/>
        <item x="397"/>
        <item x="758"/>
        <item x="216"/>
        <item x="709"/>
        <item x="475"/>
        <item x="166"/>
        <item x="367"/>
        <item x="400"/>
        <item x="663"/>
        <item x="274"/>
        <item x="540"/>
        <item x="705"/>
        <item x="336"/>
        <item x="80"/>
        <item x="54"/>
        <item x="621"/>
        <item x="266"/>
        <item x="45"/>
        <item x="858"/>
        <item x="160"/>
        <item x="822"/>
        <item x="151"/>
        <item x="745"/>
        <item x="469"/>
        <item x="859"/>
        <item x="650"/>
        <item x="59"/>
        <item x="748"/>
        <item x="467"/>
        <item x="293"/>
        <item x="1"/>
        <item x="557"/>
        <item x="199"/>
        <item x="67"/>
        <item x="747"/>
        <item x="799"/>
        <item x="764"/>
        <item x="560"/>
        <item x="676"/>
        <item x="853"/>
        <item x="124"/>
        <item x="129"/>
        <item x="359"/>
        <item x="155"/>
        <item x="170"/>
        <item x="785"/>
        <item x="244"/>
        <item x="723"/>
        <item x="201"/>
        <item x="402"/>
        <item x="286"/>
        <item x="451"/>
        <item x="608"/>
        <item x="232"/>
        <item x="143"/>
        <item x="109"/>
        <item x="355"/>
        <item x="637"/>
        <item x="5"/>
        <item x="445"/>
        <item x="457"/>
        <item x="31"/>
        <item x="55"/>
        <item x="264"/>
        <item x="251"/>
        <item x="486"/>
        <item x="793"/>
        <item x="573"/>
        <item x="222"/>
        <item x="743"/>
        <item x="57"/>
        <item x="258"/>
        <item x="404"/>
        <item x="454"/>
        <item x="38"/>
        <item x="586"/>
        <item x="682"/>
        <item x="370"/>
        <item x="63"/>
        <item x="50"/>
        <item x="79"/>
        <item x="260"/>
        <item x="93"/>
        <item x="42"/>
        <item x="855"/>
        <item x="134"/>
        <item x="426"/>
        <item x="345"/>
        <item x="369"/>
        <item x="806"/>
        <item x="840"/>
        <item x="453"/>
        <item x="70"/>
        <item x="590"/>
        <item x="319"/>
        <item x="854"/>
        <item x="766"/>
        <item x="7"/>
        <item x="73"/>
        <item x="240"/>
        <item x="587"/>
        <item x="750"/>
        <item x="368"/>
        <item x="238"/>
        <item x="774"/>
        <item x="588"/>
        <item x="460"/>
        <item x="261"/>
        <item x="823"/>
        <item x="871"/>
        <item x="786"/>
        <item x="634"/>
        <item x="242"/>
        <item x="436"/>
        <item x="303"/>
        <item x="874"/>
        <item x="376"/>
        <item x="480"/>
        <item x="699"/>
        <item x="632"/>
        <item x="437"/>
        <item x="678"/>
        <item x="292"/>
        <item x="362"/>
        <item x="737"/>
        <item x="154"/>
        <item x="738"/>
        <item x="58"/>
        <item x="669"/>
        <item x="517"/>
        <item x="152"/>
        <item x="761"/>
        <item x="821"/>
        <item x="878"/>
        <item x="225"/>
        <item x="424"/>
        <item x="375"/>
        <item x="444"/>
        <item x="625"/>
        <item x="710"/>
        <item x="653"/>
        <item x="725"/>
        <item x="279"/>
        <item x="464"/>
        <item x="473"/>
        <item x="867"/>
        <item x="616"/>
        <item x="297"/>
        <item x="94"/>
        <item x="49"/>
        <item x="470"/>
        <item x="772"/>
        <item x="60"/>
        <item x="340"/>
        <item x="203"/>
        <item x="595"/>
        <item x="615"/>
        <item x="610"/>
        <item x="837"/>
        <item x="438"/>
        <item x="162"/>
        <item x="674"/>
        <item x="862"/>
        <item x="371"/>
        <item x="777"/>
        <item x="423"/>
        <item x="714"/>
        <item x="692"/>
        <item x="78"/>
        <item x="584"/>
        <item x="670"/>
        <item x="68"/>
        <item x="353"/>
        <item x="711"/>
        <item x="346"/>
        <item x="273"/>
        <item x="536"/>
        <item x="406"/>
        <item x="272"/>
        <item x="834"/>
        <item x="819"/>
        <item x="102"/>
        <item x="487"/>
        <item x="131"/>
        <item x="496"/>
        <item x="760"/>
        <item x="387"/>
        <item x="385"/>
        <item x="715"/>
        <item x="501"/>
        <item x="332"/>
        <item x="815"/>
        <item x="697"/>
        <item x="85"/>
        <item x="283"/>
        <item x="235"/>
        <item x="628"/>
        <item x="746"/>
        <item x="532"/>
        <item x="302"/>
        <item x="640"/>
        <item x="419"/>
        <item x="194"/>
        <item x="104"/>
        <item x="275"/>
        <item x="544"/>
        <item x="572"/>
        <item x="675"/>
        <item x="873"/>
        <item x="452"/>
        <item x="771"/>
        <item x="135"/>
        <item x="65"/>
        <item x="416"/>
        <item x="767"/>
        <item x="868"/>
        <item x="173"/>
        <item x="524"/>
        <item x="497"/>
        <item x="622"/>
        <item x="347"/>
        <item x="591"/>
        <item x="97"/>
        <item x="852"/>
        <item x="870"/>
        <item x="644"/>
        <item x="800"/>
        <item x="617"/>
        <item x="229"/>
        <item x="779"/>
        <item x="478"/>
        <item x="245"/>
        <item x="446"/>
        <item x="866"/>
        <item x="629"/>
        <item x="415"/>
        <item x="350"/>
        <item x="320"/>
        <item x="814"/>
        <item x="268"/>
        <item x="659"/>
        <item x="808"/>
        <item x="694"/>
        <item x="565"/>
        <item x="20"/>
        <item x="64"/>
        <item x="538"/>
        <item x="812"/>
        <item x="127"/>
        <item x="138"/>
        <item x="384"/>
        <item x="394"/>
        <item x="459"/>
        <item x="27"/>
        <item x="609"/>
        <item x="450"/>
        <item x="26"/>
        <item x="582"/>
        <item x="828"/>
        <item x="479"/>
        <item x="343"/>
        <item x="259"/>
        <item x="307"/>
        <item x="795"/>
        <item x="430"/>
        <item x="576"/>
        <item x="763"/>
        <item x="636"/>
        <item x="191"/>
        <item x="877"/>
        <item x="768"/>
        <item t="default"/>
      </items>
    </pivotField>
    <pivotField compact="0" showAll="0">
      <items count="1001">
        <item x="473"/>
        <item x="129"/>
        <item x="573"/>
        <item x="772"/>
        <item x="102"/>
        <item x="866"/>
        <item x="314"/>
        <item x="354"/>
        <item x="118"/>
        <item x="342"/>
        <item x="153"/>
        <item x="33"/>
        <item x="510"/>
        <item x="445"/>
        <item x="187"/>
        <item x="181"/>
        <item x="742"/>
        <item x="254"/>
        <item x="401"/>
        <item x="415"/>
        <item x="387"/>
        <item x="259"/>
        <item x="506"/>
        <item x="117"/>
        <item x="788"/>
        <item x="97"/>
        <item x="252"/>
        <item x="101"/>
        <item x="165"/>
        <item x="877"/>
        <item x="592"/>
        <item x="907"/>
        <item x="121"/>
        <item x="908"/>
        <item x="596"/>
        <item x="421"/>
        <item x="134"/>
        <item x="316"/>
        <item x="464"/>
        <item x="867"/>
        <item x="850"/>
        <item x="522"/>
        <item x="813"/>
        <item x="376"/>
        <item x="774"/>
        <item x="895"/>
        <item x="786"/>
        <item x="149"/>
        <item x="648"/>
        <item x="184"/>
        <item x="562"/>
        <item x="400"/>
        <item x="563"/>
        <item x="707"/>
        <item x="654"/>
        <item x="898"/>
        <item x="690"/>
        <item x="550"/>
        <item x="884"/>
        <item x="640"/>
        <item x="22"/>
        <item x="868"/>
        <item x="661"/>
        <item x="223"/>
        <item x="680"/>
        <item x="851"/>
        <item x="11"/>
        <item x="136"/>
        <item x="436"/>
        <item x="778"/>
        <item x="593"/>
        <item x="78"/>
        <item x="753"/>
        <item x="519"/>
        <item x="238"/>
        <item x="818"/>
        <item x="348"/>
        <item x="261"/>
        <item x="114"/>
        <item x="209"/>
        <item x="903"/>
        <item x="476"/>
        <item x="174"/>
        <item x="278"/>
        <item x="800"/>
        <item x="806"/>
        <item x="767"/>
        <item x="804"/>
        <item x="539"/>
        <item x="152"/>
        <item x="453"/>
        <item x="741"/>
        <item x="835"/>
        <item x="448"/>
        <item x="979"/>
        <item x="307"/>
        <item x="119"/>
        <item x="231"/>
        <item x="227"/>
        <item x="757"/>
        <item x="260"/>
        <item x="300"/>
        <item x="656"/>
        <item x="720"/>
        <item x="836"/>
        <item x="35"/>
        <item x="854"/>
        <item x="474"/>
        <item x="859"/>
        <item x="46"/>
        <item x="762"/>
        <item x="713"/>
        <item x="263"/>
        <item x="82"/>
        <item x="458"/>
        <item x="725"/>
        <item x="378"/>
        <item x="872"/>
        <item x="394"/>
        <item x="941"/>
        <item x="414"/>
        <item x="883"/>
        <item x="534"/>
        <item x="52"/>
        <item x="733"/>
        <item x="542"/>
        <item x="945"/>
        <item x="40"/>
        <item x="353"/>
        <item x="408"/>
        <item x="130"/>
        <item x="191"/>
        <item x="461"/>
        <item x="112"/>
        <item x="621"/>
        <item x="651"/>
        <item x="235"/>
        <item x="961"/>
        <item x="761"/>
        <item x="882"/>
        <item x="810"/>
        <item x="572"/>
        <item x="588"/>
        <item x="766"/>
        <item x="204"/>
        <item x="18"/>
        <item x="845"/>
        <item x="718"/>
        <item x="336"/>
        <item x="797"/>
        <item x="320"/>
        <item x="220"/>
        <item x="568"/>
        <item x="310"/>
        <item x="953"/>
        <item x="682"/>
        <item x="377"/>
        <item x="124"/>
        <item x="546"/>
        <item x="438"/>
        <item x="557"/>
        <item x="472"/>
        <item x="349"/>
        <item x="237"/>
        <item x="556"/>
        <item x="727"/>
        <item x="974"/>
        <item x="312"/>
        <item x="32"/>
        <item x="696"/>
        <item x="158"/>
        <item x="369"/>
        <item x="948"/>
        <item x="509"/>
        <item x="911"/>
        <item x="554"/>
        <item x="679"/>
        <item x="371"/>
        <item x="96"/>
        <item x="196"/>
        <item x="386"/>
        <item x="499"/>
        <item x="532"/>
        <item x="116"/>
        <item x="711"/>
        <item x="791"/>
        <item x="194"/>
        <item x="934"/>
        <item x="92"/>
        <item x="586"/>
        <item x="212"/>
        <item x="192"/>
        <item x="970"/>
        <item x="832"/>
        <item x="687"/>
        <item x="143"/>
        <item x="352"/>
        <item x="292"/>
        <item x="402"/>
        <item x="645"/>
        <item x="962"/>
        <item x="964"/>
        <item x="483"/>
        <item x="724"/>
        <item x="828"/>
        <item x="14"/>
        <item x="721"/>
        <item x="202"/>
        <item x="983"/>
        <item x="88"/>
        <item x="815"/>
        <item x="913"/>
        <item x="460"/>
        <item x="994"/>
        <item x="701"/>
        <item x="611"/>
        <item x="553"/>
        <item x="297"/>
        <item x="162"/>
        <item x="207"/>
        <item x="626"/>
        <item x="768"/>
        <item x="335"/>
        <item x="755"/>
        <item x="871"/>
        <item x="439"/>
        <item x="939"/>
        <item x="3"/>
        <item x="219"/>
        <item x="825"/>
        <item x="151"/>
        <item x="852"/>
        <item x="758"/>
        <item x="36"/>
        <item x="440"/>
        <item x="657"/>
        <item x="921"/>
        <item x="216"/>
        <item x="241"/>
        <item x="544"/>
        <item x="205"/>
        <item x="698"/>
        <item x="569"/>
        <item x="321"/>
        <item x="798"/>
        <item x="340"/>
        <item x="936"/>
        <item x="358"/>
        <item x="783"/>
        <item x="395"/>
        <item x="423"/>
        <item x="332"/>
        <item x="325"/>
        <item x="988"/>
        <item x="91"/>
        <item x="847"/>
        <item x="345"/>
        <item x="8"/>
        <item x="108"/>
        <item x="821"/>
        <item x="527"/>
        <item x="154"/>
        <item x="601"/>
        <item x="564"/>
        <item x="482"/>
        <item x="28"/>
        <item x="605"/>
        <item x="217"/>
        <item x="410"/>
        <item x="361"/>
        <item x="706"/>
        <item x="125"/>
        <item x="145"/>
        <item x="372"/>
        <item x="862"/>
        <item x="694"/>
        <item x="0"/>
        <item x="613"/>
        <item x="456"/>
        <item x="614"/>
        <item x="628"/>
        <item x="350"/>
        <item x="957"/>
        <item x="528"/>
        <item x="267"/>
        <item x="777"/>
        <item x="547"/>
        <item x="745"/>
        <item x="77"/>
        <item x="686"/>
        <item x="998"/>
        <item x="756"/>
        <item x="823"/>
        <item x="455"/>
        <item x="901"/>
        <item x="503"/>
        <item x="892"/>
        <item x="619"/>
        <item x="632"/>
        <item x="808"/>
        <item x="670"/>
        <item x="671"/>
        <item x="90"/>
        <item x="171"/>
        <item x="12"/>
        <item x="685"/>
        <item x="280"/>
        <item x="950"/>
        <item x="481"/>
        <item x="30"/>
        <item x="137"/>
        <item x="603"/>
        <item x="53"/>
        <item x="180"/>
        <item x="498"/>
        <item x="926"/>
        <item x="109"/>
        <item x="175"/>
        <item x="942"/>
        <item x="881"/>
        <item x="984"/>
        <item x="735"/>
        <item x="450"/>
        <item x="289"/>
        <item x="543"/>
        <item x="404"/>
        <item x="906"/>
        <item x="347"/>
        <item x="72"/>
        <item x="346"/>
        <item x="25"/>
        <item x="403"/>
        <item x="819"/>
        <item x="805"/>
        <item x="21"/>
        <item x="17"/>
        <item x="728"/>
        <item x="169"/>
        <item x="462"/>
        <item x="475"/>
        <item x="856"/>
        <item x="955"/>
        <item x="785"/>
        <item x="716"/>
        <item x="915"/>
        <item x="43"/>
        <item x="419"/>
        <item x="282"/>
        <item x="67"/>
        <item x="824"/>
        <item x="981"/>
        <item x="161"/>
        <item x="75"/>
        <item x="70"/>
        <item x="303"/>
        <item x="959"/>
        <item x="396"/>
        <item x="894"/>
        <item x="264"/>
        <item x="178"/>
        <item x="322"/>
        <item x="956"/>
        <item x="493"/>
        <item x="167"/>
        <item x="874"/>
        <item x="723"/>
        <item x="374"/>
        <item x="215"/>
        <item x="567"/>
        <item x="10"/>
        <item x="230"/>
        <item x="164"/>
        <item x="29"/>
        <item x="122"/>
        <item x="726"/>
        <item x="771"/>
        <item x="382"/>
        <item x="432"/>
        <item x="574"/>
        <item x="244"/>
        <item x="738"/>
        <item x="126"/>
        <item x="653"/>
        <item x="214"/>
        <item x="76"/>
        <item x="183"/>
        <item x="703"/>
        <item x="940"/>
        <item x="384"/>
        <item x="658"/>
        <item x="302"/>
        <item x="294"/>
        <item x="891"/>
        <item x="57"/>
        <item x="917"/>
        <item x="19"/>
        <item x="242"/>
        <item x="442"/>
        <item x="689"/>
        <item x="248"/>
        <item x="643"/>
        <item x="597"/>
        <item x="752"/>
        <item x="412"/>
        <item x="740"/>
        <item x="200"/>
        <item x="148"/>
        <item x="616"/>
        <item x="491"/>
        <item x="551"/>
        <item x="47"/>
        <item x="341"/>
        <item x="357"/>
        <item x="6"/>
        <item x="971"/>
        <item x="781"/>
        <item x="132"/>
        <item x="765"/>
        <item x="13"/>
        <item x="34"/>
        <item x="715"/>
        <item x="893"/>
        <item x="644"/>
        <item x="266"/>
        <item x="257"/>
        <item x="85"/>
        <item x="571"/>
        <item x="655"/>
        <item x="618"/>
        <item x="37"/>
        <item x="561"/>
        <item x="549"/>
        <item x="960"/>
        <item x="555"/>
        <item x="636"/>
        <item x="853"/>
        <item x="87"/>
        <item x="888"/>
        <item x="710"/>
        <item x="457"/>
        <item x="330"/>
        <item x="531"/>
        <item x="127"/>
        <item x="849"/>
        <item x="399"/>
        <item x="576"/>
        <item x="919"/>
        <item x="529"/>
        <item x="607"/>
        <item x="536"/>
        <item x="826"/>
        <item x="418"/>
        <item x="673"/>
        <item x="305"/>
        <item x="512"/>
        <item x="760"/>
        <item x="604"/>
        <item x="523"/>
        <item x="234"/>
        <item x="426"/>
        <item x="437"/>
        <item x="93"/>
        <item x="222"/>
        <item x="84"/>
        <item x="678"/>
        <item x="434"/>
        <item x="578"/>
        <item x="100"/>
        <item x="111"/>
        <item x="363"/>
        <item x="577"/>
        <item x="822"/>
        <item x="141"/>
        <item x="834"/>
        <item x="944"/>
        <item x="631"/>
        <item x="73"/>
        <item x="737"/>
        <item x="912"/>
        <item x="790"/>
        <item x="422"/>
        <item x="484"/>
        <item x="343"/>
        <item x="594"/>
        <item x="839"/>
        <item x="173"/>
        <item x="197"/>
        <item x="580"/>
        <item x="337"/>
        <item x="991"/>
        <item x="630"/>
        <item x="590"/>
        <item x="186"/>
        <item x="189"/>
        <item x="579"/>
        <item x="799"/>
        <item x="276"/>
        <item x="709"/>
        <item x="16"/>
        <item x="465"/>
        <item x="663"/>
        <item x="431"/>
        <item x="2"/>
        <item x="185"/>
        <item x="705"/>
        <item x="734"/>
        <item x="722"/>
        <item x="634"/>
        <item x="379"/>
        <item x="360"/>
        <item x="250"/>
        <item x="24"/>
        <item x="925"/>
        <item x="717"/>
        <item x="144"/>
        <item x="293"/>
        <item x="649"/>
        <item x="515"/>
        <item x="526"/>
        <item x="664"/>
        <item x="748"/>
        <item x="281"/>
        <item x="463"/>
        <item x="533"/>
        <item x="290"/>
        <item x="106"/>
        <item x="995"/>
        <item x="195"/>
        <item x="405"/>
        <item x="411"/>
        <item x="530"/>
        <item x="552"/>
        <item x="177"/>
        <item x="221"/>
        <item x="48"/>
        <item x="879"/>
        <item x="298"/>
        <item x="975"/>
        <item x="62"/>
        <item x="190"/>
        <item x="660"/>
        <item x="647"/>
        <item x="15"/>
        <item x="918"/>
        <item x="954"/>
        <item x="570"/>
        <item x="287"/>
        <item x="140"/>
        <item x="449"/>
        <item x="4"/>
        <item x="9"/>
        <item x="329"/>
        <item x="807"/>
        <item x="331"/>
        <item x="446"/>
        <item x="938"/>
        <item x="932"/>
        <item x="308"/>
        <item x="958"/>
        <item x="188"/>
        <item x="924"/>
        <item x="548"/>
        <item x="582"/>
        <item x="224"/>
        <item x="702"/>
        <item x="502"/>
        <item x="659"/>
        <item x="827"/>
        <item x="784"/>
        <item x="500"/>
        <item x="146"/>
        <item x="182"/>
        <item x="602"/>
        <item x="747"/>
        <item x="368"/>
        <item x="315"/>
        <item x="712"/>
        <item x="693"/>
        <item x="829"/>
        <item x="935"/>
        <item x="792"/>
        <item x="83"/>
        <item x="560"/>
        <item x="587"/>
        <item x="538"/>
        <item x="435"/>
        <item x="933"/>
        <item x="258"/>
        <item x="521"/>
        <item x="595"/>
        <item x="198"/>
        <item x="23"/>
        <item x="381"/>
        <item x="123"/>
        <item x="999"/>
        <item x="809"/>
        <item x="344"/>
        <item x="210"/>
        <item x="477"/>
        <item x="885"/>
        <item x="115"/>
        <item x="622"/>
        <item x="268"/>
        <item x="598"/>
        <item x="110"/>
        <item x="545"/>
        <item x="89"/>
        <item x="155"/>
        <item x="206"/>
        <item x="889"/>
        <item x="600"/>
        <item x="764"/>
        <item x="900"/>
        <item x="565"/>
        <item x="951"/>
        <item x="928"/>
        <item x="413"/>
        <item x="514"/>
        <item x="837"/>
        <item x="584"/>
        <item x="39"/>
        <item x="63"/>
        <item x="385"/>
        <item x="620"/>
        <item x="608"/>
        <item x="317"/>
        <item x="770"/>
        <item x="324"/>
        <item x="232"/>
        <item x="41"/>
        <item x="120"/>
        <item x="875"/>
        <item x="629"/>
        <item x="425"/>
        <item x="540"/>
        <item x="225"/>
        <item x="163"/>
        <item x="490"/>
        <item x="104"/>
        <item x="646"/>
        <item x="909"/>
        <item x="273"/>
        <item x="963"/>
        <item x="625"/>
        <item x="228"/>
        <item x="949"/>
        <item x="672"/>
        <item x="982"/>
        <item x="245"/>
        <item x="311"/>
        <item x="44"/>
        <item x="617"/>
        <item x="610"/>
        <item x="420"/>
        <item x="304"/>
        <item x="855"/>
        <item x="226"/>
        <item x="793"/>
        <item x="513"/>
        <item x="172"/>
        <item x="389"/>
        <item x="424"/>
        <item x="736"/>
        <item x="285"/>
        <item x="585"/>
        <item x="789"/>
        <item x="355"/>
        <item x="218"/>
        <item x="81"/>
        <item x="103"/>
        <item x="681"/>
        <item x="193"/>
        <item x="277"/>
        <item x="496"/>
        <item x="848"/>
        <item x="972"/>
        <item x="166"/>
        <item x="930"/>
        <item x="156"/>
        <item x="840"/>
        <item x="507"/>
        <item x="973"/>
        <item x="769"/>
        <item x="599"/>
        <item x="60"/>
        <item x="665"/>
        <item x="844"/>
        <item x="504"/>
        <item x="309"/>
        <item x="1"/>
        <item x="333"/>
        <item x="606"/>
        <item x="208"/>
        <item x="833"/>
        <item x="842"/>
        <item x="904"/>
        <item x="861"/>
        <item x="609"/>
        <item x="751"/>
        <item x="966"/>
        <item x="128"/>
        <item x="170"/>
        <item x="467"/>
        <item x="380"/>
        <item x="160"/>
        <item x="176"/>
        <item x="886"/>
        <item x="98"/>
        <item x="255"/>
        <item x="327"/>
        <item x="812"/>
        <item x="211"/>
        <item x="427"/>
        <item x="299"/>
        <item x="486"/>
        <item x="666"/>
        <item x="495"/>
        <item x="243"/>
        <item x="147"/>
        <item x="559"/>
        <item x="113"/>
        <item x="375"/>
        <item x="700"/>
        <item x="5"/>
        <item x="479"/>
        <item x="492"/>
        <item x="31"/>
        <item x="470"/>
        <item x="56"/>
        <item x="275"/>
        <item x="356"/>
        <item x="262"/>
        <item x="739"/>
        <item x="524"/>
        <item x="897"/>
        <item x="896"/>
        <item x="624"/>
        <item x="233"/>
        <item x="838"/>
        <item x="58"/>
        <item x="269"/>
        <item x="430"/>
        <item x="731"/>
        <item x="489"/>
        <item x="843"/>
        <item x="38"/>
        <item x="637"/>
        <item x="759"/>
        <item x="763"/>
        <item x="392"/>
        <item x="64"/>
        <item x="50"/>
        <item x="730"/>
        <item x="271"/>
        <item x="94"/>
        <item x="42"/>
        <item x="969"/>
        <item x="138"/>
        <item x="454"/>
        <item x="364"/>
        <item x="732"/>
        <item x="391"/>
        <item x="239"/>
        <item x="914"/>
        <item x="952"/>
        <item x="488"/>
        <item x="71"/>
        <item x="641"/>
        <item x="247"/>
        <item x="288"/>
        <item x="365"/>
        <item x="977"/>
        <item x="338"/>
        <item x="967"/>
        <item x="863"/>
        <item x="7"/>
        <item x="74"/>
        <item x="251"/>
        <item x="669"/>
        <item x="638"/>
        <item x="846"/>
        <item x="80"/>
        <item x="390"/>
        <item x="249"/>
        <item x="873"/>
        <item x="639"/>
        <item x="497"/>
        <item x="272"/>
        <item x="931"/>
        <item x="990"/>
        <item x="887"/>
        <item x="697"/>
        <item x="253"/>
        <item x="466"/>
        <item x="319"/>
        <item x="993"/>
        <item x="968"/>
        <item x="398"/>
        <item x="441"/>
        <item x="518"/>
        <item x="782"/>
        <item x="695"/>
        <item x="714"/>
        <item x="468"/>
        <item x="754"/>
        <item x="306"/>
        <item x="383"/>
        <item x="830"/>
        <item x="159"/>
        <item x="831"/>
        <item x="59"/>
        <item x="743"/>
        <item x="558"/>
        <item x="683"/>
        <item x="814"/>
        <item x="157"/>
        <item x="980"/>
        <item x="775"/>
        <item x="612"/>
        <item x="858"/>
        <item x="929"/>
        <item x="997"/>
        <item x="236"/>
        <item x="452"/>
        <item x="397"/>
        <item x="520"/>
        <item x="478"/>
        <item x="688"/>
        <item x="55"/>
        <item x="505"/>
        <item x="794"/>
        <item x="746"/>
        <item x="719"/>
        <item x="816"/>
        <item x="471"/>
        <item x="291"/>
        <item x="501"/>
        <item x="511"/>
        <item x="890"/>
        <item x="986"/>
        <item x="676"/>
        <item x="796"/>
        <item x="313"/>
        <item x="779"/>
        <item x="95"/>
        <item x="49"/>
        <item x="508"/>
        <item x="870"/>
        <item x="45"/>
        <item x="61"/>
        <item x="359"/>
        <item x="213"/>
        <item x="650"/>
        <item x="326"/>
        <item x="674"/>
        <item x="668"/>
        <item x="947"/>
        <item x="469"/>
        <item x="168"/>
        <item x="749"/>
        <item x="976"/>
        <item x="393"/>
        <item x="876"/>
        <item x="451"/>
        <item x="801"/>
        <item x="773"/>
        <item x="79"/>
        <item x="635"/>
        <item x="662"/>
        <item x="744"/>
        <item x="69"/>
        <item x="373"/>
        <item x="795"/>
        <item x="946"/>
        <item x="366"/>
        <item x="284"/>
        <item x="589"/>
        <item x="581"/>
        <item x="433"/>
        <item x="283"/>
        <item x="943"/>
        <item x="927"/>
        <item x="105"/>
        <item x="525"/>
        <item x="135"/>
        <item x="535"/>
        <item x="857"/>
        <item x="409"/>
        <item x="407"/>
        <item x="803"/>
        <item x="541"/>
        <item x="351"/>
        <item x="923"/>
        <item x="780"/>
        <item x="86"/>
        <item x="295"/>
        <item x="246"/>
        <item x="691"/>
        <item x="841"/>
        <item x="575"/>
        <item x="318"/>
        <item x="704"/>
        <item x="447"/>
        <item x="203"/>
        <item x="107"/>
        <item x="388"/>
        <item x="675"/>
        <item x="328"/>
        <item x="274"/>
        <item x="286"/>
        <item x="591"/>
        <item x="623"/>
        <item x="750"/>
        <item x="992"/>
        <item x="296"/>
        <item x="487"/>
        <item x="869"/>
        <item x="811"/>
        <item x="139"/>
        <item x="150"/>
        <item x="910"/>
        <item x="66"/>
        <item x="444"/>
        <item x="864"/>
        <item x="987"/>
        <item x="179"/>
        <item x="566"/>
        <item x="537"/>
        <item x="229"/>
        <item x="684"/>
        <item x="428"/>
        <item x="367"/>
        <item x="429"/>
        <item x="642"/>
        <item x="802"/>
        <item x="54"/>
        <item x="201"/>
        <item x="965"/>
        <item x="989"/>
        <item x="708"/>
        <item x="905"/>
        <item x="677"/>
        <item x="240"/>
        <item x="880"/>
        <item x="878"/>
        <item x="516"/>
        <item x="256"/>
        <item x="480"/>
        <item x="985"/>
        <item x="692"/>
        <item x="443"/>
        <item x="370"/>
        <item x="339"/>
        <item x="922"/>
        <item x="265"/>
        <item x="279"/>
        <item x="729"/>
        <item x="916"/>
        <item x="820"/>
        <item x="776"/>
        <item x="615"/>
        <item x="20"/>
        <item x="978"/>
        <item x="65"/>
        <item x="583"/>
        <item x="51"/>
        <item x="920"/>
        <item x="131"/>
        <item x="142"/>
        <item x="301"/>
        <item x="406"/>
        <item x="416"/>
        <item x="133"/>
        <item x="494"/>
        <item x="27"/>
        <item x="667"/>
        <item x="485"/>
        <item x="902"/>
        <item x="26"/>
        <item x="633"/>
        <item x="68"/>
        <item x="937"/>
        <item x="517"/>
        <item x="417"/>
        <item x="362"/>
        <item x="270"/>
        <item x="652"/>
        <item x="323"/>
        <item x="899"/>
        <item x="459"/>
        <item x="627"/>
        <item x="860"/>
        <item x="699"/>
        <item x="199"/>
        <item x="787"/>
        <item x="996"/>
        <item x="334"/>
        <item x="817"/>
        <item x="99"/>
        <item x="865"/>
        <item t="default"/>
      </items>
    </pivotField>
    <pivotField compact="0" showAll="0">
      <items count="1000">
        <item x="473"/>
        <item x="129"/>
        <item x="573"/>
        <item x="771"/>
        <item x="102"/>
        <item x="865"/>
        <item x="314"/>
        <item x="354"/>
        <item x="118"/>
        <item x="342"/>
        <item x="153"/>
        <item x="33"/>
        <item x="510"/>
        <item x="445"/>
        <item x="187"/>
        <item x="181"/>
        <item x="741"/>
        <item x="254"/>
        <item x="401"/>
        <item x="415"/>
        <item x="387"/>
        <item x="259"/>
        <item x="506"/>
        <item x="117"/>
        <item x="787"/>
        <item x="97"/>
        <item x="252"/>
        <item x="101"/>
        <item x="165"/>
        <item x="876"/>
        <item x="592"/>
        <item x="906"/>
        <item x="121"/>
        <item x="907"/>
        <item x="596"/>
        <item x="421"/>
        <item x="134"/>
        <item x="316"/>
        <item x="464"/>
        <item x="866"/>
        <item x="849"/>
        <item x="522"/>
        <item x="812"/>
        <item x="376"/>
        <item x="773"/>
        <item x="894"/>
        <item x="785"/>
        <item x="149"/>
        <item x="648"/>
        <item x="184"/>
        <item x="562"/>
        <item x="400"/>
        <item x="563"/>
        <item x="706"/>
        <item x="654"/>
        <item x="897"/>
        <item x="690"/>
        <item x="550"/>
        <item x="883"/>
        <item x="640"/>
        <item x="22"/>
        <item x="867"/>
        <item x="661"/>
        <item x="223"/>
        <item x="680"/>
        <item x="850"/>
        <item x="11"/>
        <item x="136"/>
        <item x="436"/>
        <item x="777"/>
        <item x="593"/>
        <item x="78"/>
        <item x="752"/>
        <item x="519"/>
        <item x="238"/>
        <item x="817"/>
        <item x="348"/>
        <item x="261"/>
        <item x="114"/>
        <item x="209"/>
        <item x="902"/>
        <item x="476"/>
        <item x="174"/>
        <item x="278"/>
        <item x="799"/>
        <item x="805"/>
        <item x="766"/>
        <item x="803"/>
        <item x="539"/>
        <item x="152"/>
        <item x="453"/>
        <item x="740"/>
        <item x="834"/>
        <item x="448"/>
        <item x="978"/>
        <item x="307"/>
        <item x="119"/>
        <item x="231"/>
        <item x="227"/>
        <item x="756"/>
        <item x="260"/>
        <item x="300"/>
        <item x="656"/>
        <item x="719"/>
        <item x="835"/>
        <item x="35"/>
        <item x="853"/>
        <item x="474"/>
        <item x="858"/>
        <item x="46"/>
        <item x="761"/>
        <item x="712"/>
        <item x="263"/>
        <item x="82"/>
        <item x="458"/>
        <item x="724"/>
        <item x="378"/>
        <item x="871"/>
        <item x="394"/>
        <item x="940"/>
        <item x="414"/>
        <item x="882"/>
        <item x="534"/>
        <item x="52"/>
        <item x="732"/>
        <item x="542"/>
        <item x="944"/>
        <item x="40"/>
        <item x="353"/>
        <item x="408"/>
        <item x="130"/>
        <item x="191"/>
        <item x="461"/>
        <item x="112"/>
        <item x="621"/>
        <item x="651"/>
        <item x="235"/>
        <item x="960"/>
        <item x="760"/>
        <item x="881"/>
        <item x="809"/>
        <item x="572"/>
        <item x="588"/>
        <item x="765"/>
        <item x="204"/>
        <item x="18"/>
        <item x="844"/>
        <item x="717"/>
        <item x="336"/>
        <item x="796"/>
        <item x="320"/>
        <item x="220"/>
        <item x="568"/>
        <item x="310"/>
        <item x="952"/>
        <item x="682"/>
        <item x="377"/>
        <item x="124"/>
        <item x="546"/>
        <item x="438"/>
        <item x="557"/>
        <item x="472"/>
        <item x="349"/>
        <item x="237"/>
        <item x="556"/>
        <item x="726"/>
        <item x="973"/>
        <item x="312"/>
        <item x="32"/>
        <item x="695"/>
        <item x="158"/>
        <item x="369"/>
        <item x="947"/>
        <item x="509"/>
        <item x="910"/>
        <item x="554"/>
        <item x="679"/>
        <item x="371"/>
        <item x="96"/>
        <item x="196"/>
        <item x="386"/>
        <item x="499"/>
        <item x="532"/>
        <item x="116"/>
        <item x="710"/>
        <item x="790"/>
        <item x="194"/>
        <item x="933"/>
        <item x="92"/>
        <item x="586"/>
        <item x="212"/>
        <item x="192"/>
        <item x="969"/>
        <item x="831"/>
        <item x="687"/>
        <item x="143"/>
        <item x="352"/>
        <item x="292"/>
        <item x="402"/>
        <item x="645"/>
        <item x="961"/>
        <item x="963"/>
        <item x="483"/>
        <item x="723"/>
        <item x="827"/>
        <item x="14"/>
        <item x="720"/>
        <item x="202"/>
        <item x="982"/>
        <item x="88"/>
        <item x="814"/>
        <item x="912"/>
        <item x="460"/>
        <item x="993"/>
        <item x="700"/>
        <item x="611"/>
        <item x="553"/>
        <item x="297"/>
        <item x="162"/>
        <item x="207"/>
        <item x="626"/>
        <item x="767"/>
        <item x="335"/>
        <item x="754"/>
        <item x="870"/>
        <item x="439"/>
        <item x="938"/>
        <item x="3"/>
        <item x="219"/>
        <item x="824"/>
        <item x="151"/>
        <item x="851"/>
        <item x="757"/>
        <item x="36"/>
        <item x="440"/>
        <item x="657"/>
        <item x="920"/>
        <item x="216"/>
        <item x="241"/>
        <item x="544"/>
        <item x="205"/>
        <item x="697"/>
        <item x="569"/>
        <item x="321"/>
        <item x="797"/>
        <item x="340"/>
        <item x="935"/>
        <item x="358"/>
        <item x="782"/>
        <item x="395"/>
        <item x="423"/>
        <item x="332"/>
        <item x="325"/>
        <item x="987"/>
        <item x="91"/>
        <item x="846"/>
        <item x="345"/>
        <item x="8"/>
        <item x="108"/>
        <item x="820"/>
        <item x="527"/>
        <item x="154"/>
        <item x="601"/>
        <item x="564"/>
        <item x="482"/>
        <item x="28"/>
        <item x="605"/>
        <item x="217"/>
        <item x="410"/>
        <item x="361"/>
        <item x="705"/>
        <item x="125"/>
        <item x="145"/>
        <item x="372"/>
        <item x="861"/>
        <item x="693"/>
        <item x="0"/>
        <item x="613"/>
        <item x="456"/>
        <item x="614"/>
        <item x="628"/>
        <item x="350"/>
        <item x="956"/>
        <item x="528"/>
        <item x="267"/>
        <item x="776"/>
        <item x="547"/>
        <item x="744"/>
        <item x="77"/>
        <item x="686"/>
        <item x="997"/>
        <item x="755"/>
        <item x="822"/>
        <item x="455"/>
        <item x="900"/>
        <item x="503"/>
        <item x="891"/>
        <item x="619"/>
        <item x="632"/>
        <item x="807"/>
        <item x="670"/>
        <item x="671"/>
        <item x="90"/>
        <item x="171"/>
        <item x="12"/>
        <item x="685"/>
        <item x="280"/>
        <item x="949"/>
        <item x="481"/>
        <item x="30"/>
        <item x="137"/>
        <item x="603"/>
        <item x="53"/>
        <item x="180"/>
        <item x="498"/>
        <item x="925"/>
        <item x="109"/>
        <item x="175"/>
        <item x="941"/>
        <item x="880"/>
        <item x="983"/>
        <item x="734"/>
        <item x="450"/>
        <item x="289"/>
        <item x="543"/>
        <item x="404"/>
        <item x="905"/>
        <item x="347"/>
        <item x="72"/>
        <item x="346"/>
        <item x="25"/>
        <item x="403"/>
        <item x="818"/>
        <item x="804"/>
        <item x="21"/>
        <item x="17"/>
        <item x="727"/>
        <item x="169"/>
        <item x="462"/>
        <item x="475"/>
        <item x="855"/>
        <item x="954"/>
        <item x="784"/>
        <item x="715"/>
        <item x="914"/>
        <item x="43"/>
        <item x="419"/>
        <item x="282"/>
        <item x="67"/>
        <item x="823"/>
        <item x="980"/>
        <item x="161"/>
        <item x="75"/>
        <item x="70"/>
        <item x="303"/>
        <item x="958"/>
        <item x="396"/>
        <item x="893"/>
        <item x="264"/>
        <item x="178"/>
        <item x="322"/>
        <item x="955"/>
        <item x="493"/>
        <item x="167"/>
        <item x="873"/>
        <item x="722"/>
        <item x="374"/>
        <item x="215"/>
        <item x="567"/>
        <item x="10"/>
        <item x="230"/>
        <item x="164"/>
        <item x="29"/>
        <item x="122"/>
        <item x="725"/>
        <item x="770"/>
        <item x="382"/>
        <item x="432"/>
        <item x="574"/>
        <item x="244"/>
        <item x="737"/>
        <item x="126"/>
        <item x="653"/>
        <item x="214"/>
        <item x="76"/>
        <item x="183"/>
        <item x="702"/>
        <item x="939"/>
        <item x="384"/>
        <item x="658"/>
        <item x="302"/>
        <item x="294"/>
        <item x="890"/>
        <item x="57"/>
        <item x="916"/>
        <item x="19"/>
        <item x="242"/>
        <item x="442"/>
        <item x="689"/>
        <item x="248"/>
        <item x="643"/>
        <item x="597"/>
        <item x="751"/>
        <item x="412"/>
        <item x="739"/>
        <item x="200"/>
        <item x="148"/>
        <item x="616"/>
        <item x="491"/>
        <item x="551"/>
        <item x="47"/>
        <item x="341"/>
        <item x="357"/>
        <item x="6"/>
        <item x="970"/>
        <item x="780"/>
        <item x="132"/>
        <item x="764"/>
        <item x="13"/>
        <item x="34"/>
        <item x="714"/>
        <item x="892"/>
        <item x="644"/>
        <item x="266"/>
        <item x="257"/>
        <item x="85"/>
        <item x="571"/>
        <item x="655"/>
        <item x="618"/>
        <item x="37"/>
        <item x="561"/>
        <item x="549"/>
        <item x="959"/>
        <item x="555"/>
        <item x="636"/>
        <item x="852"/>
        <item x="87"/>
        <item x="887"/>
        <item x="709"/>
        <item x="457"/>
        <item x="330"/>
        <item x="531"/>
        <item x="127"/>
        <item x="848"/>
        <item x="399"/>
        <item x="576"/>
        <item x="918"/>
        <item x="529"/>
        <item x="607"/>
        <item x="536"/>
        <item x="825"/>
        <item x="418"/>
        <item x="673"/>
        <item x="305"/>
        <item x="512"/>
        <item x="759"/>
        <item x="604"/>
        <item x="523"/>
        <item x="234"/>
        <item x="426"/>
        <item x="437"/>
        <item x="93"/>
        <item x="222"/>
        <item x="84"/>
        <item x="678"/>
        <item x="434"/>
        <item x="578"/>
        <item x="100"/>
        <item x="111"/>
        <item x="363"/>
        <item x="577"/>
        <item x="821"/>
        <item x="141"/>
        <item x="833"/>
        <item x="943"/>
        <item x="631"/>
        <item x="73"/>
        <item x="736"/>
        <item x="911"/>
        <item x="789"/>
        <item x="422"/>
        <item x="484"/>
        <item x="343"/>
        <item x="594"/>
        <item x="838"/>
        <item x="173"/>
        <item x="197"/>
        <item x="580"/>
        <item x="337"/>
        <item x="990"/>
        <item x="630"/>
        <item x="590"/>
        <item x="186"/>
        <item x="189"/>
        <item x="579"/>
        <item x="798"/>
        <item x="276"/>
        <item x="708"/>
        <item x="16"/>
        <item x="465"/>
        <item x="663"/>
        <item x="431"/>
        <item x="2"/>
        <item x="185"/>
        <item x="704"/>
        <item x="733"/>
        <item x="721"/>
        <item x="634"/>
        <item x="379"/>
        <item x="360"/>
        <item x="250"/>
        <item x="24"/>
        <item x="924"/>
        <item x="716"/>
        <item x="144"/>
        <item x="293"/>
        <item x="649"/>
        <item x="515"/>
        <item x="526"/>
        <item x="664"/>
        <item x="747"/>
        <item x="281"/>
        <item x="463"/>
        <item x="533"/>
        <item x="290"/>
        <item x="106"/>
        <item x="994"/>
        <item x="195"/>
        <item x="405"/>
        <item x="411"/>
        <item x="530"/>
        <item x="552"/>
        <item x="177"/>
        <item x="221"/>
        <item x="48"/>
        <item x="878"/>
        <item x="298"/>
        <item x="974"/>
        <item x="62"/>
        <item x="190"/>
        <item x="660"/>
        <item x="647"/>
        <item x="15"/>
        <item x="917"/>
        <item x="953"/>
        <item x="570"/>
        <item x="287"/>
        <item x="140"/>
        <item x="449"/>
        <item x="4"/>
        <item x="9"/>
        <item x="329"/>
        <item x="806"/>
        <item x="331"/>
        <item x="446"/>
        <item x="937"/>
        <item x="931"/>
        <item x="308"/>
        <item x="957"/>
        <item x="188"/>
        <item x="923"/>
        <item x="548"/>
        <item x="582"/>
        <item x="224"/>
        <item x="701"/>
        <item x="502"/>
        <item x="659"/>
        <item x="826"/>
        <item x="783"/>
        <item x="500"/>
        <item x="146"/>
        <item x="182"/>
        <item x="602"/>
        <item x="746"/>
        <item x="368"/>
        <item x="315"/>
        <item x="711"/>
        <item x="692"/>
        <item x="828"/>
        <item x="934"/>
        <item x="791"/>
        <item x="83"/>
        <item x="560"/>
        <item x="587"/>
        <item x="538"/>
        <item x="435"/>
        <item x="932"/>
        <item x="258"/>
        <item x="521"/>
        <item x="595"/>
        <item x="198"/>
        <item x="23"/>
        <item x="381"/>
        <item x="123"/>
        <item x="998"/>
        <item x="808"/>
        <item x="344"/>
        <item x="210"/>
        <item x="477"/>
        <item x="884"/>
        <item x="115"/>
        <item x="622"/>
        <item x="268"/>
        <item x="598"/>
        <item x="110"/>
        <item x="545"/>
        <item x="89"/>
        <item x="155"/>
        <item x="206"/>
        <item x="888"/>
        <item x="600"/>
        <item x="763"/>
        <item x="899"/>
        <item x="565"/>
        <item x="950"/>
        <item x="927"/>
        <item x="413"/>
        <item x="514"/>
        <item x="836"/>
        <item x="584"/>
        <item x="39"/>
        <item x="63"/>
        <item x="385"/>
        <item x="620"/>
        <item x="608"/>
        <item x="317"/>
        <item x="769"/>
        <item x="324"/>
        <item x="232"/>
        <item x="41"/>
        <item x="120"/>
        <item x="874"/>
        <item x="629"/>
        <item x="425"/>
        <item x="540"/>
        <item x="225"/>
        <item x="163"/>
        <item x="490"/>
        <item x="104"/>
        <item x="646"/>
        <item x="908"/>
        <item x="273"/>
        <item x="962"/>
        <item x="625"/>
        <item x="228"/>
        <item x="948"/>
        <item x="672"/>
        <item x="981"/>
        <item x="245"/>
        <item x="311"/>
        <item x="44"/>
        <item x="617"/>
        <item x="610"/>
        <item x="420"/>
        <item x="304"/>
        <item x="854"/>
        <item x="226"/>
        <item x="792"/>
        <item x="513"/>
        <item x="172"/>
        <item x="389"/>
        <item x="424"/>
        <item x="735"/>
        <item x="285"/>
        <item x="585"/>
        <item x="788"/>
        <item x="355"/>
        <item x="218"/>
        <item x="81"/>
        <item x="103"/>
        <item x="681"/>
        <item x="193"/>
        <item x="277"/>
        <item x="496"/>
        <item x="847"/>
        <item x="971"/>
        <item x="166"/>
        <item x="929"/>
        <item x="156"/>
        <item x="839"/>
        <item x="507"/>
        <item x="972"/>
        <item x="768"/>
        <item x="599"/>
        <item x="60"/>
        <item x="665"/>
        <item x="843"/>
        <item x="504"/>
        <item x="309"/>
        <item x="1"/>
        <item x="333"/>
        <item x="606"/>
        <item x="208"/>
        <item x="832"/>
        <item x="841"/>
        <item x="903"/>
        <item x="860"/>
        <item x="609"/>
        <item x="750"/>
        <item x="965"/>
        <item x="128"/>
        <item x="170"/>
        <item x="467"/>
        <item x="380"/>
        <item x="160"/>
        <item x="176"/>
        <item x="885"/>
        <item x="98"/>
        <item x="255"/>
        <item x="327"/>
        <item x="811"/>
        <item x="211"/>
        <item x="427"/>
        <item x="299"/>
        <item x="486"/>
        <item x="666"/>
        <item x="495"/>
        <item x="243"/>
        <item x="147"/>
        <item x="559"/>
        <item x="113"/>
        <item x="375"/>
        <item x="699"/>
        <item x="5"/>
        <item x="479"/>
        <item x="492"/>
        <item x="31"/>
        <item x="470"/>
        <item x="56"/>
        <item x="275"/>
        <item x="356"/>
        <item x="262"/>
        <item x="738"/>
        <item x="524"/>
        <item x="896"/>
        <item x="895"/>
        <item x="624"/>
        <item x="233"/>
        <item x="837"/>
        <item x="58"/>
        <item x="269"/>
        <item x="430"/>
        <item x="730"/>
        <item x="489"/>
        <item x="842"/>
        <item x="38"/>
        <item x="637"/>
        <item x="758"/>
        <item x="762"/>
        <item x="392"/>
        <item x="64"/>
        <item x="50"/>
        <item x="729"/>
        <item x="271"/>
        <item x="94"/>
        <item x="42"/>
        <item x="968"/>
        <item x="138"/>
        <item x="454"/>
        <item x="364"/>
        <item x="731"/>
        <item x="391"/>
        <item x="239"/>
        <item x="913"/>
        <item x="951"/>
        <item x="488"/>
        <item x="71"/>
        <item x="641"/>
        <item x="247"/>
        <item x="288"/>
        <item x="365"/>
        <item x="976"/>
        <item x="338"/>
        <item x="966"/>
        <item x="862"/>
        <item x="7"/>
        <item x="74"/>
        <item x="251"/>
        <item x="669"/>
        <item x="638"/>
        <item x="845"/>
        <item x="80"/>
        <item x="390"/>
        <item x="249"/>
        <item x="872"/>
        <item x="639"/>
        <item x="497"/>
        <item x="272"/>
        <item x="930"/>
        <item x="989"/>
        <item x="886"/>
        <item x="696"/>
        <item x="253"/>
        <item x="466"/>
        <item x="319"/>
        <item x="992"/>
        <item x="967"/>
        <item x="398"/>
        <item x="441"/>
        <item x="518"/>
        <item x="781"/>
        <item x="694"/>
        <item x="713"/>
        <item x="468"/>
        <item x="753"/>
        <item x="306"/>
        <item x="383"/>
        <item x="829"/>
        <item x="159"/>
        <item x="830"/>
        <item x="59"/>
        <item x="742"/>
        <item x="558"/>
        <item x="683"/>
        <item x="813"/>
        <item x="157"/>
        <item x="979"/>
        <item x="774"/>
        <item x="612"/>
        <item x="857"/>
        <item x="928"/>
        <item x="996"/>
        <item x="236"/>
        <item x="452"/>
        <item x="397"/>
        <item x="520"/>
        <item x="478"/>
        <item x="688"/>
        <item x="55"/>
        <item x="505"/>
        <item x="793"/>
        <item x="745"/>
        <item x="718"/>
        <item x="815"/>
        <item x="471"/>
        <item x="291"/>
        <item x="501"/>
        <item x="511"/>
        <item x="889"/>
        <item x="985"/>
        <item x="676"/>
        <item x="795"/>
        <item x="313"/>
        <item x="778"/>
        <item x="95"/>
        <item x="49"/>
        <item x="508"/>
        <item x="869"/>
        <item x="45"/>
        <item x="61"/>
        <item x="359"/>
        <item x="213"/>
        <item x="650"/>
        <item x="326"/>
        <item x="674"/>
        <item x="668"/>
        <item x="946"/>
        <item x="469"/>
        <item x="168"/>
        <item x="748"/>
        <item x="975"/>
        <item x="393"/>
        <item x="875"/>
        <item x="451"/>
        <item x="800"/>
        <item x="772"/>
        <item x="79"/>
        <item x="635"/>
        <item x="662"/>
        <item x="743"/>
        <item x="69"/>
        <item x="373"/>
        <item x="794"/>
        <item x="945"/>
        <item x="366"/>
        <item x="284"/>
        <item x="589"/>
        <item x="581"/>
        <item x="433"/>
        <item x="283"/>
        <item x="942"/>
        <item x="926"/>
        <item x="105"/>
        <item x="525"/>
        <item x="135"/>
        <item x="535"/>
        <item x="856"/>
        <item x="409"/>
        <item x="407"/>
        <item x="802"/>
        <item x="541"/>
        <item x="351"/>
        <item x="922"/>
        <item x="779"/>
        <item x="86"/>
        <item x="295"/>
        <item x="246"/>
        <item x="691"/>
        <item x="840"/>
        <item x="575"/>
        <item x="318"/>
        <item x="703"/>
        <item x="447"/>
        <item x="203"/>
        <item x="107"/>
        <item x="388"/>
        <item x="675"/>
        <item x="328"/>
        <item x="274"/>
        <item x="286"/>
        <item x="591"/>
        <item x="623"/>
        <item x="749"/>
        <item x="991"/>
        <item x="296"/>
        <item x="487"/>
        <item x="868"/>
        <item x="810"/>
        <item x="139"/>
        <item x="150"/>
        <item x="909"/>
        <item x="66"/>
        <item x="444"/>
        <item x="863"/>
        <item x="986"/>
        <item x="179"/>
        <item x="566"/>
        <item x="537"/>
        <item x="229"/>
        <item x="684"/>
        <item x="428"/>
        <item x="367"/>
        <item x="429"/>
        <item x="642"/>
        <item x="801"/>
        <item x="54"/>
        <item x="201"/>
        <item x="964"/>
        <item x="988"/>
        <item x="707"/>
        <item x="904"/>
        <item x="677"/>
        <item x="240"/>
        <item x="879"/>
        <item x="877"/>
        <item x="516"/>
        <item x="256"/>
        <item x="480"/>
        <item x="984"/>
        <item x="443"/>
        <item x="370"/>
        <item x="339"/>
        <item x="921"/>
        <item x="265"/>
        <item x="279"/>
        <item x="728"/>
        <item x="915"/>
        <item x="819"/>
        <item x="775"/>
        <item x="615"/>
        <item x="20"/>
        <item x="977"/>
        <item x="65"/>
        <item x="583"/>
        <item x="51"/>
        <item x="919"/>
        <item x="131"/>
        <item x="142"/>
        <item x="301"/>
        <item x="406"/>
        <item x="416"/>
        <item x="133"/>
        <item x="494"/>
        <item x="27"/>
        <item x="667"/>
        <item x="485"/>
        <item x="901"/>
        <item x="26"/>
        <item x="633"/>
        <item x="68"/>
        <item x="936"/>
        <item x="517"/>
        <item x="417"/>
        <item x="362"/>
        <item x="270"/>
        <item x="652"/>
        <item x="323"/>
        <item x="898"/>
        <item x="459"/>
        <item x="627"/>
        <item x="859"/>
        <item x="698"/>
        <item x="199"/>
        <item x="786"/>
        <item x="995"/>
        <item x="334"/>
        <item x="816"/>
        <item x="99"/>
        <item x="86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</pivotFields>
  <rowFields count="1">
    <field x="3"/>
  </rowFields>
  <rowItems count="14">
    <i>
      <x v="6"/>
    </i>
    <i>
      <x v="2"/>
    </i>
    <i>
      <x v="8"/>
    </i>
    <i>
      <x v="5"/>
    </i>
    <i>
      <x v="4"/>
    </i>
    <i>
      <x v="12"/>
    </i>
    <i>
      <x v="10"/>
    </i>
    <i>
      <x v="3"/>
    </i>
    <i>
      <x v="7"/>
    </i>
    <i>
      <x v="9"/>
    </i>
    <i>
      <x v="11"/>
    </i>
    <i>
      <x v="1"/>
    </i>
    <i>
      <x/>
    </i>
    <i t="grand">
      <x/>
    </i>
  </rowItems>
  <colItems count="1">
    <i/>
  </colItems>
  <dataFields count="1">
    <dataField name="Sum of Sales" fld="14" baseField="0" baseItem="0"/>
  </dataFields>
  <formats count="7">
    <format dxfId="56">
      <pivotArea collapsedLevelsAreSubtotals="1" fieldPosition="0"/>
    </format>
    <format dxfId="57">
      <pivotArea collapsedLevelsAreSubtotals="1" fieldPosition="0"/>
    </format>
    <format dxfId="58">
      <pivotArea collapsedLevelsAreSubtotals="1" fieldPosition="0"/>
    </format>
    <format dxfId="59">
      <pivotArea collapsedLevelsAreSubtotals="1" fieldPosition="0"/>
    </format>
    <format dxfId="60">
      <pivotArea collapsedLevelsAreSubtotals="1" fieldPosition="0"/>
    </format>
    <format dxfId="61">
      <pivotArea collapsedLevelsAreSubtotals="1" fieldPosition="0"/>
    </format>
    <format dxfId="6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F28:G32" firstHeaderRow="1" firstDataRow="1" firstDataCol="1"/>
  <pivotFields count="18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3" showAll="0">
      <items count="870">
        <item x="431"/>
        <item x="128"/>
        <item x="102"/>
        <item x="758"/>
        <item x="298"/>
        <item x="178"/>
        <item x="248"/>
        <item x="120"/>
        <item x="532"/>
        <item x="389"/>
        <item x="133"/>
        <item x="759"/>
        <item x="498"/>
        <item x="22"/>
        <item x="11"/>
        <item x="78"/>
        <item x="229"/>
        <item x="113"/>
        <item x="203"/>
        <item x="787"/>
        <item x="171"/>
        <item x="490"/>
        <item x="149"/>
        <item x="411"/>
        <item x="292"/>
        <item x="52"/>
        <item x="493"/>
        <item x="40"/>
        <item x="377"/>
        <item x="129"/>
        <item x="111"/>
        <item x="676"/>
        <item x="514"/>
        <item x="198"/>
        <item x="18"/>
        <item x="317"/>
        <item x="213"/>
        <item x="295"/>
        <item x="123"/>
        <item x="326"/>
        <item x="228"/>
        <item x="647"/>
        <item x="32"/>
        <item x="155"/>
        <item x="465"/>
        <item x="793"/>
        <item x="96"/>
        <item x="115"/>
        <item x="189"/>
        <item x="92"/>
        <item x="159"/>
        <item x="201"/>
        <item x="316"/>
        <item x="671"/>
        <item x="403"/>
        <item x="3"/>
        <item x="36"/>
        <item x="210"/>
        <item x="199"/>
        <item x="303"/>
        <item x="334"/>
        <item x="366"/>
        <item x="307"/>
        <item x="858"/>
        <item x="91"/>
        <item x="8"/>
        <item x="151"/>
        <item x="172"/>
        <item x="654"/>
        <item x="413"/>
        <item x="275"/>
        <item x="790"/>
        <item x="72"/>
        <item x="325"/>
        <item x="25"/>
        <item x="373"/>
        <item x="318"/>
        <item x="563"/>
        <item x="528"/>
        <item x="183"/>
        <item x="16"/>
        <item x="2"/>
        <item x="245"/>
        <item x="437"/>
        <item x="855"/>
        <item x="330"/>
        <item x="117"/>
        <item x="322"/>
        <item x="150"/>
        <item x="33"/>
        <item x="466"/>
        <item x="408"/>
        <item x="184"/>
        <item x="462"/>
        <item x="116"/>
        <item x="697"/>
        <item x="97"/>
        <item x="242"/>
        <item x="101"/>
        <item x="162"/>
        <item x="744"/>
        <item x="476"/>
        <item x="714"/>
        <item x="350"/>
        <item x="685"/>
        <item x="779"/>
        <item x="695"/>
        <item x="147"/>
        <item x="580"/>
        <item x="181"/>
        <item x="506"/>
        <item x="371"/>
        <item x="507"/>
        <item x="630"/>
        <item x="585"/>
        <item x="782"/>
        <item x="615"/>
        <item x="118"/>
        <item x="223"/>
        <item x="219"/>
        <item x="673"/>
        <item x="249"/>
        <item x="285"/>
        <item x="587"/>
        <item x="640"/>
        <item x="732"/>
        <item x="35"/>
        <item x="746"/>
        <item x="432"/>
        <item x="751"/>
        <item x="46"/>
        <item x="677"/>
        <item x="634"/>
        <item x="251"/>
        <item x="82"/>
        <item x="420"/>
        <item x="645"/>
        <item x="351"/>
        <item x="762"/>
        <item x="365"/>
        <item x="819"/>
        <item x="383"/>
        <item x="768"/>
        <item x="206"/>
        <item x="187"/>
        <item x="843"/>
        <item x="729"/>
        <item x="612"/>
        <item x="141"/>
        <item x="329"/>
        <item x="278"/>
        <item x="372"/>
        <item x="577"/>
        <item x="835"/>
        <item x="837"/>
        <item x="440"/>
        <item x="644"/>
        <item x="725"/>
        <item x="14"/>
        <item x="641"/>
        <item x="196"/>
        <item x="854"/>
        <item x="88"/>
        <item x="716"/>
        <item x="795"/>
        <item x="422"/>
        <item x="863"/>
        <item x="624"/>
        <item x="546"/>
        <item x="508"/>
        <item x="439"/>
        <item x="28"/>
        <item x="540"/>
        <item x="211"/>
        <item x="379"/>
        <item x="337"/>
        <item x="629"/>
        <item x="124"/>
        <item x="143"/>
        <item x="346"/>
        <item x="754"/>
        <item x="619"/>
        <item x="0"/>
        <item x="548"/>
        <item x="418"/>
        <item x="549"/>
        <item x="561"/>
        <item x="327"/>
        <item x="831"/>
        <item x="481"/>
        <item x="255"/>
        <item x="688"/>
        <item x="495"/>
        <item x="662"/>
        <item x="77"/>
        <item x="611"/>
        <item x="867"/>
        <item x="672"/>
        <item x="721"/>
        <item x="417"/>
        <item x="785"/>
        <item x="459"/>
        <item x="776"/>
        <item x="554"/>
        <item x="565"/>
        <item x="710"/>
        <item x="598"/>
        <item x="599"/>
        <item x="90"/>
        <item x="168"/>
        <item x="12"/>
        <item x="610"/>
        <item x="266"/>
        <item x="825"/>
        <item x="438"/>
        <item x="30"/>
        <item x="135"/>
        <item x="538"/>
        <item x="53"/>
        <item x="177"/>
        <item x="455"/>
        <item x="807"/>
        <item x="108"/>
        <item x="708"/>
        <item x="21"/>
        <item x="17"/>
        <item x="648"/>
        <item x="166"/>
        <item x="423"/>
        <item x="433"/>
        <item x="748"/>
        <item x="829"/>
        <item x="694"/>
        <item x="637"/>
        <item x="797"/>
        <item x="43"/>
        <item x="387"/>
        <item x="268"/>
        <item x="67"/>
        <item x="722"/>
        <item x="852"/>
        <item x="158"/>
        <item x="75"/>
        <item x="70"/>
        <item x="288"/>
        <item x="833"/>
        <item x="367"/>
        <item x="778"/>
        <item x="252"/>
        <item x="175"/>
        <item x="304"/>
        <item x="830"/>
        <item x="450"/>
        <item x="164"/>
        <item x="764"/>
        <item x="643"/>
        <item x="348"/>
        <item x="209"/>
        <item x="511"/>
        <item x="10"/>
        <item x="222"/>
        <item x="161"/>
        <item x="29"/>
        <item x="121"/>
        <item x="646"/>
        <item x="683"/>
        <item x="355"/>
        <item x="398"/>
        <item x="515"/>
        <item x="234"/>
        <item x="657"/>
        <item x="125"/>
        <item x="584"/>
        <item x="208"/>
        <item x="76"/>
        <item x="180"/>
        <item x="626"/>
        <item x="818"/>
        <item x="357"/>
        <item x="588"/>
        <item x="287"/>
        <item x="280"/>
        <item x="775"/>
        <item x="57"/>
        <item x="799"/>
        <item x="19"/>
        <item x="232"/>
        <item x="405"/>
        <item x="614"/>
        <item x="238"/>
        <item x="575"/>
        <item x="533"/>
        <item x="669"/>
        <item x="381"/>
        <item x="659"/>
        <item x="194"/>
        <item x="146"/>
        <item x="551"/>
        <item x="448"/>
        <item x="499"/>
        <item x="47"/>
        <item x="321"/>
        <item x="333"/>
        <item x="6"/>
        <item x="844"/>
        <item x="691"/>
        <item x="131"/>
        <item x="680"/>
        <item x="13"/>
        <item x="34"/>
        <item x="636"/>
        <item x="777"/>
        <item x="576"/>
        <item x="254"/>
        <item x="246"/>
        <item x="85"/>
        <item x="513"/>
        <item x="586"/>
        <item x="553"/>
        <item x="37"/>
        <item x="505"/>
        <item x="497"/>
        <item x="834"/>
        <item x="501"/>
        <item x="569"/>
        <item x="745"/>
        <item x="87"/>
        <item x="772"/>
        <item x="632"/>
        <item x="419"/>
        <item x="312"/>
        <item x="484"/>
        <item x="126"/>
        <item x="743"/>
        <item x="370"/>
        <item x="517"/>
        <item x="801"/>
        <item x="482"/>
        <item x="542"/>
        <item x="487"/>
        <item x="723"/>
        <item x="386"/>
        <item x="601"/>
        <item x="290"/>
        <item x="468"/>
        <item x="675"/>
        <item x="539"/>
        <item x="477"/>
        <item x="226"/>
        <item x="393"/>
        <item x="402"/>
        <item x="93"/>
        <item x="215"/>
        <item x="84"/>
        <item x="606"/>
        <item x="400"/>
        <item x="519"/>
        <item x="100"/>
        <item x="110"/>
        <item x="339"/>
        <item x="518"/>
        <item x="720"/>
        <item x="139"/>
        <item x="731"/>
        <item x="821"/>
        <item x="564"/>
        <item x="73"/>
        <item x="656"/>
        <item x="794"/>
        <item x="699"/>
        <item x="390"/>
        <item x="441"/>
        <item x="323"/>
        <item x="530"/>
        <item x="735"/>
        <item x="170"/>
        <item x="191"/>
        <item x="520"/>
        <item x="182"/>
        <item x="628"/>
        <item x="653"/>
        <item x="642"/>
        <item x="567"/>
        <item x="352"/>
        <item x="336"/>
        <item x="240"/>
        <item x="24"/>
        <item x="806"/>
        <item x="638"/>
        <item x="142"/>
        <item x="279"/>
        <item x="581"/>
        <item x="471"/>
        <item x="480"/>
        <item x="592"/>
        <item x="665"/>
        <item x="267"/>
        <item x="424"/>
        <item x="485"/>
        <item x="276"/>
        <item x="106"/>
        <item x="864"/>
        <item x="190"/>
        <item x="374"/>
        <item x="380"/>
        <item x="483"/>
        <item x="500"/>
        <item x="174"/>
        <item x="214"/>
        <item x="48"/>
        <item x="767"/>
        <item x="283"/>
        <item x="847"/>
        <item x="62"/>
        <item x="186"/>
        <item x="590"/>
        <item x="579"/>
        <item x="15"/>
        <item x="800"/>
        <item x="828"/>
        <item x="512"/>
        <item x="273"/>
        <item x="138"/>
        <item x="412"/>
        <item x="4"/>
        <item x="9"/>
        <item x="311"/>
        <item x="709"/>
        <item x="313"/>
        <item x="409"/>
        <item x="817"/>
        <item x="813"/>
        <item x="293"/>
        <item x="832"/>
        <item x="185"/>
        <item x="805"/>
        <item x="496"/>
        <item x="522"/>
        <item x="216"/>
        <item x="625"/>
        <item x="458"/>
        <item x="589"/>
        <item x="724"/>
        <item x="693"/>
        <item x="456"/>
        <item x="144"/>
        <item x="179"/>
        <item x="537"/>
        <item x="664"/>
        <item x="344"/>
        <item x="299"/>
        <item x="633"/>
        <item x="618"/>
        <item x="726"/>
        <item x="815"/>
        <item x="700"/>
        <item x="83"/>
        <item x="504"/>
        <item x="526"/>
        <item x="489"/>
        <item x="401"/>
        <item x="814"/>
        <item x="247"/>
        <item x="475"/>
        <item x="531"/>
        <item x="192"/>
        <item x="23"/>
        <item x="354"/>
        <item x="122"/>
        <item x="868"/>
        <item x="711"/>
        <item x="324"/>
        <item x="204"/>
        <item x="434"/>
        <item x="769"/>
        <item x="114"/>
        <item x="556"/>
        <item x="256"/>
        <item x="534"/>
        <item x="109"/>
        <item x="494"/>
        <item x="89"/>
        <item x="152"/>
        <item x="200"/>
        <item x="773"/>
        <item x="536"/>
        <item x="679"/>
        <item x="784"/>
        <item x="509"/>
        <item x="826"/>
        <item x="809"/>
        <item x="382"/>
        <item x="470"/>
        <item x="733"/>
        <item x="524"/>
        <item x="39"/>
        <item x="63"/>
        <item x="358"/>
        <item x="555"/>
        <item x="543"/>
        <item x="300"/>
        <item x="682"/>
        <item x="306"/>
        <item x="224"/>
        <item x="41"/>
        <item x="119"/>
        <item x="765"/>
        <item x="562"/>
        <item x="392"/>
        <item x="491"/>
        <item x="217"/>
        <item x="160"/>
        <item x="447"/>
        <item x="104"/>
        <item x="578"/>
        <item x="791"/>
        <item x="261"/>
        <item x="836"/>
        <item x="559"/>
        <item x="220"/>
        <item x="824"/>
        <item x="600"/>
        <item x="853"/>
        <item x="235"/>
        <item x="296"/>
        <item x="44"/>
        <item x="552"/>
        <item x="545"/>
        <item x="388"/>
        <item x="289"/>
        <item x="747"/>
        <item x="218"/>
        <item x="701"/>
        <item x="469"/>
        <item x="169"/>
        <item x="360"/>
        <item x="391"/>
        <item x="655"/>
        <item x="271"/>
        <item x="525"/>
        <item x="698"/>
        <item x="331"/>
        <item x="212"/>
        <item x="81"/>
        <item x="103"/>
        <item x="607"/>
        <item x="188"/>
        <item x="264"/>
        <item x="453"/>
        <item x="742"/>
        <item x="845"/>
        <item x="163"/>
        <item x="811"/>
        <item x="153"/>
        <item x="736"/>
        <item x="463"/>
        <item x="846"/>
        <item x="681"/>
        <item x="535"/>
        <item x="60"/>
        <item x="593"/>
        <item x="740"/>
        <item x="460"/>
        <item x="294"/>
        <item x="1"/>
        <item x="314"/>
        <item x="541"/>
        <item x="202"/>
        <item x="730"/>
        <item x="738"/>
        <item x="788"/>
        <item x="753"/>
        <item x="544"/>
        <item x="668"/>
        <item x="839"/>
        <item x="127"/>
        <item x="167"/>
        <item x="426"/>
        <item x="353"/>
        <item x="157"/>
        <item x="173"/>
        <item x="770"/>
        <item x="98"/>
        <item x="244"/>
        <item x="309"/>
        <item x="713"/>
        <item x="205"/>
        <item x="394"/>
        <item x="284"/>
        <item x="443"/>
        <item x="594"/>
        <item x="452"/>
        <item x="233"/>
        <item x="145"/>
        <item x="503"/>
        <item x="112"/>
        <item x="349"/>
        <item x="623"/>
        <item x="5"/>
        <item x="436"/>
        <item x="449"/>
        <item x="31"/>
        <item x="429"/>
        <item x="56"/>
        <item x="263"/>
        <item x="332"/>
        <item x="250"/>
        <item x="658"/>
        <item x="478"/>
        <item x="781"/>
        <item x="780"/>
        <item x="558"/>
        <item x="225"/>
        <item x="734"/>
        <item x="58"/>
        <item x="257"/>
        <item x="397"/>
        <item x="651"/>
        <item x="446"/>
        <item x="739"/>
        <item x="38"/>
        <item x="570"/>
        <item x="674"/>
        <item x="678"/>
        <item x="363"/>
        <item x="64"/>
        <item x="50"/>
        <item x="650"/>
        <item x="259"/>
        <item x="94"/>
        <item x="42"/>
        <item x="842"/>
        <item x="136"/>
        <item x="416"/>
        <item x="340"/>
        <item x="652"/>
        <item x="362"/>
        <item x="230"/>
        <item x="796"/>
        <item x="827"/>
        <item x="445"/>
        <item x="71"/>
        <item x="573"/>
        <item x="237"/>
        <item x="274"/>
        <item x="341"/>
        <item x="849"/>
        <item x="319"/>
        <item x="840"/>
        <item x="755"/>
        <item x="7"/>
        <item x="74"/>
        <item x="241"/>
        <item x="597"/>
        <item x="571"/>
        <item x="741"/>
        <item x="80"/>
        <item x="361"/>
        <item x="239"/>
        <item x="763"/>
        <item x="572"/>
        <item x="454"/>
        <item x="260"/>
        <item x="812"/>
        <item x="860"/>
        <item x="771"/>
        <item x="621"/>
        <item x="243"/>
        <item x="425"/>
        <item x="302"/>
        <item x="862"/>
        <item x="841"/>
        <item x="369"/>
        <item x="404"/>
        <item x="473"/>
        <item x="692"/>
        <item x="620"/>
        <item x="635"/>
        <item x="427"/>
        <item x="670"/>
        <item x="291"/>
        <item x="356"/>
        <item x="727"/>
        <item x="156"/>
        <item x="728"/>
        <item x="59"/>
        <item x="660"/>
        <item x="502"/>
        <item x="608"/>
        <item x="715"/>
        <item x="154"/>
        <item x="851"/>
        <item x="686"/>
        <item x="547"/>
        <item x="750"/>
        <item x="810"/>
        <item x="866"/>
        <item x="227"/>
        <item x="415"/>
        <item x="368"/>
        <item x="474"/>
        <item x="435"/>
        <item x="613"/>
        <item x="55"/>
        <item x="461"/>
        <item x="702"/>
        <item x="663"/>
        <item x="639"/>
        <item x="717"/>
        <item x="430"/>
        <item x="277"/>
        <item x="457"/>
        <item x="467"/>
        <item x="774"/>
        <item x="856"/>
        <item x="604"/>
        <item x="704"/>
        <item x="297"/>
        <item x="689"/>
        <item x="95"/>
        <item x="49"/>
        <item x="464"/>
        <item x="761"/>
        <item x="45"/>
        <item x="61"/>
        <item x="335"/>
        <item x="207"/>
        <item x="582"/>
        <item x="308"/>
        <item x="602"/>
        <item x="596"/>
        <item x="823"/>
        <item x="428"/>
        <item x="165"/>
        <item x="666"/>
        <item x="848"/>
        <item x="364"/>
        <item x="766"/>
        <item x="414"/>
        <item x="705"/>
        <item x="684"/>
        <item x="79"/>
        <item x="568"/>
        <item x="591"/>
        <item x="661"/>
        <item x="69"/>
        <item x="347"/>
        <item x="703"/>
        <item x="822"/>
        <item x="342"/>
        <item x="270"/>
        <item x="527"/>
        <item x="521"/>
        <item x="399"/>
        <item x="269"/>
        <item x="820"/>
        <item x="808"/>
        <item x="105"/>
        <item x="479"/>
        <item x="134"/>
        <item x="486"/>
        <item x="749"/>
        <item x="378"/>
        <item x="376"/>
        <item x="707"/>
        <item x="492"/>
        <item x="328"/>
        <item x="804"/>
        <item x="690"/>
        <item x="86"/>
        <item x="281"/>
        <item x="236"/>
        <item x="616"/>
        <item x="737"/>
        <item x="516"/>
        <item x="301"/>
        <item x="627"/>
        <item x="410"/>
        <item x="197"/>
        <item x="107"/>
        <item x="359"/>
        <item x="603"/>
        <item x="310"/>
        <item x="262"/>
        <item x="272"/>
        <item x="529"/>
        <item x="557"/>
        <item x="667"/>
        <item x="861"/>
        <item x="282"/>
        <item x="444"/>
        <item x="760"/>
        <item x="712"/>
        <item x="137"/>
        <item x="148"/>
        <item x="792"/>
        <item x="66"/>
        <item x="407"/>
        <item x="756"/>
        <item x="857"/>
        <item x="176"/>
        <item x="510"/>
        <item x="488"/>
        <item x="221"/>
        <item x="609"/>
        <item x="395"/>
        <item x="343"/>
        <item x="396"/>
        <item x="574"/>
        <item x="706"/>
        <item x="54"/>
        <item x="195"/>
        <item x="838"/>
        <item x="859"/>
        <item x="631"/>
        <item x="789"/>
        <item x="605"/>
        <item x="231"/>
        <item x="617"/>
        <item x="406"/>
        <item x="345"/>
        <item x="320"/>
        <item x="803"/>
        <item x="253"/>
        <item x="265"/>
        <item x="649"/>
        <item x="798"/>
        <item x="719"/>
        <item x="687"/>
        <item x="550"/>
        <item x="20"/>
        <item x="850"/>
        <item x="65"/>
        <item x="523"/>
        <item x="51"/>
        <item x="802"/>
        <item x="130"/>
        <item x="140"/>
        <item x="286"/>
        <item x="375"/>
        <item x="384"/>
        <item x="132"/>
        <item x="451"/>
        <item x="27"/>
        <item x="595"/>
        <item x="442"/>
        <item x="786"/>
        <item x="26"/>
        <item x="566"/>
        <item x="68"/>
        <item x="816"/>
        <item x="472"/>
        <item x="385"/>
        <item x="338"/>
        <item x="258"/>
        <item x="583"/>
        <item x="305"/>
        <item x="783"/>
        <item x="421"/>
        <item x="560"/>
        <item x="752"/>
        <item x="622"/>
        <item x="193"/>
        <item x="696"/>
        <item x="865"/>
        <item x="315"/>
        <item x="718"/>
        <item x="99"/>
        <item x="757"/>
        <item t="default"/>
      </items>
    </pivotField>
    <pivotField compact="0" showAll="0">
      <items count="13">
        <item x="1"/>
        <item x="5"/>
        <item x="3"/>
        <item x="0"/>
        <item x="7"/>
        <item x="6"/>
        <item x="2"/>
        <item x="4"/>
        <item x="11"/>
        <item x="9"/>
        <item x="10"/>
        <item x="8"/>
        <item t="default"/>
      </items>
    </pivotField>
    <pivotField measureFilter="1" compact="0" showAll="0">
      <items count="14">
        <item x="7"/>
        <item x="11"/>
        <item x="8"/>
        <item x="2"/>
        <item x="0"/>
        <item x="12"/>
        <item x="4"/>
        <item x="9"/>
        <item x="1"/>
        <item x="3"/>
        <item x="5"/>
        <item x="10"/>
        <item x="6"/>
        <item t="default"/>
      </items>
    </pivotField>
    <pivotField compact="0" showAll="0">
      <items count="7">
        <item x="2"/>
        <item x="1"/>
        <item x="0"/>
        <item x="4"/>
        <item x="3"/>
        <item x="5"/>
        <item t="default"/>
      </items>
    </pivotField>
    <pivotField compact="0" showAll="0">
      <items count="6">
        <item x="4"/>
        <item x="2"/>
        <item x="1"/>
        <item x="3"/>
        <item x="0"/>
        <item t="default"/>
      </items>
    </pivotField>
    <pivotField compact="0" showAll="0">
      <items count="19">
        <item x="10"/>
        <item x="7"/>
        <item x="12"/>
        <item x="5"/>
        <item x="4"/>
        <item x="2"/>
        <item x="6"/>
        <item x="15"/>
        <item x="14"/>
        <item x="16"/>
        <item x="11"/>
        <item x="17"/>
        <item x="1"/>
        <item x="9"/>
        <item x="8"/>
        <item x="0"/>
        <item x="13"/>
        <item x="3"/>
        <item t="default"/>
      </items>
    </pivotField>
    <pivotField compact="0" showAll="0">
      <items count="54">
        <item x="27"/>
        <item x="10"/>
        <item x="20"/>
        <item x="7"/>
        <item x="16"/>
        <item x="3"/>
        <item x="11"/>
        <item x="46"/>
        <item x="40"/>
        <item x="49"/>
        <item x="24"/>
        <item x="34"/>
        <item x="30"/>
        <item x="51"/>
        <item x="37"/>
        <item x="42"/>
        <item x="44"/>
        <item x="15"/>
        <item x="26"/>
        <item x="17"/>
        <item x="19"/>
        <item x="0"/>
        <item x="50"/>
        <item x="14"/>
        <item x="23"/>
        <item x="38"/>
        <item x="6"/>
        <item x="39"/>
        <item x="43"/>
        <item x="33"/>
        <item x="2"/>
        <item x="21"/>
        <item x="45"/>
        <item x="52"/>
        <item x="18"/>
        <item x="29"/>
        <item x="9"/>
        <item x="13"/>
        <item x="8"/>
        <item x="35"/>
        <item x="28"/>
        <item x="12"/>
        <item x="31"/>
        <item x="25"/>
        <item x="4"/>
        <item x="22"/>
        <item x="41"/>
        <item x="5"/>
        <item x="1"/>
        <item x="48"/>
        <item x="32"/>
        <item x="36"/>
        <item x="47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compact="0" showAll="0">
      <items count="14">
        <item x="6"/>
        <item x="5"/>
        <item m="1" x="12"/>
        <item x="1"/>
        <item x="2"/>
        <item x="8"/>
        <item x="4"/>
        <item x="10"/>
        <item x="11"/>
        <item x="3"/>
        <item x="9"/>
        <item x="7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1">
        <item x="4"/>
        <item x="9"/>
        <item x="3"/>
        <item x="1"/>
        <item x="0"/>
        <item x="6"/>
        <item x="7"/>
        <item x="2"/>
        <item x="5"/>
        <item x="8"/>
        <item t="default"/>
      </items>
    </pivotField>
    <pivotField compact="0" showAll="0">
      <items count="506">
        <item x="124"/>
        <item x="108"/>
        <item x="360"/>
        <item x="10"/>
        <item x="90"/>
        <item x="468"/>
        <item x="174"/>
        <item x="253"/>
        <item x="101"/>
        <item x="243"/>
        <item x="7"/>
        <item x="29"/>
        <item x="79"/>
        <item x="236"/>
        <item x="151"/>
        <item x="2"/>
        <item x="426"/>
        <item x="192"/>
        <item x="280"/>
        <item x="31"/>
        <item x="138"/>
        <item x="196"/>
        <item x="204"/>
        <item x="100"/>
        <item x="441"/>
        <item x="86"/>
        <item x="175"/>
        <item x="89"/>
        <item x="136"/>
        <item x="55"/>
        <item x="369"/>
        <item x="435"/>
        <item x="103"/>
        <item x="479"/>
        <item x="349"/>
        <item x="1"/>
        <item x="41"/>
        <item x="229"/>
        <item x="94"/>
        <item x="109"/>
        <item x="194"/>
        <item x="336"/>
        <item x="407"/>
        <item x="32"/>
        <item x="237"/>
        <item x="15"/>
        <item x="401"/>
        <item x="27"/>
        <item x="149"/>
        <item x="279"/>
        <item x="13"/>
        <item x="413"/>
        <item x="127"/>
        <item x="126"/>
        <item x="370"/>
        <item x="365"/>
        <item x="387"/>
        <item x="5"/>
        <item x="469"/>
        <item x="115"/>
        <item x="172"/>
        <item x="404"/>
        <item x="430"/>
        <item x="112"/>
        <item x="439"/>
        <item x="68"/>
        <item x="334"/>
        <item x="450"/>
        <item x="249"/>
        <item x="197"/>
        <item x="166"/>
        <item x="105"/>
        <item x="139"/>
        <item x="141"/>
        <item x="208"/>
        <item x="106"/>
        <item x="227"/>
        <item x="436"/>
        <item x="445"/>
        <item x="38"/>
        <item x="305"/>
        <item x="425"/>
        <item x="458"/>
        <item x="303"/>
        <item x="498"/>
        <item x="143"/>
        <item x="180"/>
        <item x="176"/>
        <item x="432"/>
        <item x="222"/>
        <item x="274"/>
        <item x="375"/>
        <item x="315"/>
        <item x="116"/>
        <item x="150"/>
        <item x="199"/>
        <item x="72"/>
        <item x="49"/>
        <item x="267"/>
        <item x="471"/>
        <item x="129"/>
        <item x="343"/>
        <item x="46"/>
        <item x="268"/>
        <item x="207"/>
        <item x="21"/>
        <item x="36"/>
        <item x="284"/>
        <item x="74"/>
        <item x="308"/>
        <item x="378"/>
        <item x="330"/>
        <item x="179"/>
        <item x="434"/>
        <item x="8"/>
        <item x="359"/>
        <item x="367"/>
        <item x="121"/>
        <item x="163"/>
        <item x="16"/>
        <item x="220"/>
        <item x="325"/>
        <item x="223"/>
        <item x="35"/>
        <item x="358"/>
        <item x="225"/>
        <item x="118"/>
        <item x="405"/>
        <item x="211"/>
        <item x="347"/>
        <item x="297"/>
        <item x="352"/>
        <item x="314"/>
        <item x="250"/>
        <item x="183"/>
        <item x="496"/>
        <item x="28"/>
        <item x="410"/>
        <item x="131"/>
        <item x="262"/>
        <item x="160"/>
        <item x="122"/>
        <item x="288"/>
        <item x="350"/>
        <item x="62"/>
        <item x="133"/>
        <item x="85"/>
        <item x="157"/>
        <item x="164"/>
        <item x="99"/>
        <item x="415"/>
        <item x="156"/>
        <item x="81"/>
        <item x="39"/>
        <item x="168"/>
        <item x="154"/>
        <item x="457"/>
        <item x="148"/>
        <item x="224"/>
        <item x="389"/>
        <item x="495"/>
        <item x="24"/>
        <item x="419"/>
        <item x="408"/>
        <item x="161"/>
        <item x="500"/>
        <item x="78"/>
        <item x="4"/>
        <item x="502"/>
        <item x="201"/>
        <item x="245"/>
        <item x="48"/>
        <item x="47"/>
        <item x="165"/>
        <item x="381"/>
        <item x="240"/>
        <item x="3"/>
        <item x="453"/>
        <item x="461"/>
        <item x="433"/>
        <item x="87"/>
        <item x="392"/>
        <item x="484"/>
        <item x="170"/>
        <item x="186"/>
        <item x="20"/>
        <item x="411"/>
        <item x="289"/>
        <item x="134"/>
        <item x="242"/>
        <item x="256"/>
        <item x="12"/>
        <item x="276"/>
        <item x="290"/>
        <item x="238"/>
        <item x="71"/>
        <item x="326"/>
        <item x="80"/>
        <item x="460"/>
        <item x="246"/>
        <item x="339"/>
        <item x="125"/>
        <item x="355"/>
        <item x="169"/>
        <item x="285"/>
        <item x="257"/>
        <item x="328"/>
        <item x="107"/>
        <item x="120"/>
        <item x="264"/>
        <item x="466"/>
        <item x="272"/>
        <item x="0"/>
        <item x="374"/>
        <item x="251"/>
        <item x="438"/>
        <item x="428"/>
        <item x="67"/>
        <item x="351"/>
        <item x="283"/>
        <item x="431"/>
        <item x="452"/>
        <item x="383"/>
        <item x="178"/>
        <item x="397"/>
        <item x="11"/>
        <item x="210"/>
        <item x="403"/>
        <item x="26"/>
        <item x="92"/>
        <item x="147"/>
        <item x="488"/>
        <item x="142"/>
        <item x="241"/>
        <item x="345"/>
        <item x="281"/>
        <item x="235"/>
        <item x="248"/>
        <item x="63"/>
        <item x="247"/>
        <item x="137"/>
        <item x="226"/>
        <item x="446"/>
        <item x="293"/>
        <item x="463"/>
        <item x="340"/>
        <item x="480"/>
        <item x="287"/>
        <item x="58"/>
        <item x="298"/>
        <item x="66"/>
        <item x="61"/>
        <item x="91"/>
        <item x="277"/>
        <item x="273"/>
        <item x="200"/>
        <item x="145"/>
        <item x="232"/>
        <item x="472"/>
        <item x="265"/>
        <item x="357"/>
        <item x="135"/>
        <item x="25"/>
        <item x="104"/>
        <item x="420"/>
        <item x="437"/>
        <item x="270"/>
        <item x="64"/>
        <item x="391"/>
        <item x="43"/>
        <item x="412"/>
        <item x="51"/>
        <item x="50"/>
        <item x="482"/>
        <item x="17"/>
        <item x="188"/>
        <item x="52"/>
        <item x="123"/>
        <item x="376"/>
        <item x="73"/>
        <item x="69"/>
        <item x="42"/>
        <item x="216"/>
        <item x="6"/>
        <item x="110"/>
        <item x="30"/>
        <item x="128"/>
        <item x="451"/>
        <item x="388"/>
        <item x="195"/>
        <item x="75"/>
        <item x="244"/>
        <item x="33"/>
        <item x="354"/>
        <item x="493"/>
        <item x="77"/>
        <item x="476"/>
        <item x="414"/>
        <item x="342"/>
        <item x="278"/>
        <item x="473"/>
        <item x="371"/>
        <item x="454"/>
        <item x="399"/>
        <item x="337"/>
        <item x="296"/>
        <item x="82"/>
        <item x="171"/>
        <item x="294"/>
        <item x="88"/>
        <item x="96"/>
        <item x="310"/>
        <item x="255"/>
        <item x="382"/>
        <item x="424"/>
        <item x="261"/>
        <item x="44"/>
        <item x="158"/>
        <item x="333"/>
        <item x="368"/>
        <item x="153"/>
        <item x="362"/>
        <item x="206"/>
        <item x="390"/>
        <item x="14"/>
        <item x="309"/>
        <item x="394"/>
        <item x="53"/>
        <item x="423"/>
        <item x="418"/>
        <item x="76"/>
        <item x="190"/>
        <item x="487"/>
        <item x="417"/>
        <item x="119"/>
        <item x="218"/>
        <item x="332"/>
        <item x="140"/>
        <item x="503"/>
        <item x="282"/>
        <item x="286"/>
        <item x="341"/>
        <item x="144"/>
        <item x="221"/>
        <item x="483"/>
        <item x="295"/>
        <item x="202"/>
        <item x="215"/>
        <item x="304"/>
        <item x="9"/>
        <item x="447"/>
        <item x="301"/>
        <item x="491"/>
        <item x="489"/>
        <item x="152"/>
        <item x="486"/>
        <item x="348"/>
        <item x="363"/>
        <item x="173"/>
        <item x="393"/>
        <item x="203"/>
        <item x="324"/>
        <item x="97"/>
        <item x="416"/>
        <item x="490"/>
        <item x="299"/>
        <item x="353"/>
        <item x="366"/>
        <item x="19"/>
        <item x="269"/>
        <item x="70"/>
        <item x="475"/>
        <item x="98"/>
        <item x="379"/>
        <item x="95"/>
        <item x="346"/>
        <item x="477"/>
        <item x="184"/>
        <item x="319"/>
        <item x="372"/>
        <item x="234"/>
        <item x="37"/>
        <item x="102"/>
        <item x="322"/>
        <item x="494"/>
        <item x="380"/>
        <item x="177"/>
        <item x="398"/>
        <item x="499"/>
        <item x="40"/>
        <item x="377"/>
        <item x="373"/>
        <item x="462"/>
        <item x="45"/>
        <item x="331"/>
        <item x="291"/>
        <item x="217"/>
        <item x="213"/>
        <item x="442"/>
        <item x="254"/>
        <item x="155"/>
        <item x="327"/>
        <item x="478"/>
        <item x="465"/>
        <item x="57"/>
        <item x="302"/>
        <item x="193"/>
        <item x="233"/>
        <item x="448"/>
        <item x="167"/>
        <item x="292"/>
        <item x="318"/>
        <item x="266"/>
        <item x="316"/>
        <item x="205"/>
        <item x="198"/>
        <item x="159"/>
        <item x="56"/>
        <item x="181"/>
        <item x="459"/>
        <item x="421"/>
        <item x="321"/>
        <item x="34"/>
        <item x="385"/>
        <item x="313"/>
        <item x="83"/>
        <item x="113"/>
        <item x="306"/>
        <item x="259"/>
        <item x="422"/>
        <item x="300"/>
        <item x="320"/>
        <item x="65"/>
        <item x="191"/>
        <item x="396"/>
        <item x="386"/>
        <item x="189"/>
        <item x="323"/>
        <item x="231"/>
        <item x="409"/>
        <item x="311"/>
        <item x="271"/>
        <item x="455"/>
        <item x="132"/>
        <item x="456"/>
        <item x="130"/>
        <item x="260"/>
        <item x="182"/>
        <item x="18"/>
        <item x="335"/>
        <item x="449"/>
        <item x="228"/>
        <item x="84"/>
        <item x="329"/>
        <item x="470"/>
        <item x="54"/>
        <item x="312"/>
        <item x="429"/>
        <item x="497"/>
        <item x="275"/>
        <item x="474"/>
        <item x="384"/>
        <item x="427"/>
        <item x="60"/>
        <item x="492"/>
        <item x="317"/>
        <item x="212"/>
        <item x="338"/>
        <item x="111"/>
        <item x="464"/>
        <item x="444"/>
        <item x="344"/>
        <item x="252"/>
        <item x="485"/>
        <item x="440"/>
        <item x="219"/>
        <item x="187"/>
        <item x="361"/>
        <item x="230"/>
        <item x="162"/>
        <item x="93"/>
        <item x="400"/>
        <item x="214"/>
        <item x="501"/>
        <item x="114"/>
        <item x="146"/>
        <item x="356"/>
        <item x="406"/>
        <item x="443"/>
        <item x="402"/>
        <item x="185"/>
        <item x="263"/>
        <item x="209"/>
        <item x="481"/>
        <item x="364"/>
        <item x="117"/>
        <item x="23"/>
        <item x="395"/>
        <item x="22"/>
        <item x="59"/>
        <item x="258"/>
        <item x="307"/>
        <item x="504"/>
        <item x="239"/>
        <item x="467"/>
        <item t="default"/>
      </items>
    </pivotField>
    <pivotField compact="0" showAll="0">
      <items count="6">
        <item x="4"/>
        <item x="0"/>
        <item x="2"/>
        <item x="1"/>
        <item x="3"/>
        <item t="default"/>
      </items>
    </pivotField>
    <pivotField dataField="1" compact="0" showAll="0">
      <items count="881">
        <item x="441"/>
        <item x="125"/>
        <item x="51"/>
        <item x="691"/>
        <item x="100"/>
        <item x="769"/>
        <item x="298"/>
        <item x="335"/>
        <item x="114"/>
        <item x="323"/>
        <item x="148"/>
        <item x="33"/>
        <item x="472"/>
        <item x="417"/>
        <item x="180"/>
        <item x="175"/>
        <item x="668"/>
        <item x="243"/>
        <item x="379"/>
        <item x="393"/>
        <item x="366"/>
        <item x="248"/>
        <item x="468"/>
        <item x="113"/>
        <item x="704"/>
        <item x="96"/>
        <item x="241"/>
        <item x="99"/>
        <item x="159"/>
        <item x="778"/>
        <item x="545"/>
        <item x="801"/>
        <item x="117"/>
        <item x="802"/>
        <item x="549"/>
        <item x="120"/>
        <item x="130"/>
        <item x="300"/>
        <item x="434"/>
        <item x="770"/>
        <item x="753"/>
        <item x="484"/>
        <item x="724"/>
        <item x="356"/>
        <item x="693"/>
        <item x="792"/>
        <item x="703"/>
        <item x="145"/>
        <item x="82"/>
        <item x="178"/>
        <item x="520"/>
        <item x="378"/>
        <item x="521"/>
        <item x="643"/>
        <item x="599"/>
        <item x="794"/>
        <item x="627"/>
        <item x="509"/>
        <item x="784"/>
        <item x="589"/>
        <item x="22"/>
        <item x="447"/>
        <item x="606"/>
        <item x="213"/>
        <item x="620"/>
        <item x="754"/>
        <item x="11"/>
        <item x="132"/>
        <item x="409"/>
        <item x="696"/>
        <item x="546"/>
        <item x="77"/>
        <item x="236"/>
        <item x="481"/>
        <item x="227"/>
        <item x="726"/>
        <item x="329"/>
        <item x="250"/>
        <item x="110"/>
        <item x="200"/>
        <item x="798"/>
        <item x="443"/>
        <item x="168"/>
        <item x="267"/>
        <item x="713"/>
        <item x="718"/>
        <item x="687"/>
        <item x="716"/>
        <item x="499"/>
        <item x="147"/>
        <item x="425"/>
        <item x="667"/>
        <item x="740"/>
        <item x="420"/>
        <item x="863"/>
        <item x="115"/>
        <item x="220"/>
        <item x="8"/>
        <item x="680"/>
        <item x="249"/>
        <item x="287"/>
        <item x="601"/>
        <item x="654"/>
        <item x="741"/>
        <item x="35"/>
        <item x="757"/>
        <item x="442"/>
        <item x="762"/>
        <item x="46"/>
        <item x="684"/>
        <item x="649"/>
        <item x="252"/>
        <item x="81"/>
        <item x="429"/>
        <item x="333"/>
        <item x="358"/>
        <item x="773"/>
        <item x="372"/>
        <item x="832"/>
        <item x="392"/>
        <item x="783"/>
        <item x="495"/>
        <item x="52"/>
        <item x="660"/>
        <item x="502"/>
        <item x="836"/>
        <item x="40"/>
        <item x="334"/>
        <item x="386"/>
        <item x="126"/>
        <item x="184"/>
        <item x="431"/>
        <item x="108"/>
        <item x="570"/>
        <item x="596"/>
        <item x="224"/>
        <item x="848"/>
        <item x="683"/>
        <item x="782"/>
        <item x="722"/>
        <item x="530"/>
        <item x="542"/>
        <item x="686"/>
        <item x="195"/>
        <item x="18"/>
        <item x="749"/>
        <item x="341"/>
        <item x="712"/>
        <item x="304"/>
        <item x="210"/>
        <item x="526"/>
        <item x="294"/>
        <item x="841"/>
        <item x="316"/>
        <item x="357"/>
        <item x="506"/>
        <item x="411"/>
        <item x="516"/>
        <item x="440"/>
        <item x="330"/>
        <item x="226"/>
        <item x="515"/>
        <item x="310"/>
        <item x="860"/>
        <item x="296"/>
        <item x="32"/>
        <item x="633"/>
        <item x="153"/>
        <item x="349"/>
        <item x="208"/>
        <item x="471"/>
        <item x="803"/>
        <item x="513"/>
        <item x="619"/>
        <item x="351"/>
        <item x="95"/>
        <item x="34"/>
        <item x="365"/>
        <item x="462"/>
        <item x="291"/>
        <item x="112"/>
        <item x="647"/>
        <item x="707"/>
        <item x="187"/>
        <item x="825"/>
        <item x="91"/>
        <item x="43"/>
        <item x="202"/>
        <item x="185"/>
        <item x="856"/>
        <item x="739"/>
        <item x="139"/>
        <item x="280"/>
        <item x="380"/>
        <item x="593"/>
        <item x="849"/>
        <item x="851"/>
        <item x="448"/>
        <item x="656"/>
        <item x="735"/>
        <item x="14"/>
        <item x="655"/>
        <item x="193"/>
        <item x="865"/>
        <item x="87"/>
        <item x="805"/>
        <item x="263"/>
        <item x="875"/>
        <item x="638"/>
        <item x="562"/>
        <item x="512"/>
        <item x="284"/>
        <item x="123"/>
        <item x="198"/>
        <item x="575"/>
        <item x="688"/>
        <item x="317"/>
        <item x="679"/>
        <item x="301"/>
        <item x="412"/>
        <item x="830"/>
        <item x="3"/>
        <item x="209"/>
        <item x="732"/>
        <item x="146"/>
        <item x="755"/>
        <item x="681"/>
        <item x="36"/>
        <item x="413"/>
        <item x="602"/>
        <item x="813"/>
        <item x="206"/>
        <item x="230"/>
        <item x="504"/>
        <item x="196"/>
        <item x="635"/>
        <item x="527"/>
        <item x="305"/>
        <item x="107"/>
        <item x="321"/>
        <item x="827"/>
        <item x="339"/>
        <item x="700"/>
        <item x="373"/>
        <item x="399"/>
        <item x="315"/>
        <item x="309"/>
        <item x="869"/>
        <item x="90"/>
        <item x="751"/>
        <item x="326"/>
        <item x="89"/>
        <item x="728"/>
        <item x="489"/>
        <item x="149"/>
        <item x="552"/>
        <item x="522"/>
        <item x="28"/>
        <item x="556"/>
        <item x="207"/>
        <item x="388"/>
        <item x="342"/>
        <item x="642"/>
        <item x="121"/>
        <item x="141"/>
        <item x="352"/>
        <item x="765"/>
        <item x="631"/>
        <item x="0"/>
        <item x="563"/>
        <item x="428"/>
        <item x="564"/>
        <item x="577"/>
        <item x="331"/>
        <item x="844"/>
        <item x="490"/>
        <item x="256"/>
        <item x="695"/>
        <item x="186"/>
        <item x="671"/>
        <item x="76"/>
        <item x="624"/>
        <item x="879"/>
        <item x="439"/>
        <item x="730"/>
        <item x="427"/>
        <item x="797"/>
        <item x="466"/>
        <item x="789"/>
        <item x="221"/>
        <item x="581"/>
        <item x="720"/>
        <item x="611"/>
        <item x="612"/>
        <item x="165"/>
        <item x="12"/>
        <item x="623"/>
        <item x="269"/>
        <item x="839"/>
        <item x="318"/>
        <item x="30"/>
        <item x="133"/>
        <item x="554"/>
        <item x="174"/>
        <item x="461"/>
        <item x="818"/>
        <item x="105"/>
        <item x="169"/>
        <item x="833"/>
        <item x="781"/>
        <item x="482"/>
        <item x="662"/>
        <item x="422"/>
        <item x="277"/>
        <item x="503"/>
        <item x="382"/>
        <item x="223"/>
        <item x="328"/>
        <item x="71"/>
        <item x="327"/>
        <item x="25"/>
        <item x="381"/>
        <item x="727"/>
        <item x="717"/>
        <item x="21"/>
        <item x="17"/>
        <item x="658"/>
        <item x="163"/>
        <item x="432"/>
        <item x="403"/>
        <item x="759"/>
        <item x="288"/>
        <item x="702"/>
        <item x="651"/>
        <item x="807"/>
        <item x="396"/>
        <item x="271"/>
        <item x="66"/>
        <item x="731"/>
        <item x="597"/>
        <item x="156"/>
        <item x="74"/>
        <item x="69"/>
        <item x="290"/>
        <item x="846"/>
        <item x="374"/>
        <item x="791"/>
        <item x="253"/>
        <item x="172"/>
        <item x="306"/>
        <item x="843"/>
        <item x="458"/>
        <item x="161"/>
        <item x="775"/>
        <item x="354"/>
        <item x="205"/>
        <item x="525"/>
        <item x="10"/>
        <item x="219"/>
        <item x="158"/>
        <item x="29"/>
        <item x="118"/>
        <item x="657"/>
        <item x="690"/>
        <item x="361"/>
        <item x="531"/>
        <item x="233"/>
        <item x="665"/>
        <item x="122"/>
        <item x="598"/>
        <item x="204"/>
        <item x="75"/>
        <item x="177"/>
        <item x="831"/>
        <item x="363"/>
        <item x="603"/>
        <item x="289"/>
        <item x="282"/>
        <item x="788"/>
        <item x="56"/>
        <item x="809"/>
        <item x="19"/>
        <item x="231"/>
        <item x="414"/>
        <item x="626"/>
        <item x="237"/>
        <item x="529"/>
        <item x="550"/>
        <item x="677"/>
        <item x="390"/>
        <item x="666"/>
        <item x="192"/>
        <item x="144"/>
        <item x="566"/>
        <item x="456"/>
        <item x="510"/>
        <item x="47"/>
        <item x="322"/>
        <item x="338"/>
        <item x="6"/>
        <item x="857"/>
        <item x="698"/>
        <item x="128"/>
        <item x="568"/>
        <item x="13"/>
        <item x="790"/>
        <item x="592"/>
        <item x="255"/>
        <item x="246"/>
        <item x="84"/>
        <item x="600"/>
        <item x="37"/>
        <item x="519"/>
        <item x="508"/>
        <item x="847"/>
        <item x="514"/>
        <item x="585"/>
        <item x="756"/>
        <item x="86"/>
        <item x="787"/>
        <item x="646"/>
        <item x="313"/>
        <item x="493"/>
        <item x="752"/>
        <item x="377"/>
        <item x="53"/>
        <item x="811"/>
        <item x="491"/>
        <item x="558"/>
        <item x="733"/>
        <item x="395"/>
        <item x="614"/>
        <item x="474"/>
        <item x="555"/>
        <item x="485"/>
        <item x="410"/>
        <item x="92"/>
        <item x="212"/>
        <item x="83"/>
        <item x="618"/>
        <item x="407"/>
        <item x="98"/>
        <item x="344"/>
        <item x="533"/>
        <item x="729"/>
        <item x="137"/>
        <item x="835"/>
        <item x="580"/>
        <item x="72"/>
        <item x="664"/>
        <item x="804"/>
        <item x="706"/>
        <item x="398"/>
        <item x="449"/>
        <item x="324"/>
        <item x="547"/>
        <item x="744"/>
        <item x="167"/>
        <item x="189"/>
        <item x="535"/>
        <item x="872"/>
        <item x="579"/>
        <item x="543"/>
        <item x="179"/>
        <item x="182"/>
        <item x="534"/>
        <item x="299"/>
        <item x="265"/>
        <item x="645"/>
        <item x="16"/>
        <item x="435"/>
        <item x="607"/>
        <item x="405"/>
        <item x="2"/>
        <item x="641"/>
        <item x="661"/>
        <item x="337"/>
        <item x="583"/>
        <item x="218"/>
        <item x="239"/>
        <item x="24"/>
        <item x="817"/>
        <item x="652"/>
        <item x="140"/>
        <item x="281"/>
        <item x="311"/>
        <item x="477"/>
        <item x="488"/>
        <item x="673"/>
        <item x="270"/>
        <item x="433"/>
        <item x="494"/>
        <item x="278"/>
        <item x="103"/>
        <item x="876"/>
        <item x="188"/>
        <item x="383"/>
        <item x="389"/>
        <item x="492"/>
        <item x="511"/>
        <item x="171"/>
        <item x="211"/>
        <item x="48"/>
        <item x="780"/>
        <item x="285"/>
        <item x="861"/>
        <item x="61"/>
        <item x="183"/>
        <item x="605"/>
        <item x="594"/>
        <item x="15"/>
        <item x="810"/>
        <item x="842"/>
        <item x="528"/>
        <item x="276"/>
        <item x="136"/>
        <item x="421"/>
        <item x="4"/>
        <item x="9"/>
        <item x="312"/>
        <item x="719"/>
        <item x="314"/>
        <item x="418"/>
        <item x="829"/>
        <item x="824"/>
        <item x="845"/>
        <item x="181"/>
        <item x="816"/>
        <item x="507"/>
        <item x="537"/>
        <item x="214"/>
        <item x="639"/>
        <item x="465"/>
        <item x="604"/>
        <item x="734"/>
        <item x="701"/>
        <item x="463"/>
        <item x="142"/>
        <item x="176"/>
        <item x="553"/>
        <item x="672"/>
        <item x="348"/>
        <item x="648"/>
        <item x="630"/>
        <item x="736"/>
        <item x="826"/>
        <item x="708"/>
        <item x="518"/>
        <item x="541"/>
        <item x="498"/>
        <item x="408"/>
        <item x="247"/>
        <item x="483"/>
        <item x="548"/>
        <item x="190"/>
        <item x="23"/>
        <item x="360"/>
        <item x="119"/>
        <item x="721"/>
        <item x="325"/>
        <item x="164"/>
        <item x="111"/>
        <item x="571"/>
        <item x="257"/>
        <item x="551"/>
        <item x="106"/>
        <item x="505"/>
        <item x="88"/>
        <item x="150"/>
        <item x="197"/>
        <item x="228"/>
        <item x="685"/>
        <item x="796"/>
        <item x="523"/>
        <item x="820"/>
        <item x="391"/>
        <item x="476"/>
        <item x="742"/>
        <item x="539"/>
        <item x="39"/>
        <item x="62"/>
        <item x="364"/>
        <item x="569"/>
        <item x="559"/>
        <item x="689"/>
        <item x="308"/>
        <item x="41"/>
        <item x="116"/>
        <item x="776"/>
        <item x="578"/>
        <item x="401"/>
        <item x="500"/>
        <item x="215"/>
        <item x="157"/>
        <item x="455"/>
        <item x="101"/>
        <item x="254"/>
        <item x="262"/>
        <item x="850"/>
        <item x="574"/>
        <item x="217"/>
        <item x="838"/>
        <item x="613"/>
        <item x="864"/>
        <item x="234"/>
        <item x="295"/>
        <item x="44"/>
        <item x="567"/>
        <item x="561"/>
        <item x="397"/>
        <item x="758"/>
        <item x="216"/>
        <item x="709"/>
        <item x="475"/>
        <item x="166"/>
        <item x="367"/>
        <item x="400"/>
        <item x="663"/>
        <item x="274"/>
        <item x="540"/>
        <item x="705"/>
        <item x="336"/>
        <item x="80"/>
        <item x="54"/>
        <item x="621"/>
        <item x="266"/>
        <item x="45"/>
        <item x="858"/>
        <item x="160"/>
        <item x="822"/>
        <item x="151"/>
        <item x="745"/>
        <item x="469"/>
        <item x="859"/>
        <item x="650"/>
        <item x="59"/>
        <item x="748"/>
        <item x="467"/>
        <item x="293"/>
        <item x="1"/>
        <item x="557"/>
        <item x="199"/>
        <item x="67"/>
        <item x="747"/>
        <item x="799"/>
        <item x="764"/>
        <item x="560"/>
        <item x="676"/>
        <item x="853"/>
        <item x="124"/>
        <item x="129"/>
        <item x="359"/>
        <item x="155"/>
        <item x="170"/>
        <item x="785"/>
        <item x="244"/>
        <item x="723"/>
        <item x="201"/>
        <item x="402"/>
        <item x="286"/>
        <item x="451"/>
        <item x="608"/>
        <item x="232"/>
        <item x="143"/>
        <item x="109"/>
        <item x="355"/>
        <item x="637"/>
        <item x="5"/>
        <item x="445"/>
        <item x="457"/>
        <item x="31"/>
        <item x="55"/>
        <item x="264"/>
        <item x="251"/>
        <item x="486"/>
        <item x="793"/>
        <item x="573"/>
        <item x="222"/>
        <item x="743"/>
        <item x="57"/>
        <item x="258"/>
        <item x="404"/>
        <item x="454"/>
        <item x="38"/>
        <item x="586"/>
        <item x="682"/>
        <item x="370"/>
        <item x="63"/>
        <item x="50"/>
        <item x="79"/>
        <item x="260"/>
        <item x="93"/>
        <item x="42"/>
        <item x="855"/>
        <item x="134"/>
        <item x="426"/>
        <item x="345"/>
        <item x="369"/>
        <item x="806"/>
        <item x="840"/>
        <item x="453"/>
        <item x="70"/>
        <item x="590"/>
        <item x="319"/>
        <item x="854"/>
        <item x="766"/>
        <item x="7"/>
        <item x="73"/>
        <item x="240"/>
        <item x="587"/>
        <item x="750"/>
        <item x="368"/>
        <item x="238"/>
        <item x="774"/>
        <item x="588"/>
        <item x="460"/>
        <item x="261"/>
        <item x="823"/>
        <item x="871"/>
        <item x="786"/>
        <item x="634"/>
        <item x="242"/>
        <item x="436"/>
        <item x="303"/>
        <item x="874"/>
        <item x="376"/>
        <item x="480"/>
        <item x="699"/>
        <item x="632"/>
        <item x="437"/>
        <item x="678"/>
        <item x="292"/>
        <item x="362"/>
        <item x="737"/>
        <item x="154"/>
        <item x="738"/>
        <item x="58"/>
        <item x="669"/>
        <item x="517"/>
        <item x="152"/>
        <item x="761"/>
        <item x="821"/>
        <item x="878"/>
        <item x="225"/>
        <item x="424"/>
        <item x="375"/>
        <item x="444"/>
        <item x="625"/>
        <item x="710"/>
        <item x="653"/>
        <item x="725"/>
        <item x="279"/>
        <item x="464"/>
        <item x="473"/>
        <item x="867"/>
        <item x="616"/>
        <item x="297"/>
        <item x="94"/>
        <item x="49"/>
        <item x="470"/>
        <item x="772"/>
        <item x="60"/>
        <item x="340"/>
        <item x="203"/>
        <item x="595"/>
        <item x="615"/>
        <item x="610"/>
        <item x="837"/>
        <item x="438"/>
        <item x="162"/>
        <item x="674"/>
        <item x="862"/>
        <item x="371"/>
        <item x="777"/>
        <item x="423"/>
        <item x="714"/>
        <item x="692"/>
        <item x="78"/>
        <item x="584"/>
        <item x="670"/>
        <item x="68"/>
        <item x="353"/>
        <item x="711"/>
        <item x="346"/>
        <item x="273"/>
        <item x="536"/>
        <item x="406"/>
        <item x="272"/>
        <item x="834"/>
        <item x="819"/>
        <item x="102"/>
        <item x="487"/>
        <item x="131"/>
        <item x="496"/>
        <item x="760"/>
        <item x="387"/>
        <item x="385"/>
        <item x="715"/>
        <item x="501"/>
        <item x="332"/>
        <item x="815"/>
        <item x="697"/>
        <item x="85"/>
        <item x="283"/>
        <item x="235"/>
        <item x="628"/>
        <item x="746"/>
        <item x="532"/>
        <item x="302"/>
        <item x="640"/>
        <item x="419"/>
        <item x="194"/>
        <item x="104"/>
        <item x="275"/>
        <item x="544"/>
        <item x="572"/>
        <item x="675"/>
        <item x="873"/>
        <item x="452"/>
        <item x="771"/>
        <item x="135"/>
        <item x="65"/>
        <item x="416"/>
        <item x="767"/>
        <item x="868"/>
        <item x="173"/>
        <item x="524"/>
        <item x="497"/>
        <item x="622"/>
        <item x="347"/>
        <item x="591"/>
        <item x="97"/>
        <item x="852"/>
        <item x="870"/>
        <item x="644"/>
        <item x="800"/>
        <item x="617"/>
        <item x="229"/>
        <item x="779"/>
        <item x="478"/>
        <item x="245"/>
        <item x="446"/>
        <item x="866"/>
        <item x="629"/>
        <item x="415"/>
        <item x="350"/>
        <item x="320"/>
        <item x="814"/>
        <item x="268"/>
        <item x="659"/>
        <item x="808"/>
        <item x="694"/>
        <item x="565"/>
        <item x="20"/>
        <item x="64"/>
        <item x="538"/>
        <item x="812"/>
        <item x="127"/>
        <item x="138"/>
        <item x="384"/>
        <item x="394"/>
        <item x="459"/>
        <item x="27"/>
        <item x="609"/>
        <item x="450"/>
        <item x="26"/>
        <item x="582"/>
        <item x="828"/>
        <item x="479"/>
        <item x="343"/>
        <item x="259"/>
        <item x="307"/>
        <item x="795"/>
        <item x="430"/>
        <item x="576"/>
        <item x="763"/>
        <item x="636"/>
        <item x="191"/>
        <item x="877"/>
        <item x="768"/>
        <item t="default"/>
      </items>
    </pivotField>
    <pivotField compact="0" showAll="0">
      <items count="1001">
        <item x="473"/>
        <item x="129"/>
        <item x="573"/>
        <item x="772"/>
        <item x="102"/>
        <item x="866"/>
        <item x="314"/>
        <item x="354"/>
        <item x="118"/>
        <item x="342"/>
        <item x="153"/>
        <item x="33"/>
        <item x="510"/>
        <item x="445"/>
        <item x="187"/>
        <item x="181"/>
        <item x="742"/>
        <item x="254"/>
        <item x="401"/>
        <item x="415"/>
        <item x="387"/>
        <item x="259"/>
        <item x="506"/>
        <item x="117"/>
        <item x="788"/>
        <item x="97"/>
        <item x="252"/>
        <item x="101"/>
        <item x="165"/>
        <item x="877"/>
        <item x="592"/>
        <item x="907"/>
        <item x="121"/>
        <item x="908"/>
        <item x="596"/>
        <item x="421"/>
        <item x="134"/>
        <item x="316"/>
        <item x="464"/>
        <item x="867"/>
        <item x="850"/>
        <item x="522"/>
        <item x="813"/>
        <item x="376"/>
        <item x="774"/>
        <item x="895"/>
        <item x="786"/>
        <item x="149"/>
        <item x="648"/>
        <item x="184"/>
        <item x="562"/>
        <item x="400"/>
        <item x="563"/>
        <item x="707"/>
        <item x="654"/>
        <item x="898"/>
        <item x="690"/>
        <item x="550"/>
        <item x="884"/>
        <item x="640"/>
        <item x="22"/>
        <item x="868"/>
        <item x="661"/>
        <item x="223"/>
        <item x="680"/>
        <item x="851"/>
        <item x="11"/>
        <item x="136"/>
        <item x="436"/>
        <item x="778"/>
        <item x="593"/>
        <item x="78"/>
        <item x="753"/>
        <item x="519"/>
        <item x="238"/>
        <item x="818"/>
        <item x="348"/>
        <item x="261"/>
        <item x="114"/>
        <item x="209"/>
        <item x="903"/>
        <item x="476"/>
        <item x="174"/>
        <item x="278"/>
        <item x="800"/>
        <item x="806"/>
        <item x="767"/>
        <item x="804"/>
        <item x="539"/>
        <item x="152"/>
        <item x="453"/>
        <item x="741"/>
        <item x="835"/>
        <item x="448"/>
        <item x="979"/>
        <item x="307"/>
        <item x="119"/>
        <item x="231"/>
        <item x="227"/>
        <item x="757"/>
        <item x="260"/>
        <item x="300"/>
        <item x="656"/>
        <item x="720"/>
        <item x="836"/>
        <item x="35"/>
        <item x="854"/>
        <item x="474"/>
        <item x="859"/>
        <item x="46"/>
        <item x="762"/>
        <item x="713"/>
        <item x="263"/>
        <item x="82"/>
        <item x="458"/>
        <item x="725"/>
        <item x="378"/>
        <item x="872"/>
        <item x="394"/>
        <item x="941"/>
        <item x="414"/>
        <item x="883"/>
        <item x="534"/>
        <item x="52"/>
        <item x="733"/>
        <item x="542"/>
        <item x="945"/>
        <item x="40"/>
        <item x="353"/>
        <item x="408"/>
        <item x="130"/>
        <item x="191"/>
        <item x="461"/>
        <item x="112"/>
        <item x="621"/>
        <item x="651"/>
        <item x="235"/>
        <item x="961"/>
        <item x="761"/>
        <item x="882"/>
        <item x="810"/>
        <item x="572"/>
        <item x="588"/>
        <item x="766"/>
        <item x="204"/>
        <item x="18"/>
        <item x="845"/>
        <item x="718"/>
        <item x="336"/>
        <item x="797"/>
        <item x="320"/>
        <item x="220"/>
        <item x="568"/>
        <item x="310"/>
        <item x="953"/>
        <item x="682"/>
        <item x="377"/>
        <item x="124"/>
        <item x="546"/>
        <item x="438"/>
        <item x="557"/>
        <item x="472"/>
        <item x="349"/>
        <item x="237"/>
        <item x="556"/>
        <item x="727"/>
        <item x="974"/>
        <item x="312"/>
        <item x="32"/>
        <item x="696"/>
        <item x="158"/>
        <item x="369"/>
        <item x="948"/>
        <item x="509"/>
        <item x="911"/>
        <item x="554"/>
        <item x="679"/>
        <item x="371"/>
        <item x="96"/>
        <item x="196"/>
        <item x="386"/>
        <item x="499"/>
        <item x="532"/>
        <item x="116"/>
        <item x="711"/>
        <item x="791"/>
        <item x="194"/>
        <item x="934"/>
        <item x="92"/>
        <item x="586"/>
        <item x="212"/>
        <item x="192"/>
        <item x="970"/>
        <item x="832"/>
        <item x="687"/>
        <item x="143"/>
        <item x="352"/>
        <item x="292"/>
        <item x="402"/>
        <item x="645"/>
        <item x="962"/>
        <item x="964"/>
        <item x="483"/>
        <item x="724"/>
        <item x="828"/>
        <item x="14"/>
        <item x="721"/>
        <item x="202"/>
        <item x="983"/>
        <item x="88"/>
        <item x="815"/>
        <item x="913"/>
        <item x="460"/>
        <item x="994"/>
        <item x="701"/>
        <item x="611"/>
        <item x="553"/>
        <item x="297"/>
        <item x="162"/>
        <item x="207"/>
        <item x="626"/>
        <item x="768"/>
        <item x="335"/>
        <item x="755"/>
        <item x="871"/>
        <item x="439"/>
        <item x="939"/>
        <item x="3"/>
        <item x="219"/>
        <item x="825"/>
        <item x="151"/>
        <item x="852"/>
        <item x="758"/>
        <item x="36"/>
        <item x="440"/>
        <item x="657"/>
        <item x="921"/>
        <item x="216"/>
        <item x="241"/>
        <item x="544"/>
        <item x="205"/>
        <item x="698"/>
        <item x="569"/>
        <item x="321"/>
        <item x="798"/>
        <item x="340"/>
        <item x="936"/>
        <item x="358"/>
        <item x="783"/>
        <item x="395"/>
        <item x="423"/>
        <item x="332"/>
        <item x="325"/>
        <item x="988"/>
        <item x="91"/>
        <item x="847"/>
        <item x="345"/>
        <item x="8"/>
        <item x="108"/>
        <item x="821"/>
        <item x="527"/>
        <item x="154"/>
        <item x="601"/>
        <item x="564"/>
        <item x="482"/>
        <item x="28"/>
        <item x="605"/>
        <item x="217"/>
        <item x="410"/>
        <item x="361"/>
        <item x="706"/>
        <item x="125"/>
        <item x="145"/>
        <item x="372"/>
        <item x="862"/>
        <item x="694"/>
        <item x="0"/>
        <item x="613"/>
        <item x="456"/>
        <item x="614"/>
        <item x="628"/>
        <item x="350"/>
        <item x="957"/>
        <item x="528"/>
        <item x="267"/>
        <item x="777"/>
        <item x="547"/>
        <item x="745"/>
        <item x="77"/>
        <item x="686"/>
        <item x="998"/>
        <item x="756"/>
        <item x="823"/>
        <item x="455"/>
        <item x="901"/>
        <item x="503"/>
        <item x="892"/>
        <item x="619"/>
        <item x="632"/>
        <item x="808"/>
        <item x="670"/>
        <item x="671"/>
        <item x="90"/>
        <item x="171"/>
        <item x="12"/>
        <item x="685"/>
        <item x="280"/>
        <item x="950"/>
        <item x="481"/>
        <item x="30"/>
        <item x="137"/>
        <item x="603"/>
        <item x="53"/>
        <item x="180"/>
        <item x="498"/>
        <item x="926"/>
        <item x="109"/>
        <item x="175"/>
        <item x="942"/>
        <item x="881"/>
        <item x="984"/>
        <item x="735"/>
        <item x="450"/>
        <item x="289"/>
        <item x="543"/>
        <item x="404"/>
        <item x="906"/>
        <item x="347"/>
        <item x="72"/>
        <item x="346"/>
        <item x="25"/>
        <item x="403"/>
        <item x="819"/>
        <item x="805"/>
        <item x="21"/>
        <item x="17"/>
        <item x="728"/>
        <item x="169"/>
        <item x="462"/>
        <item x="475"/>
        <item x="856"/>
        <item x="955"/>
        <item x="785"/>
        <item x="716"/>
        <item x="915"/>
        <item x="43"/>
        <item x="419"/>
        <item x="282"/>
        <item x="67"/>
        <item x="824"/>
        <item x="981"/>
        <item x="161"/>
        <item x="75"/>
        <item x="70"/>
        <item x="303"/>
        <item x="959"/>
        <item x="396"/>
        <item x="894"/>
        <item x="264"/>
        <item x="178"/>
        <item x="322"/>
        <item x="956"/>
        <item x="493"/>
        <item x="167"/>
        <item x="874"/>
        <item x="723"/>
        <item x="374"/>
        <item x="215"/>
        <item x="567"/>
        <item x="10"/>
        <item x="230"/>
        <item x="164"/>
        <item x="29"/>
        <item x="122"/>
        <item x="726"/>
        <item x="771"/>
        <item x="382"/>
        <item x="432"/>
        <item x="574"/>
        <item x="244"/>
        <item x="738"/>
        <item x="126"/>
        <item x="653"/>
        <item x="214"/>
        <item x="76"/>
        <item x="183"/>
        <item x="703"/>
        <item x="940"/>
        <item x="384"/>
        <item x="658"/>
        <item x="302"/>
        <item x="294"/>
        <item x="891"/>
        <item x="57"/>
        <item x="917"/>
        <item x="19"/>
        <item x="242"/>
        <item x="442"/>
        <item x="689"/>
        <item x="248"/>
        <item x="643"/>
        <item x="597"/>
        <item x="752"/>
        <item x="412"/>
        <item x="740"/>
        <item x="200"/>
        <item x="148"/>
        <item x="616"/>
        <item x="491"/>
        <item x="551"/>
        <item x="47"/>
        <item x="341"/>
        <item x="357"/>
        <item x="6"/>
        <item x="971"/>
        <item x="781"/>
        <item x="132"/>
        <item x="765"/>
        <item x="13"/>
        <item x="34"/>
        <item x="715"/>
        <item x="893"/>
        <item x="644"/>
        <item x="266"/>
        <item x="257"/>
        <item x="85"/>
        <item x="571"/>
        <item x="655"/>
        <item x="618"/>
        <item x="37"/>
        <item x="561"/>
        <item x="549"/>
        <item x="960"/>
        <item x="555"/>
        <item x="636"/>
        <item x="853"/>
        <item x="87"/>
        <item x="888"/>
        <item x="710"/>
        <item x="457"/>
        <item x="330"/>
        <item x="531"/>
        <item x="127"/>
        <item x="849"/>
        <item x="399"/>
        <item x="576"/>
        <item x="919"/>
        <item x="529"/>
        <item x="607"/>
        <item x="536"/>
        <item x="826"/>
        <item x="418"/>
        <item x="673"/>
        <item x="305"/>
        <item x="512"/>
        <item x="760"/>
        <item x="604"/>
        <item x="523"/>
        <item x="234"/>
        <item x="426"/>
        <item x="437"/>
        <item x="93"/>
        <item x="222"/>
        <item x="84"/>
        <item x="678"/>
        <item x="434"/>
        <item x="578"/>
        <item x="100"/>
        <item x="111"/>
        <item x="363"/>
        <item x="577"/>
        <item x="822"/>
        <item x="141"/>
        <item x="834"/>
        <item x="944"/>
        <item x="631"/>
        <item x="73"/>
        <item x="737"/>
        <item x="912"/>
        <item x="790"/>
        <item x="422"/>
        <item x="484"/>
        <item x="343"/>
        <item x="594"/>
        <item x="839"/>
        <item x="173"/>
        <item x="197"/>
        <item x="580"/>
        <item x="337"/>
        <item x="991"/>
        <item x="630"/>
        <item x="590"/>
        <item x="186"/>
        <item x="189"/>
        <item x="579"/>
        <item x="799"/>
        <item x="276"/>
        <item x="709"/>
        <item x="16"/>
        <item x="465"/>
        <item x="663"/>
        <item x="431"/>
        <item x="2"/>
        <item x="185"/>
        <item x="705"/>
        <item x="734"/>
        <item x="722"/>
        <item x="634"/>
        <item x="379"/>
        <item x="360"/>
        <item x="250"/>
        <item x="24"/>
        <item x="925"/>
        <item x="717"/>
        <item x="144"/>
        <item x="293"/>
        <item x="649"/>
        <item x="515"/>
        <item x="526"/>
        <item x="664"/>
        <item x="748"/>
        <item x="281"/>
        <item x="463"/>
        <item x="533"/>
        <item x="290"/>
        <item x="106"/>
        <item x="995"/>
        <item x="195"/>
        <item x="405"/>
        <item x="411"/>
        <item x="530"/>
        <item x="552"/>
        <item x="177"/>
        <item x="221"/>
        <item x="48"/>
        <item x="879"/>
        <item x="298"/>
        <item x="975"/>
        <item x="62"/>
        <item x="190"/>
        <item x="660"/>
        <item x="647"/>
        <item x="15"/>
        <item x="918"/>
        <item x="954"/>
        <item x="570"/>
        <item x="287"/>
        <item x="140"/>
        <item x="449"/>
        <item x="4"/>
        <item x="9"/>
        <item x="329"/>
        <item x="807"/>
        <item x="331"/>
        <item x="446"/>
        <item x="938"/>
        <item x="932"/>
        <item x="308"/>
        <item x="958"/>
        <item x="188"/>
        <item x="924"/>
        <item x="548"/>
        <item x="582"/>
        <item x="224"/>
        <item x="702"/>
        <item x="502"/>
        <item x="659"/>
        <item x="827"/>
        <item x="784"/>
        <item x="500"/>
        <item x="146"/>
        <item x="182"/>
        <item x="602"/>
        <item x="747"/>
        <item x="368"/>
        <item x="315"/>
        <item x="712"/>
        <item x="693"/>
        <item x="829"/>
        <item x="935"/>
        <item x="792"/>
        <item x="83"/>
        <item x="560"/>
        <item x="587"/>
        <item x="538"/>
        <item x="435"/>
        <item x="933"/>
        <item x="258"/>
        <item x="521"/>
        <item x="595"/>
        <item x="198"/>
        <item x="23"/>
        <item x="381"/>
        <item x="123"/>
        <item x="999"/>
        <item x="809"/>
        <item x="344"/>
        <item x="210"/>
        <item x="477"/>
        <item x="885"/>
        <item x="115"/>
        <item x="622"/>
        <item x="268"/>
        <item x="598"/>
        <item x="110"/>
        <item x="545"/>
        <item x="89"/>
        <item x="155"/>
        <item x="206"/>
        <item x="889"/>
        <item x="600"/>
        <item x="764"/>
        <item x="900"/>
        <item x="565"/>
        <item x="951"/>
        <item x="928"/>
        <item x="413"/>
        <item x="514"/>
        <item x="837"/>
        <item x="584"/>
        <item x="39"/>
        <item x="63"/>
        <item x="385"/>
        <item x="620"/>
        <item x="608"/>
        <item x="317"/>
        <item x="770"/>
        <item x="324"/>
        <item x="232"/>
        <item x="41"/>
        <item x="120"/>
        <item x="875"/>
        <item x="629"/>
        <item x="425"/>
        <item x="540"/>
        <item x="225"/>
        <item x="163"/>
        <item x="490"/>
        <item x="104"/>
        <item x="646"/>
        <item x="909"/>
        <item x="273"/>
        <item x="963"/>
        <item x="625"/>
        <item x="228"/>
        <item x="949"/>
        <item x="672"/>
        <item x="982"/>
        <item x="245"/>
        <item x="311"/>
        <item x="44"/>
        <item x="617"/>
        <item x="610"/>
        <item x="420"/>
        <item x="304"/>
        <item x="855"/>
        <item x="226"/>
        <item x="793"/>
        <item x="513"/>
        <item x="172"/>
        <item x="389"/>
        <item x="424"/>
        <item x="736"/>
        <item x="285"/>
        <item x="585"/>
        <item x="789"/>
        <item x="355"/>
        <item x="218"/>
        <item x="81"/>
        <item x="103"/>
        <item x="681"/>
        <item x="193"/>
        <item x="277"/>
        <item x="496"/>
        <item x="848"/>
        <item x="972"/>
        <item x="166"/>
        <item x="930"/>
        <item x="156"/>
        <item x="840"/>
        <item x="507"/>
        <item x="973"/>
        <item x="769"/>
        <item x="599"/>
        <item x="60"/>
        <item x="665"/>
        <item x="844"/>
        <item x="504"/>
        <item x="309"/>
        <item x="1"/>
        <item x="333"/>
        <item x="606"/>
        <item x="208"/>
        <item x="833"/>
        <item x="842"/>
        <item x="904"/>
        <item x="861"/>
        <item x="609"/>
        <item x="751"/>
        <item x="966"/>
        <item x="128"/>
        <item x="170"/>
        <item x="467"/>
        <item x="380"/>
        <item x="160"/>
        <item x="176"/>
        <item x="886"/>
        <item x="98"/>
        <item x="255"/>
        <item x="327"/>
        <item x="812"/>
        <item x="211"/>
        <item x="427"/>
        <item x="299"/>
        <item x="486"/>
        <item x="666"/>
        <item x="495"/>
        <item x="243"/>
        <item x="147"/>
        <item x="559"/>
        <item x="113"/>
        <item x="375"/>
        <item x="700"/>
        <item x="5"/>
        <item x="479"/>
        <item x="492"/>
        <item x="31"/>
        <item x="470"/>
        <item x="56"/>
        <item x="275"/>
        <item x="356"/>
        <item x="262"/>
        <item x="739"/>
        <item x="524"/>
        <item x="897"/>
        <item x="896"/>
        <item x="624"/>
        <item x="233"/>
        <item x="838"/>
        <item x="58"/>
        <item x="269"/>
        <item x="430"/>
        <item x="731"/>
        <item x="489"/>
        <item x="843"/>
        <item x="38"/>
        <item x="637"/>
        <item x="759"/>
        <item x="763"/>
        <item x="392"/>
        <item x="64"/>
        <item x="50"/>
        <item x="730"/>
        <item x="271"/>
        <item x="94"/>
        <item x="42"/>
        <item x="969"/>
        <item x="138"/>
        <item x="454"/>
        <item x="364"/>
        <item x="732"/>
        <item x="391"/>
        <item x="239"/>
        <item x="914"/>
        <item x="952"/>
        <item x="488"/>
        <item x="71"/>
        <item x="641"/>
        <item x="247"/>
        <item x="288"/>
        <item x="365"/>
        <item x="977"/>
        <item x="338"/>
        <item x="967"/>
        <item x="863"/>
        <item x="7"/>
        <item x="74"/>
        <item x="251"/>
        <item x="669"/>
        <item x="638"/>
        <item x="846"/>
        <item x="80"/>
        <item x="390"/>
        <item x="249"/>
        <item x="873"/>
        <item x="639"/>
        <item x="497"/>
        <item x="272"/>
        <item x="931"/>
        <item x="990"/>
        <item x="887"/>
        <item x="697"/>
        <item x="253"/>
        <item x="466"/>
        <item x="319"/>
        <item x="993"/>
        <item x="968"/>
        <item x="398"/>
        <item x="441"/>
        <item x="518"/>
        <item x="782"/>
        <item x="695"/>
        <item x="714"/>
        <item x="468"/>
        <item x="754"/>
        <item x="306"/>
        <item x="383"/>
        <item x="830"/>
        <item x="159"/>
        <item x="831"/>
        <item x="59"/>
        <item x="743"/>
        <item x="558"/>
        <item x="683"/>
        <item x="814"/>
        <item x="157"/>
        <item x="980"/>
        <item x="775"/>
        <item x="612"/>
        <item x="858"/>
        <item x="929"/>
        <item x="997"/>
        <item x="236"/>
        <item x="452"/>
        <item x="397"/>
        <item x="520"/>
        <item x="478"/>
        <item x="688"/>
        <item x="55"/>
        <item x="505"/>
        <item x="794"/>
        <item x="746"/>
        <item x="719"/>
        <item x="816"/>
        <item x="471"/>
        <item x="291"/>
        <item x="501"/>
        <item x="511"/>
        <item x="890"/>
        <item x="986"/>
        <item x="676"/>
        <item x="796"/>
        <item x="313"/>
        <item x="779"/>
        <item x="95"/>
        <item x="49"/>
        <item x="508"/>
        <item x="870"/>
        <item x="45"/>
        <item x="61"/>
        <item x="359"/>
        <item x="213"/>
        <item x="650"/>
        <item x="326"/>
        <item x="674"/>
        <item x="668"/>
        <item x="947"/>
        <item x="469"/>
        <item x="168"/>
        <item x="749"/>
        <item x="976"/>
        <item x="393"/>
        <item x="876"/>
        <item x="451"/>
        <item x="801"/>
        <item x="773"/>
        <item x="79"/>
        <item x="635"/>
        <item x="662"/>
        <item x="744"/>
        <item x="69"/>
        <item x="373"/>
        <item x="795"/>
        <item x="946"/>
        <item x="366"/>
        <item x="284"/>
        <item x="589"/>
        <item x="581"/>
        <item x="433"/>
        <item x="283"/>
        <item x="943"/>
        <item x="927"/>
        <item x="105"/>
        <item x="525"/>
        <item x="135"/>
        <item x="535"/>
        <item x="857"/>
        <item x="409"/>
        <item x="407"/>
        <item x="803"/>
        <item x="541"/>
        <item x="351"/>
        <item x="923"/>
        <item x="780"/>
        <item x="86"/>
        <item x="295"/>
        <item x="246"/>
        <item x="691"/>
        <item x="841"/>
        <item x="575"/>
        <item x="318"/>
        <item x="704"/>
        <item x="447"/>
        <item x="203"/>
        <item x="107"/>
        <item x="388"/>
        <item x="675"/>
        <item x="328"/>
        <item x="274"/>
        <item x="286"/>
        <item x="591"/>
        <item x="623"/>
        <item x="750"/>
        <item x="992"/>
        <item x="296"/>
        <item x="487"/>
        <item x="869"/>
        <item x="811"/>
        <item x="139"/>
        <item x="150"/>
        <item x="910"/>
        <item x="66"/>
        <item x="444"/>
        <item x="864"/>
        <item x="987"/>
        <item x="179"/>
        <item x="566"/>
        <item x="537"/>
        <item x="229"/>
        <item x="684"/>
        <item x="428"/>
        <item x="367"/>
        <item x="429"/>
        <item x="642"/>
        <item x="802"/>
        <item x="54"/>
        <item x="201"/>
        <item x="965"/>
        <item x="989"/>
        <item x="708"/>
        <item x="905"/>
        <item x="677"/>
        <item x="240"/>
        <item x="880"/>
        <item x="878"/>
        <item x="516"/>
        <item x="256"/>
        <item x="480"/>
        <item x="985"/>
        <item x="692"/>
        <item x="443"/>
        <item x="370"/>
        <item x="339"/>
        <item x="922"/>
        <item x="265"/>
        <item x="279"/>
        <item x="729"/>
        <item x="916"/>
        <item x="820"/>
        <item x="776"/>
        <item x="615"/>
        <item x="20"/>
        <item x="978"/>
        <item x="65"/>
        <item x="583"/>
        <item x="51"/>
        <item x="920"/>
        <item x="131"/>
        <item x="142"/>
        <item x="301"/>
        <item x="406"/>
        <item x="416"/>
        <item x="133"/>
        <item x="494"/>
        <item x="27"/>
        <item x="667"/>
        <item x="485"/>
        <item x="902"/>
        <item x="26"/>
        <item x="633"/>
        <item x="68"/>
        <item x="937"/>
        <item x="517"/>
        <item x="417"/>
        <item x="362"/>
        <item x="270"/>
        <item x="652"/>
        <item x="323"/>
        <item x="899"/>
        <item x="459"/>
        <item x="627"/>
        <item x="860"/>
        <item x="699"/>
        <item x="199"/>
        <item x="787"/>
        <item x="996"/>
        <item x="334"/>
        <item x="817"/>
        <item x="99"/>
        <item x="865"/>
        <item t="default"/>
      </items>
    </pivotField>
    <pivotField compact="0" showAll="0">
      <items count="1000">
        <item x="473"/>
        <item x="129"/>
        <item x="573"/>
        <item x="771"/>
        <item x="102"/>
        <item x="865"/>
        <item x="314"/>
        <item x="354"/>
        <item x="118"/>
        <item x="342"/>
        <item x="153"/>
        <item x="33"/>
        <item x="510"/>
        <item x="445"/>
        <item x="187"/>
        <item x="181"/>
        <item x="741"/>
        <item x="254"/>
        <item x="401"/>
        <item x="415"/>
        <item x="387"/>
        <item x="259"/>
        <item x="506"/>
        <item x="117"/>
        <item x="787"/>
        <item x="97"/>
        <item x="252"/>
        <item x="101"/>
        <item x="165"/>
        <item x="876"/>
        <item x="592"/>
        <item x="906"/>
        <item x="121"/>
        <item x="907"/>
        <item x="596"/>
        <item x="421"/>
        <item x="134"/>
        <item x="316"/>
        <item x="464"/>
        <item x="866"/>
        <item x="849"/>
        <item x="522"/>
        <item x="812"/>
        <item x="376"/>
        <item x="773"/>
        <item x="894"/>
        <item x="785"/>
        <item x="149"/>
        <item x="648"/>
        <item x="184"/>
        <item x="562"/>
        <item x="400"/>
        <item x="563"/>
        <item x="706"/>
        <item x="654"/>
        <item x="897"/>
        <item x="690"/>
        <item x="550"/>
        <item x="883"/>
        <item x="640"/>
        <item x="22"/>
        <item x="867"/>
        <item x="661"/>
        <item x="223"/>
        <item x="680"/>
        <item x="850"/>
        <item x="11"/>
        <item x="136"/>
        <item x="436"/>
        <item x="777"/>
        <item x="593"/>
        <item x="78"/>
        <item x="752"/>
        <item x="519"/>
        <item x="238"/>
        <item x="817"/>
        <item x="348"/>
        <item x="261"/>
        <item x="114"/>
        <item x="209"/>
        <item x="902"/>
        <item x="476"/>
        <item x="174"/>
        <item x="278"/>
        <item x="799"/>
        <item x="805"/>
        <item x="766"/>
        <item x="803"/>
        <item x="539"/>
        <item x="152"/>
        <item x="453"/>
        <item x="740"/>
        <item x="834"/>
        <item x="448"/>
        <item x="978"/>
        <item x="307"/>
        <item x="119"/>
        <item x="231"/>
        <item x="227"/>
        <item x="756"/>
        <item x="260"/>
        <item x="300"/>
        <item x="656"/>
        <item x="719"/>
        <item x="835"/>
        <item x="35"/>
        <item x="853"/>
        <item x="474"/>
        <item x="858"/>
        <item x="46"/>
        <item x="761"/>
        <item x="712"/>
        <item x="263"/>
        <item x="82"/>
        <item x="458"/>
        <item x="724"/>
        <item x="378"/>
        <item x="871"/>
        <item x="394"/>
        <item x="940"/>
        <item x="414"/>
        <item x="882"/>
        <item x="534"/>
        <item x="52"/>
        <item x="732"/>
        <item x="542"/>
        <item x="944"/>
        <item x="40"/>
        <item x="353"/>
        <item x="408"/>
        <item x="130"/>
        <item x="191"/>
        <item x="461"/>
        <item x="112"/>
        <item x="621"/>
        <item x="651"/>
        <item x="235"/>
        <item x="960"/>
        <item x="760"/>
        <item x="881"/>
        <item x="809"/>
        <item x="572"/>
        <item x="588"/>
        <item x="765"/>
        <item x="204"/>
        <item x="18"/>
        <item x="844"/>
        <item x="717"/>
        <item x="336"/>
        <item x="796"/>
        <item x="320"/>
        <item x="220"/>
        <item x="568"/>
        <item x="310"/>
        <item x="952"/>
        <item x="682"/>
        <item x="377"/>
        <item x="124"/>
        <item x="546"/>
        <item x="438"/>
        <item x="557"/>
        <item x="472"/>
        <item x="349"/>
        <item x="237"/>
        <item x="556"/>
        <item x="726"/>
        <item x="973"/>
        <item x="312"/>
        <item x="32"/>
        <item x="695"/>
        <item x="158"/>
        <item x="369"/>
        <item x="947"/>
        <item x="509"/>
        <item x="910"/>
        <item x="554"/>
        <item x="679"/>
        <item x="371"/>
        <item x="96"/>
        <item x="196"/>
        <item x="386"/>
        <item x="499"/>
        <item x="532"/>
        <item x="116"/>
        <item x="710"/>
        <item x="790"/>
        <item x="194"/>
        <item x="933"/>
        <item x="92"/>
        <item x="586"/>
        <item x="212"/>
        <item x="192"/>
        <item x="969"/>
        <item x="831"/>
        <item x="687"/>
        <item x="143"/>
        <item x="352"/>
        <item x="292"/>
        <item x="402"/>
        <item x="645"/>
        <item x="961"/>
        <item x="963"/>
        <item x="483"/>
        <item x="723"/>
        <item x="827"/>
        <item x="14"/>
        <item x="720"/>
        <item x="202"/>
        <item x="982"/>
        <item x="88"/>
        <item x="814"/>
        <item x="912"/>
        <item x="460"/>
        <item x="993"/>
        <item x="700"/>
        <item x="611"/>
        <item x="553"/>
        <item x="297"/>
        <item x="162"/>
        <item x="207"/>
        <item x="626"/>
        <item x="767"/>
        <item x="335"/>
        <item x="754"/>
        <item x="870"/>
        <item x="439"/>
        <item x="938"/>
        <item x="3"/>
        <item x="219"/>
        <item x="824"/>
        <item x="151"/>
        <item x="851"/>
        <item x="757"/>
        <item x="36"/>
        <item x="440"/>
        <item x="657"/>
        <item x="920"/>
        <item x="216"/>
        <item x="241"/>
        <item x="544"/>
        <item x="205"/>
        <item x="697"/>
        <item x="569"/>
        <item x="321"/>
        <item x="797"/>
        <item x="340"/>
        <item x="935"/>
        <item x="358"/>
        <item x="782"/>
        <item x="395"/>
        <item x="423"/>
        <item x="332"/>
        <item x="325"/>
        <item x="987"/>
        <item x="91"/>
        <item x="846"/>
        <item x="345"/>
        <item x="8"/>
        <item x="108"/>
        <item x="820"/>
        <item x="527"/>
        <item x="154"/>
        <item x="601"/>
        <item x="564"/>
        <item x="482"/>
        <item x="28"/>
        <item x="605"/>
        <item x="217"/>
        <item x="410"/>
        <item x="361"/>
        <item x="705"/>
        <item x="125"/>
        <item x="145"/>
        <item x="372"/>
        <item x="861"/>
        <item x="693"/>
        <item x="0"/>
        <item x="613"/>
        <item x="456"/>
        <item x="614"/>
        <item x="628"/>
        <item x="350"/>
        <item x="956"/>
        <item x="528"/>
        <item x="267"/>
        <item x="776"/>
        <item x="547"/>
        <item x="744"/>
        <item x="77"/>
        <item x="686"/>
        <item x="997"/>
        <item x="755"/>
        <item x="822"/>
        <item x="455"/>
        <item x="900"/>
        <item x="503"/>
        <item x="891"/>
        <item x="619"/>
        <item x="632"/>
        <item x="807"/>
        <item x="670"/>
        <item x="671"/>
        <item x="90"/>
        <item x="171"/>
        <item x="12"/>
        <item x="685"/>
        <item x="280"/>
        <item x="949"/>
        <item x="481"/>
        <item x="30"/>
        <item x="137"/>
        <item x="603"/>
        <item x="53"/>
        <item x="180"/>
        <item x="498"/>
        <item x="925"/>
        <item x="109"/>
        <item x="175"/>
        <item x="941"/>
        <item x="880"/>
        <item x="983"/>
        <item x="734"/>
        <item x="450"/>
        <item x="289"/>
        <item x="543"/>
        <item x="404"/>
        <item x="905"/>
        <item x="347"/>
        <item x="72"/>
        <item x="346"/>
        <item x="25"/>
        <item x="403"/>
        <item x="818"/>
        <item x="804"/>
        <item x="21"/>
        <item x="17"/>
        <item x="727"/>
        <item x="169"/>
        <item x="462"/>
        <item x="475"/>
        <item x="855"/>
        <item x="954"/>
        <item x="784"/>
        <item x="715"/>
        <item x="914"/>
        <item x="43"/>
        <item x="419"/>
        <item x="282"/>
        <item x="67"/>
        <item x="823"/>
        <item x="980"/>
        <item x="161"/>
        <item x="75"/>
        <item x="70"/>
        <item x="303"/>
        <item x="958"/>
        <item x="396"/>
        <item x="893"/>
        <item x="264"/>
        <item x="178"/>
        <item x="322"/>
        <item x="955"/>
        <item x="493"/>
        <item x="167"/>
        <item x="873"/>
        <item x="722"/>
        <item x="374"/>
        <item x="215"/>
        <item x="567"/>
        <item x="10"/>
        <item x="230"/>
        <item x="164"/>
        <item x="29"/>
        <item x="122"/>
        <item x="725"/>
        <item x="770"/>
        <item x="382"/>
        <item x="432"/>
        <item x="574"/>
        <item x="244"/>
        <item x="737"/>
        <item x="126"/>
        <item x="653"/>
        <item x="214"/>
        <item x="76"/>
        <item x="183"/>
        <item x="702"/>
        <item x="939"/>
        <item x="384"/>
        <item x="658"/>
        <item x="302"/>
        <item x="294"/>
        <item x="890"/>
        <item x="57"/>
        <item x="916"/>
        <item x="19"/>
        <item x="242"/>
        <item x="442"/>
        <item x="689"/>
        <item x="248"/>
        <item x="643"/>
        <item x="597"/>
        <item x="751"/>
        <item x="412"/>
        <item x="739"/>
        <item x="200"/>
        <item x="148"/>
        <item x="616"/>
        <item x="491"/>
        <item x="551"/>
        <item x="47"/>
        <item x="341"/>
        <item x="357"/>
        <item x="6"/>
        <item x="970"/>
        <item x="780"/>
        <item x="132"/>
        <item x="764"/>
        <item x="13"/>
        <item x="34"/>
        <item x="714"/>
        <item x="892"/>
        <item x="644"/>
        <item x="266"/>
        <item x="257"/>
        <item x="85"/>
        <item x="571"/>
        <item x="655"/>
        <item x="618"/>
        <item x="37"/>
        <item x="561"/>
        <item x="549"/>
        <item x="959"/>
        <item x="555"/>
        <item x="636"/>
        <item x="852"/>
        <item x="87"/>
        <item x="887"/>
        <item x="709"/>
        <item x="457"/>
        <item x="330"/>
        <item x="531"/>
        <item x="127"/>
        <item x="848"/>
        <item x="399"/>
        <item x="576"/>
        <item x="918"/>
        <item x="529"/>
        <item x="607"/>
        <item x="536"/>
        <item x="825"/>
        <item x="418"/>
        <item x="673"/>
        <item x="305"/>
        <item x="512"/>
        <item x="759"/>
        <item x="604"/>
        <item x="523"/>
        <item x="234"/>
        <item x="426"/>
        <item x="437"/>
        <item x="93"/>
        <item x="222"/>
        <item x="84"/>
        <item x="678"/>
        <item x="434"/>
        <item x="578"/>
        <item x="100"/>
        <item x="111"/>
        <item x="363"/>
        <item x="577"/>
        <item x="821"/>
        <item x="141"/>
        <item x="833"/>
        <item x="943"/>
        <item x="631"/>
        <item x="73"/>
        <item x="736"/>
        <item x="911"/>
        <item x="789"/>
        <item x="422"/>
        <item x="484"/>
        <item x="343"/>
        <item x="594"/>
        <item x="838"/>
        <item x="173"/>
        <item x="197"/>
        <item x="580"/>
        <item x="337"/>
        <item x="990"/>
        <item x="630"/>
        <item x="590"/>
        <item x="186"/>
        <item x="189"/>
        <item x="579"/>
        <item x="798"/>
        <item x="276"/>
        <item x="708"/>
        <item x="16"/>
        <item x="465"/>
        <item x="663"/>
        <item x="431"/>
        <item x="2"/>
        <item x="185"/>
        <item x="704"/>
        <item x="733"/>
        <item x="721"/>
        <item x="634"/>
        <item x="379"/>
        <item x="360"/>
        <item x="250"/>
        <item x="24"/>
        <item x="924"/>
        <item x="716"/>
        <item x="144"/>
        <item x="293"/>
        <item x="649"/>
        <item x="515"/>
        <item x="526"/>
        <item x="664"/>
        <item x="747"/>
        <item x="281"/>
        <item x="463"/>
        <item x="533"/>
        <item x="290"/>
        <item x="106"/>
        <item x="994"/>
        <item x="195"/>
        <item x="405"/>
        <item x="411"/>
        <item x="530"/>
        <item x="552"/>
        <item x="177"/>
        <item x="221"/>
        <item x="48"/>
        <item x="878"/>
        <item x="298"/>
        <item x="974"/>
        <item x="62"/>
        <item x="190"/>
        <item x="660"/>
        <item x="647"/>
        <item x="15"/>
        <item x="917"/>
        <item x="953"/>
        <item x="570"/>
        <item x="287"/>
        <item x="140"/>
        <item x="449"/>
        <item x="4"/>
        <item x="9"/>
        <item x="329"/>
        <item x="806"/>
        <item x="331"/>
        <item x="446"/>
        <item x="937"/>
        <item x="931"/>
        <item x="308"/>
        <item x="957"/>
        <item x="188"/>
        <item x="923"/>
        <item x="548"/>
        <item x="582"/>
        <item x="224"/>
        <item x="701"/>
        <item x="502"/>
        <item x="659"/>
        <item x="826"/>
        <item x="783"/>
        <item x="500"/>
        <item x="146"/>
        <item x="182"/>
        <item x="602"/>
        <item x="746"/>
        <item x="368"/>
        <item x="315"/>
        <item x="711"/>
        <item x="692"/>
        <item x="828"/>
        <item x="934"/>
        <item x="791"/>
        <item x="83"/>
        <item x="560"/>
        <item x="587"/>
        <item x="538"/>
        <item x="435"/>
        <item x="932"/>
        <item x="258"/>
        <item x="521"/>
        <item x="595"/>
        <item x="198"/>
        <item x="23"/>
        <item x="381"/>
        <item x="123"/>
        <item x="998"/>
        <item x="808"/>
        <item x="344"/>
        <item x="210"/>
        <item x="477"/>
        <item x="884"/>
        <item x="115"/>
        <item x="622"/>
        <item x="268"/>
        <item x="598"/>
        <item x="110"/>
        <item x="545"/>
        <item x="89"/>
        <item x="155"/>
        <item x="206"/>
        <item x="888"/>
        <item x="600"/>
        <item x="763"/>
        <item x="899"/>
        <item x="565"/>
        <item x="950"/>
        <item x="927"/>
        <item x="413"/>
        <item x="514"/>
        <item x="836"/>
        <item x="584"/>
        <item x="39"/>
        <item x="63"/>
        <item x="385"/>
        <item x="620"/>
        <item x="608"/>
        <item x="317"/>
        <item x="769"/>
        <item x="324"/>
        <item x="232"/>
        <item x="41"/>
        <item x="120"/>
        <item x="874"/>
        <item x="629"/>
        <item x="425"/>
        <item x="540"/>
        <item x="225"/>
        <item x="163"/>
        <item x="490"/>
        <item x="104"/>
        <item x="646"/>
        <item x="908"/>
        <item x="273"/>
        <item x="962"/>
        <item x="625"/>
        <item x="228"/>
        <item x="948"/>
        <item x="672"/>
        <item x="981"/>
        <item x="245"/>
        <item x="311"/>
        <item x="44"/>
        <item x="617"/>
        <item x="610"/>
        <item x="420"/>
        <item x="304"/>
        <item x="854"/>
        <item x="226"/>
        <item x="792"/>
        <item x="513"/>
        <item x="172"/>
        <item x="389"/>
        <item x="424"/>
        <item x="735"/>
        <item x="285"/>
        <item x="585"/>
        <item x="788"/>
        <item x="355"/>
        <item x="218"/>
        <item x="81"/>
        <item x="103"/>
        <item x="681"/>
        <item x="193"/>
        <item x="277"/>
        <item x="496"/>
        <item x="847"/>
        <item x="971"/>
        <item x="166"/>
        <item x="929"/>
        <item x="156"/>
        <item x="839"/>
        <item x="507"/>
        <item x="972"/>
        <item x="768"/>
        <item x="599"/>
        <item x="60"/>
        <item x="665"/>
        <item x="843"/>
        <item x="504"/>
        <item x="309"/>
        <item x="1"/>
        <item x="333"/>
        <item x="606"/>
        <item x="208"/>
        <item x="832"/>
        <item x="841"/>
        <item x="903"/>
        <item x="860"/>
        <item x="609"/>
        <item x="750"/>
        <item x="965"/>
        <item x="128"/>
        <item x="170"/>
        <item x="467"/>
        <item x="380"/>
        <item x="160"/>
        <item x="176"/>
        <item x="885"/>
        <item x="98"/>
        <item x="255"/>
        <item x="327"/>
        <item x="811"/>
        <item x="211"/>
        <item x="427"/>
        <item x="299"/>
        <item x="486"/>
        <item x="666"/>
        <item x="495"/>
        <item x="243"/>
        <item x="147"/>
        <item x="559"/>
        <item x="113"/>
        <item x="375"/>
        <item x="699"/>
        <item x="5"/>
        <item x="479"/>
        <item x="492"/>
        <item x="31"/>
        <item x="470"/>
        <item x="56"/>
        <item x="275"/>
        <item x="356"/>
        <item x="262"/>
        <item x="738"/>
        <item x="524"/>
        <item x="896"/>
        <item x="895"/>
        <item x="624"/>
        <item x="233"/>
        <item x="837"/>
        <item x="58"/>
        <item x="269"/>
        <item x="430"/>
        <item x="730"/>
        <item x="489"/>
        <item x="842"/>
        <item x="38"/>
        <item x="637"/>
        <item x="758"/>
        <item x="762"/>
        <item x="392"/>
        <item x="64"/>
        <item x="50"/>
        <item x="729"/>
        <item x="271"/>
        <item x="94"/>
        <item x="42"/>
        <item x="968"/>
        <item x="138"/>
        <item x="454"/>
        <item x="364"/>
        <item x="731"/>
        <item x="391"/>
        <item x="239"/>
        <item x="913"/>
        <item x="951"/>
        <item x="488"/>
        <item x="71"/>
        <item x="641"/>
        <item x="247"/>
        <item x="288"/>
        <item x="365"/>
        <item x="976"/>
        <item x="338"/>
        <item x="966"/>
        <item x="862"/>
        <item x="7"/>
        <item x="74"/>
        <item x="251"/>
        <item x="669"/>
        <item x="638"/>
        <item x="845"/>
        <item x="80"/>
        <item x="390"/>
        <item x="249"/>
        <item x="872"/>
        <item x="639"/>
        <item x="497"/>
        <item x="272"/>
        <item x="930"/>
        <item x="989"/>
        <item x="886"/>
        <item x="696"/>
        <item x="253"/>
        <item x="466"/>
        <item x="319"/>
        <item x="992"/>
        <item x="967"/>
        <item x="398"/>
        <item x="441"/>
        <item x="518"/>
        <item x="781"/>
        <item x="694"/>
        <item x="713"/>
        <item x="468"/>
        <item x="753"/>
        <item x="306"/>
        <item x="383"/>
        <item x="829"/>
        <item x="159"/>
        <item x="830"/>
        <item x="59"/>
        <item x="742"/>
        <item x="558"/>
        <item x="683"/>
        <item x="813"/>
        <item x="157"/>
        <item x="979"/>
        <item x="774"/>
        <item x="612"/>
        <item x="857"/>
        <item x="928"/>
        <item x="996"/>
        <item x="236"/>
        <item x="452"/>
        <item x="397"/>
        <item x="520"/>
        <item x="478"/>
        <item x="688"/>
        <item x="55"/>
        <item x="505"/>
        <item x="793"/>
        <item x="745"/>
        <item x="718"/>
        <item x="815"/>
        <item x="471"/>
        <item x="291"/>
        <item x="501"/>
        <item x="511"/>
        <item x="889"/>
        <item x="985"/>
        <item x="676"/>
        <item x="795"/>
        <item x="313"/>
        <item x="778"/>
        <item x="95"/>
        <item x="49"/>
        <item x="508"/>
        <item x="869"/>
        <item x="45"/>
        <item x="61"/>
        <item x="359"/>
        <item x="213"/>
        <item x="650"/>
        <item x="326"/>
        <item x="674"/>
        <item x="668"/>
        <item x="946"/>
        <item x="469"/>
        <item x="168"/>
        <item x="748"/>
        <item x="975"/>
        <item x="393"/>
        <item x="875"/>
        <item x="451"/>
        <item x="800"/>
        <item x="772"/>
        <item x="79"/>
        <item x="635"/>
        <item x="662"/>
        <item x="743"/>
        <item x="69"/>
        <item x="373"/>
        <item x="794"/>
        <item x="945"/>
        <item x="366"/>
        <item x="284"/>
        <item x="589"/>
        <item x="581"/>
        <item x="433"/>
        <item x="283"/>
        <item x="942"/>
        <item x="926"/>
        <item x="105"/>
        <item x="525"/>
        <item x="135"/>
        <item x="535"/>
        <item x="856"/>
        <item x="409"/>
        <item x="407"/>
        <item x="802"/>
        <item x="541"/>
        <item x="351"/>
        <item x="922"/>
        <item x="779"/>
        <item x="86"/>
        <item x="295"/>
        <item x="246"/>
        <item x="691"/>
        <item x="840"/>
        <item x="575"/>
        <item x="318"/>
        <item x="703"/>
        <item x="447"/>
        <item x="203"/>
        <item x="107"/>
        <item x="388"/>
        <item x="675"/>
        <item x="328"/>
        <item x="274"/>
        <item x="286"/>
        <item x="591"/>
        <item x="623"/>
        <item x="749"/>
        <item x="991"/>
        <item x="296"/>
        <item x="487"/>
        <item x="868"/>
        <item x="810"/>
        <item x="139"/>
        <item x="150"/>
        <item x="909"/>
        <item x="66"/>
        <item x="444"/>
        <item x="863"/>
        <item x="986"/>
        <item x="179"/>
        <item x="566"/>
        <item x="537"/>
        <item x="229"/>
        <item x="684"/>
        <item x="428"/>
        <item x="367"/>
        <item x="429"/>
        <item x="642"/>
        <item x="801"/>
        <item x="54"/>
        <item x="201"/>
        <item x="964"/>
        <item x="988"/>
        <item x="707"/>
        <item x="904"/>
        <item x="677"/>
        <item x="240"/>
        <item x="879"/>
        <item x="877"/>
        <item x="516"/>
        <item x="256"/>
        <item x="480"/>
        <item x="984"/>
        <item x="443"/>
        <item x="370"/>
        <item x="339"/>
        <item x="921"/>
        <item x="265"/>
        <item x="279"/>
        <item x="728"/>
        <item x="915"/>
        <item x="819"/>
        <item x="775"/>
        <item x="615"/>
        <item x="20"/>
        <item x="977"/>
        <item x="65"/>
        <item x="583"/>
        <item x="51"/>
        <item x="919"/>
        <item x="131"/>
        <item x="142"/>
        <item x="301"/>
        <item x="406"/>
        <item x="416"/>
        <item x="133"/>
        <item x="494"/>
        <item x="27"/>
        <item x="667"/>
        <item x="485"/>
        <item x="901"/>
        <item x="26"/>
        <item x="633"/>
        <item x="68"/>
        <item x="936"/>
        <item x="517"/>
        <item x="417"/>
        <item x="362"/>
        <item x="270"/>
        <item x="652"/>
        <item x="323"/>
        <item x="898"/>
        <item x="459"/>
        <item x="627"/>
        <item x="859"/>
        <item x="698"/>
        <item x="199"/>
        <item x="786"/>
        <item x="995"/>
        <item x="334"/>
        <item x="816"/>
        <item x="99"/>
        <item x="86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4" baseField="0" baseItem="0"/>
  </dataFields>
  <formats count="7">
    <format dxfId="63">
      <pivotArea collapsedLevelsAreSubtotals="1" fieldPosition="0"/>
    </format>
    <format dxfId="64">
      <pivotArea collapsedLevelsAreSubtotals="1" fieldPosition="0"/>
    </format>
    <format dxfId="65">
      <pivotArea collapsedLevelsAreSubtotals="1" fieldPosition="0"/>
    </format>
    <format dxfId="66">
      <pivotArea collapsedLevelsAreSubtotals="1" fieldPosition="0"/>
    </format>
    <format dxfId="67">
      <pivotArea collapsedLevelsAreSubtotals="1" fieldPosition="0"/>
    </format>
    <format dxfId="68">
      <pivotArea collapsedLevelsAreSubtotals="1" fieldPosition="0"/>
    </format>
    <format dxfId="69">
      <pivotArea collapsedLevelsAreSubtotals="1" fieldPosition="0"/>
    </format>
  </formats>
  <pivotTableStyleInfo name="PivotStyleLight16" showRowHeaders="1" showColHeaders="1" showLastColumn="1"/>
  <filters count="1">
    <filter evalOrder="-1" fld="3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4:E5" firstHeaderRow="1" firstDataRow="1" firstDataCol="0"/>
  <pivotFields count="18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3" showAll="0">
      <items count="870">
        <item x="463"/>
        <item x="846"/>
        <item x="681"/>
        <item x="535"/>
        <item x="60"/>
        <item x="593"/>
        <item x="740"/>
        <item x="460"/>
        <item x="294"/>
        <item x="1"/>
        <item x="314"/>
        <item x="541"/>
        <item x="202"/>
        <item x="730"/>
        <item x="738"/>
        <item x="788"/>
        <item x="753"/>
        <item x="544"/>
        <item x="668"/>
        <item x="839"/>
        <item x="127"/>
        <item x="167"/>
        <item x="426"/>
        <item x="353"/>
        <item x="157"/>
        <item x="173"/>
        <item x="770"/>
        <item x="98"/>
        <item x="244"/>
        <item x="309"/>
        <item x="713"/>
        <item x="205"/>
        <item x="394"/>
        <item x="284"/>
        <item x="443"/>
        <item x="594"/>
        <item x="452"/>
        <item x="233"/>
        <item x="145"/>
        <item x="503"/>
        <item x="112"/>
        <item x="349"/>
        <item x="623"/>
        <item x="5"/>
        <item x="436"/>
        <item x="449"/>
        <item x="31"/>
        <item x="429"/>
        <item x="56"/>
        <item x="263"/>
        <item x="332"/>
        <item x="250"/>
        <item x="658"/>
        <item x="478"/>
        <item x="781"/>
        <item x="780"/>
        <item x="558"/>
        <item x="225"/>
        <item x="734"/>
        <item x="58"/>
        <item x="257"/>
        <item x="397"/>
        <item x="651"/>
        <item x="446"/>
        <item x="739"/>
        <item x="38"/>
        <item x="570"/>
        <item x="674"/>
        <item x="678"/>
        <item x="363"/>
        <item x="64"/>
        <item x="50"/>
        <item x="650"/>
        <item x="259"/>
        <item x="94"/>
        <item x="42"/>
        <item x="842"/>
        <item x="136"/>
        <item x="416"/>
        <item x="340"/>
        <item x="652"/>
        <item x="362"/>
        <item x="230"/>
        <item x="796"/>
        <item x="827"/>
        <item x="445"/>
        <item x="71"/>
        <item x="573"/>
        <item x="237"/>
        <item x="274"/>
        <item x="341"/>
        <item x="849"/>
        <item x="319"/>
        <item x="840"/>
        <item x="755"/>
        <item x="7"/>
        <item x="74"/>
        <item x="241"/>
        <item x="597"/>
        <item x="571"/>
        <item x="741"/>
        <item x="80"/>
        <item x="361"/>
        <item x="239"/>
        <item x="763"/>
        <item x="572"/>
        <item x="454"/>
        <item x="260"/>
        <item x="812"/>
        <item x="860"/>
        <item x="771"/>
        <item x="621"/>
        <item x="243"/>
        <item x="425"/>
        <item x="302"/>
        <item x="862"/>
        <item x="841"/>
        <item x="369"/>
        <item x="404"/>
        <item x="473"/>
        <item x="692"/>
        <item x="620"/>
        <item x="635"/>
        <item x="427"/>
        <item x="670"/>
        <item x="291"/>
        <item x="356"/>
        <item x="727"/>
        <item x="156"/>
        <item x="728"/>
        <item x="59"/>
        <item x="660"/>
        <item x="502"/>
        <item x="608"/>
        <item x="715"/>
        <item x="154"/>
        <item x="851"/>
        <item x="686"/>
        <item x="547"/>
        <item x="750"/>
        <item x="810"/>
        <item x="866"/>
        <item x="227"/>
        <item x="415"/>
        <item x="368"/>
        <item x="474"/>
        <item x="435"/>
        <item x="613"/>
        <item x="55"/>
        <item x="461"/>
        <item x="702"/>
        <item x="663"/>
        <item x="639"/>
        <item x="717"/>
        <item x="430"/>
        <item x="277"/>
        <item x="457"/>
        <item x="467"/>
        <item x="774"/>
        <item x="856"/>
        <item x="604"/>
        <item x="704"/>
        <item x="297"/>
        <item x="689"/>
        <item x="95"/>
        <item x="49"/>
        <item x="464"/>
        <item x="761"/>
        <item x="45"/>
        <item x="61"/>
        <item x="335"/>
        <item x="207"/>
        <item x="582"/>
        <item x="308"/>
        <item x="602"/>
        <item x="596"/>
        <item x="823"/>
        <item x="428"/>
        <item x="165"/>
        <item x="666"/>
        <item x="848"/>
        <item x="364"/>
        <item x="766"/>
        <item x="414"/>
        <item x="705"/>
        <item x="684"/>
        <item x="79"/>
        <item x="568"/>
        <item x="591"/>
        <item x="661"/>
        <item x="69"/>
        <item x="347"/>
        <item x="703"/>
        <item x="822"/>
        <item x="342"/>
        <item x="270"/>
        <item x="527"/>
        <item x="521"/>
        <item x="399"/>
        <item x="269"/>
        <item x="820"/>
        <item x="808"/>
        <item x="105"/>
        <item x="479"/>
        <item x="134"/>
        <item x="486"/>
        <item x="749"/>
        <item x="378"/>
        <item x="376"/>
        <item x="707"/>
        <item x="492"/>
        <item x="328"/>
        <item x="804"/>
        <item x="690"/>
        <item x="86"/>
        <item x="281"/>
        <item x="236"/>
        <item x="616"/>
        <item x="737"/>
        <item x="516"/>
        <item x="301"/>
        <item x="627"/>
        <item x="410"/>
        <item x="197"/>
        <item x="107"/>
        <item x="359"/>
        <item x="603"/>
        <item x="310"/>
        <item x="262"/>
        <item x="272"/>
        <item x="529"/>
        <item x="557"/>
        <item x="667"/>
        <item x="861"/>
        <item x="282"/>
        <item x="444"/>
        <item x="760"/>
        <item x="712"/>
        <item x="137"/>
        <item x="148"/>
        <item x="792"/>
        <item x="66"/>
        <item x="407"/>
        <item x="756"/>
        <item x="857"/>
        <item x="176"/>
        <item x="510"/>
        <item x="488"/>
        <item x="221"/>
        <item x="609"/>
        <item x="395"/>
        <item x="343"/>
        <item x="396"/>
        <item x="574"/>
        <item x="706"/>
        <item x="54"/>
        <item x="195"/>
        <item x="838"/>
        <item x="859"/>
        <item x="631"/>
        <item x="789"/>
        <item x="605"/>
        <item x="231"/>
        <item x="182"/>
        <item x="628"/>
        <item x="653"/>
        <item x="642"/>
        <item x="567"/>
        <item x="352"/>
        <item x="336"/>
        <item x="240"/>
        <item x="24"/>
        <item x="806"/>
        <item x="638"/>
        <item x="142"/>
        <item x="279"/>
        <item x="581"/>
        <item x="471"/>
        <item x="480"/>
        <item x="592"/>
        <item x="665"/>
        <item x="267"/>
        <item x="424"/>
        <item x="485"/>
        <item x="276"/>
        <item x="106"/>
        <item x="864"/>
        <item x="190"/>
        <item x="374"/>
        <item x="380"/>
        <item x="483"/>
        <item x="500"/>
        <item x="174"/>
        <item x="214"/>
        <item x="48"/>
        <item x="767"/>
        <item x="283"/>
        <item x="847"/>
        <item x="62"/>
        <item x="186"/>
        <item x="590"/>
        <item x="579"/>
        <item x="15"/>
        <item x="800"/>
        <item x="828"/>
        <item x="512"/>
        <item x="273"/>
        <item x="138"/>
        <item x="412"/>
        <item x="4"/>
        <item x="9"/>
        <item x="311"/>
        <item x="709"/>
        <item x="313"/>
        <item x="409"/>
        <item x="817"/>
        <item x="813"/>
        <item x="293"/>
        <item x="832"/>
        <item x="185"/>
        <item x="805"/>
        <item x="496"/>
        <item x="522"/>
        <item x="216"/>
        <item x="625"/>
        <item x="458"/>
        <item x="589"/>
        <item x="724"/>
        <item x="693"/>
        <item x="456"/>
        <item x="144"/>
        <item x="179"/>
        <item x="537"/>
        <item x="664"/>
        <item x="344"/>
        <item x="299"/>
        <item x="633"/>
        <item x="618"/>
        <item x="726"/>
        <item x="815"/>
        <item x="700"/>
        <item x="83"/>
        <item x="504"/>
        <item x="526"/>
        <item x="489"/>
        <item x="401"/>
        <item x="814"/>
        <item x="247"/>
        <item x="475"/>
        <item x="531"/>
        <item x="192"/>
        <item x="23"/>
        <item x="354"/>
        <item x="122"/>
        <item x="868"/>
        <item x="711"/>
        <item x="324"/>
        <item x="204"/>
        <item x="434"/>
        <item x="769"/>
        <item x="114"/>
        <item x="556"/>
        <item x="256"/>
        <item x="534"/>
        <item x="109"/>
        <item x="494"/>
        <item x="89"/>
        <item x="152"/>
        <item x="200"/>
        <item x="773"/>
        <item x="536"/>
        <item x="679"/>
        <item x="784"/>
        <item x="509"/>
        <item x="826"/>
        <item x="809"/>
        <item x="382"/>
        <item x="470"/>
        <item x="733"/>
        <item x="524"/>
        <item x="39"/>
        <item x="63"/>
        <item x="358"/>
        <item x="555"/>
        <item x="543"/>
        <item x="300"/>
        <item x="682"/>
        <item x="306"/>
        <item x="224"/>
        <item x="41"/>
        <item x="119"/>
        <item x="765"/>
        <item x="562"/>
        <item x="392"/>
        <item x="491"/>
        <item x="217"/>
        <item x="160"/>
        <item x="447"/>
        <item x="104"/>
        <item x="578"/>
        <item x="791"/>
        <item x="261"/>
        <item x="836"/>
        <item x="559"/>
        <item x="220"/>
        <item x="824"/>
        <item x="600"/>
        <item x="853"/>
        <item x="235"/>
        <item x="296"/>
        <item x="44"/>
        <item x="552"/>
        <item x="545"/>
        <item x="388"/>
        <item x="289"/>
        <item x="747"/>
        <item x="218"/>
        <item x="701"/>
        <item x="469"/>
        <item x="169"/>
        <item x="360"/>
        <item x="391"/>
        <item x="655"/>
        <item x="271"/>
        <item x="525"/>
        <item x="698"/>
        <item x="331"/>
        <item x="212"/>
        <item x="81"/>
        <item x="103"/>
        <item x="607"/>
        <item x="188"/>
        <item x="264"/>
        <item x="453"/>
        <item x="742"/>
        <item x="845"/>
        <item x="163"/>
        <item x="811"/>
        <item x="153"/>
        <item x="736"/>
        <item x="708"/>
        <item x="21"/>
        <item x="17"/>
        <item x="648"/>
        <item x="166"/>
        <item x="423"/>
        <item x="433"/>
        <item x="748"/>
        <item x="829"/>
        <item x="694"/>
        <item x="637"/>
        <item x="797"/>
        <item x="43"/>
        <item x="387"/>
        <item x="268"/>
        <item x="67"/>
        <item x="722"/>
        <item x="852"/>
        <item x="158"/>
        <item x="75"/>
        <item x="70"/>
        <item x="288"/>
        <item x="833"/>
        <item x="367"/>
        <item x="778"/>
        <item x="252"/>
        <item x="175"/>
        <item x="304"/>
        <item x="830"/>
        <item x="450"/>
        <item x="164"/>
        <item x="764"/>
        <item x="643"/>
        <item x="348"/>
        <item x="209"/>
        <item x="511"/>
        <item x="10"/>
        <item x="222"/>
        <item x="161"/>
        <item x="29"/>
        <item x="121"/>
        <item x="646"/>
        <item x="683"/>
        <item x="355"/>
        <item x="398"/>
        <item x="515"/>
        <item x="234"/>
        <item x="657"/>
        <item x="125"/>
        <item x="584"/>
        <item x="208"/>
        <item x="76"/>
        <item x="180"/>
        <item x="626"/>
        <item x="818"/>
        <item x="357"/>
        <item x="588"/>
        <item x="287"/>
        <item x="280"/>
        <item x="775"/>
        <item x="57"/>
        <item x="799"/>
        <item x="19"/>
        <item x="232"/>
        <item x="405"/>
        <item x="614"/>
        <item x="238"/>
        <item x="575"/>
        <item x="533"/>
        <item x="669"/>
        <item x="381"/>
        <item x="659"/>
        <item x="194"/>
        <item x="146"/>
        <item x="551"/>
        <item x="448"/>
        <item x="499"/>
        <item x="47"/>
        <item x="321"/>
        <item x="333"/>
        <item x="6"/>
        <item x="844"/>
        <item x="691"/>
        <item x="131"/>
        <item x="680"/>
        <item x="13"/>
        <item x="34"/>
        <item x="636"/>
        <item x="777"/>
        <item x="576"/>
        <item x="254"/>
        <item x="246"/>
        <item x="85"/>
        <item x="513"/>
        <item x="586"/>
        <item x="553"/>
        <item x="37"/>
        <item x="505"/>
        <item x="497"/>
        <item x="834"/>
        <item x="501"/>
        <item x="569"/>
        <item x="745"/>
        <item x="87"/>
        <item x="772"/>
        <item x="632"/>
        <item x="419"/>
        <item x="312"/>
        <item x="484"/>
        <item x="126"/>
        <item x="743"/>
        <item x="370"/>
        <item x="517"/>
        <item x="801"/>
        <item x="482"/>
        <item x="542"/>
        <item x="487"/>
        <item x="723"/>
        <item x="386"/>
        <item x="601"/>
        <item x="290"/>
        <item x="468"/>
        <item x="675"/>
        <item x="539"/>
        <item x="477"/>
        <item x="226"/>
        <item x="393"/>
        <item x="402"/>
        <item x="93"/>
        <item x="215"/>
        <item x="84"/>
        <item x="606"/>
        <item x="400"/>
        <item x="519"/>
        <item x="100"/>
        <item x="110"/>
        <item x="339"/>
        <item x="518"/>
        <item x="720"/>
        <item x="139"/>
        <item x="731"/>
        <item x="821"/>
        <item x="564"/>
        <item x="73"/>
        <item x="656"/>
        <item x="794"/>
        <item x="699"/>
        <item x="390"/>
        <item x="441"/>
        <item x="323"/>
        <item x="530"/>
        <item x="735"/>
        <item x="170"/>
        <item x="191"/>
        <item x="520"/>
        <item x="617"/>
        <item x="406"/>
        <item x="345"/>
        <item x="320"/>
        <item x="803"/>
        <item x="253"/>
        <item x="265"/>
        <item x="649"/>
        <item x="798"/>
        <item x="719"/>
        <item x="687"/>
        <item x="550"/>
        <item x="20"/>
        <item x="850"/>
        <item x="65"/>
        <item x="523"/>
        <item x="51"/>
        <item x="802"/>
        <item x="130"/>
        <item x="140"/>
        <item x="286"/>
        <item x="375"/>
        <item x="384"/>
        <item x="132"/>
        <item x="451"/>
        <item x="27"/>
        <item x="595"/>
        <item x="442"/>
        <item x="786"/>
        <item x="26"/>
        <item x="566"/>
        <item x="68"/>
        <item x="816"/>
        <item x="472"/>
        <item x="385"/>
        <item x="338"/>
        <item x="258"/>
        <item x="583"/>
        <item x="305"/>
        <item x="783"/>
        <item x="421"/>
        <item x="560"/>
        <item x="752"/>
        <item x="622"/>
        <item x="193"/>
        <item x="696"/>
        <item x="865"/>
        <item x="315"/>
        <item x="718"/>
        <item x="99"/>
        <item x="757"/>
        <item x="508"/>
        <item x="439"/>
        <item x="28"/>
        <item x="540"/>
        <item x="211"/>
        <item x="379"/>
        <item x="337"/>
        <item x="629"/>
        <item x="124"/>
        <item x="143"/>
        <item x="346"/>
        <item x="754"/>
        <item x="619"/>
        <item x="0"/>
        <item x="548"/>
        <item x="418"/>
        <item x="549"/>
        <item x="561"/>
        <item x="327"/>
        <item x="831"/>
        <item x="481"/>
        <item x="255"/>
        <item x="688"/>
        <item x="495"/>
        <item x="662"/>
        <item x="77"/>
        <item x="611"/>
        <item x="867"/>
        <item x="672"/>
        <item x="721"/>
        <item x="417"/>
        <item x="785"/>
        <item x="459"/>
        <item x="776"/>
        <item x="554"/>
        <item x="565"/>
        <item x="710"/>
        <item x="598"/>
        <item x="599"/>
        <item x="90"/>
        <item x="168"/>
        <item x="12"/>
        <item x="610"/>
        <item x="266"/>
        <item x="825"/>
        <item x="438"/>
        <item x="30"/>
        <item x="135"/>
        <item x="538"/>
        <item x="53"/>
        <item x="177"/>
        <item x="455"/>
        <item x="807"/>
        <item x="108"/>
        <item x="744"/>
        <item x="476"/>
        <item x="714"/>
        <item x="350"/>
        <item x="685"/>
        <item x="779"/>
        <item x="695"/>
        <item x="147"/>
        <item x="580"/>
        <item x="181"/>
        <item x="506"/>
        <item x="371"/>
        <item x="507"/>
        <item x="630"/>
        <item x="585"/>
        <item x="782"/>
        <item x="615"/>
        <item x="206"/>
        <item x="187"/>
        <item x="843"/>
        <item x="729"/>
        <item x="612"/>
        <item x="141"/>
        <item x="329"/>
        <item x="278"/>
        <item x="372"/>
        <item x="577"/>
        <item x="835"/>
        <item x="837"/>
        <item x="440"/>
        <item x="644"/>
        <item x="725"/>
        <item x="14"/>
        <item x="641"/>
        <item x="196"/>
        <item x="854"/>
        <item x="88"/>
        <item x="716"/>
        <item x="795"/>
        <item x="422"/>
        <item x="863"/>
        <item x="624"/>
        <item x="546"/>
        <item x="462"/>
        <item x="116"/>
        <item x="697"/>
        <item x="97"/>
        <item x="242"/>
        <item x="101"/>
        <item x="162"/>
        <item x="330"/>
        <item x="117"/>
        <item x="322"/>
        <item x="150"/>
        <item x="33"/>
        <item x="466"/>
        <item x="408"/>
        <item x="184"/>
        <item x="431"/>
        <item x="128"/>
        <item x="102"/>
        <item x="758"/>
        <item x="298"/>
        <item x="178"/>
        <item x="248"/>
        <item x="120"/>
        <item x="532"/>
        <item x="389"/>
        <item x="133"/>
        <item x="759"/>
        <item x="498"/>
        <item x="22"/>
        <item x="11"/>
        <item x="78"/>
        <item x="229"/>
        <item x="113"/>
        <item x="203"/>
        <item x="787"/>
        <item x="171"/>
        <item x="490"/>
        <item x="149"/>
        <item x="411"/>
        <item x="292"/>
        <item x="52"/>
        <item x="493"/>
        <item x="40"/>
        <item x="377"/>
        <item x="129"/>
        <item x="111"/>
        <item x="676"/>
        <item x="514"/>
        <item x="198"/>
        <item x="18"/>
        <item x="317"/>
        <item x="213"/>
        <item x="295"/>
        <item x="123"/>
        <item x="326"/>
        <item x="228"/>
        <item x="647"/>
        <item x="32"/>
        <item x="155"/>
        <item x="465"/>
        <item x="793"/>
        <item x="96"/>
        <item x="115"/>
        <item x="189"/>
        <item x="92"/>
        <item x="159"/>
        <item x="201"/>
        <item x="316"/>
        <item x="671"/>
        <item x="403"/>
        <item x="3"/>
        <item x="36"/>
        <item x="210"/>
        <item x="199"/>
        <item x="303"/>
        <item x="334"/>
        <item x="366"/>
        <item x="307"/>
        <item x="858"/>
        <item x="91"/>
        <item x="8"/>
        <item x="151"/>
        <item x="172"/>
        <item x="654"/>
        <item x="413"/>
        <item x="275"/>
        <item x="790"/>
        <item x="72"/>
        <item x="325"/>
        <item x="25"/>
        <item x="373"/>
        <item x="318"/>
        <item x="563"/>
        <item x="528"/>
        <item x="183"/>
        <item x="16"/>
        <item x="2"/>
        <item x="245"/>
        <item x="437"/>
        <item x="855"/>
        <item x="118"/>
        <item x="223"/>
        <item x="219"/>
        <item x="673"/>
        <item x="249"/>
        <item x="285"/>
        <item x="587"/>
        <item x="640"/>
        <item x="732"/>
        <item x="35"/>
        <item x="746"/>
        <item x="432"/>
        <item x="751"/>
        <item x="46"/>
        <item x="677"/>
        <item x="634"/>
        <item x="251"/>
        <item x="82"/>
        <item x="420"/>
        <item x="645"/>
        <item x="351"/>
        <item x="762"/>
        <item x="365"/>
        <item x="819"/>
        <item x="383"/>
        <item x="768"/>
        <item t="default"/>
      </items>
    </pivotField>
    <pivotField compact="0" showAll="0">
      <items count="13">
        <item x="1"/>
        <item x="5"/>
        <item x="3"/>
        <item x="0"/>
        <item x="7"/>
        <item x="6"/>
        <item x="2"/>
        <item x="4"/>
        <item x="11"/>
        <item x="9"/>
        <item x="10"/>
        <item x="8"/>
        <item t="default"/>
      </items>
    </pivotField>
    <pivotField compact="0" showAll="0">
      <items count="14">
        <item x="3"/>
        <item x="1"/>
        <item x="8"/>
        <item x="11"/>
        <item x="2"/>
        <item x="4"/>
        <item x="5"/>
        <item x="0"/>
        <item x="7"/>
        <item x="12"/>
        <item x="6"/>
        <item x="9"/>
        <item x="10"/>
        <item t="default"/>
      </items>
    </pivotField>
    <pivotField compact="0" showAll="0">
      <items count="7">
        <item x="1"/>
        <item x="5"/>
        <item x="2"/>
        <item x="3"/>
        <item x="0"/>
        <item x="4"/>
        <item t="default"/>
      </items>
    </pivotField>
    <pivotField compact="0" showAll="0">
      <items count="6">
        <item x="4"/>
        <item x="0"/>
        <item x="3"/>
        <item x="1"/>
        <item x="2"/>
        <item t="default"/>
      </items>
    </pivotField>
    <pivotField compact="0" showAll="0">
      <items count="19">
        <item x="6"/>
        <item x="12"/>
        <item x="4"/>
        <item x="17"/>
        <item x="7"/>
        <item x="9"/>
        <item x="0"/>
        <item x="16"/>
        <item x="1"/>
        <item x="10"/>
        <item x="3"/>
        <item x="15"/>
        <item x="14"/>
        <item x="11"/>
        <item x="2"/>
        <item x="5"/>
        <item x="8"/>
        <item x="13"/>
        <item t="default"/>
      </items>
    </pivotField>
    <pivotField compact="0" showAll="0">
      <items count="54">
        <item x="30"/>
        <item x="36"/>
        <item x="49"/>
        <item x="21"/>
        <item x="27"/>
        <item x="32"/>
        <item x="20"/>
        <item x="3"/>
        <item x="13"/>
        <item x="41"/>
        <item x="2"/>
        <item x="22"/>
        <item x="14"/>
        <item x="11"/>
        <item x="16"/>
        <item x="15"/>
        <item x="51"/>
        <item x="50"/>
        <item x="37"/>
        <item x="40"/>
        <item x="43"/>
        <item x="34"/>
        <item x="17"/>
        <item x="1"/>
        <item x="29"/>
        <item x="44"/>
        <item x="12"/>
        <item x="26"/>
        <item x="47"/>
        <item x="33"/>
        <item x="42"/>
        <item x="28"/>
        <item x="31"/>
        <item x="48"/>
        <item x="9"/>
        <item x="38"/>
        <item x="45"/>
        <item x="6"/>
        <item x="39"/>
        <item x="35"/>
        <item x="8"/>
        <item x="5"/>
        <item x="23"/>
        <item x="0"/>
        <item x="46"/>
        <item x="25"/>
        <item x="10"/>
        <item x="4"/>
        <item x="19"/>
        <item x="24"/>
        <item x="18"/>
        <item x="52"/>
        <item x="7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4">
        <item x="7"/>
        <item x="5"/>
        <item m="1" x="12"/>
        <item x="8"/>
        <item x="9"/>
        <item x="2"/>
        <item x="3"/>
        <item x="4"/>
        <item x="1"/>
        <item x="10"/>
        <item x="6"/>
        <item x="0"/>
        <item x="1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1"/>
        <item x="9"/>
        <item x="7"/>
        <item x="2"/>
        <item x="0"/>
        <item x="4"/>
        <item x="8"/>
        <item x="5"/>
        <item x="6"/>
        <item x="3"/>
        <item t="default"/>
      </items>
    </pivotField>
    <pivotField compact="0" showAll="0">
      <items count="506">
        <item x="469"/>
        <item x="169"/>
        <item x="347"/>
        <item x="8"/>
        <item x="160"/>
        <item x="27"/>
        <item x="194"/>
        <item x="24"/>
        <item x="67"/>
        <item x="122"/>
        <item x="41"/>
        <item x="220"/>
        <item x="15"/>
        <item x="94"/>
        <item x="12"/>
        <item x="47"/>
        <item x="87"/>
        <item x="115"/>
        <item x="154"/>
        <item x="176"/>
        <item x="175"/>
        <item x="109"/>
        <item x="89"/>
        <item x="7"/>
        <item x="186"/>
        <item x="48"/>
        <item x="55"/>
        <item x="125"/>
        <item x="236"/>
        <item x="128"/>
        <item x="157"/>
        <item x="21"/>
        <item x="149"/>
        <item x="468"/>
        <item x="74"/>
        <item x="254"/>
        <item x="308"/>
        <item x="1"/>
        <item x="174"/>
        <item x="360"/>
        <item x="273"/>
        <item x="393"/>
        <item x="202"/>
        <item x="349"/>
        <item x="96"/>
        <item x="151"/>
        <item x="293"/>
        <item x="477"/>
        <item x="155"/>
        <item x="332"/>
        <item x="107"/>
        <item x="171"/>
        <item x="412"/>
        <item x="198"/>
        <item x="204"/>
        <item x="429"/>
        <item x="133"/>
        <item x="452"/>
        <item x="34"/>
        <item x="471"/>
        <item x="181"/>
        <item x="148"/>
        <item x="156"/>
        <item x="297"/>
        <item x="345"/>
        <item x="404"/>
        <item x="397"/>
        <item x="37"/>
        <item x="306"/>
        <item x="371"/>
        <item x="179"/>
        <item x="378"/>
        <item x="237"/>
        <item x="216"/>
        <item x="103"/>
        <item x="45"/>
        <item x="486"/>
        <item x="235"/>
        <item x="0"/>
        <item x="407"/>
        <item x="239"/>
        <item x="9"/>
        <item x="344"/>
        <item x="73"/>
        <item x="140"/>
        <item x="5"/>
        <item x="310"/>
        <item x="211"/>
        <item x="386"/>
        <item x="197"/>
        <item x="244"/>
        <item x="340"/>
        <item x="138"/>
        <item x="370"/>
        <item x="313"/>
        <item x="375"/>
        <item x="403"/>
        <item x="99"/>
        <item x="44"/>
        <item x="38"/>
        <item x="188"/>
        <item x="177"/>
        <item x="260"/>
        <item x="146"/>
        <item x="504"/>
        <item x="86"/>
        <item x="488"/>
        <item x="30"/>
        <item x="304"/>
        <item x="389"/>
        <item x="17"/>
        <item x="492"/>
        <item x="326"/>
        <item x="185"/>
        <item x="295"/>
        <item x="274"/>
        <item x="400"/>
        <item x="143"/>
        <item x="234"/>
        <item x="4"/>
        <item x="153"/>
        <item x="391"/>
        <item x="168"/>
        <item x="484"/>
        <item x="212"/>
        <item x="173"/>
        <item x="82"/>
        <item x="317"/>
        <item x="263"/>
        <item x="262"/>
        <item x="66"/>
        <item x="416"/>
        <item x="14"/>
        <item x="56"/>
        <item x="242"/>
        <item x="250"/>
        <item x="167"/>
        <item x="479"/>
        <item x="29"/>
        <item x="435"/>
        <item x="36"/>
        <item x="368"/>
        <item x="294"/>
        <item x="31"/>
        <item x="230"/>
        <item x="342"/>
        <item x="70"/>
        <item x="305"/>
        <item x="223"/>
        <item x="460"/>
        <item x="35"/>
        <item x="241"/>
        <item x="444"/>
        <item x="421"/>
        <item x="319"/>
        <item x="458"/>
        <item x="137"/>
        <item x="97"/>
        <item x="170"/>
        <item x="445"/>
        <item x="502"/>
        <item x="485"/>
        <item x="430"/>
        <item x="159"/>
        <item x="51"/>
        <item x="164"/>
        <item x="284"/>
        <item x="162"/>
        <item x="418"/>
        <item x="78"/>
        <item x="13"/>
        <item x="446"/>
        <item x="106"/>
        <item x="255"/>
        <item x="192"/>
        <item x="321"/>
        <item x="224"/>
        <item x="110"/>
        <item x="95"/>
        <item x="10"/>
        <item x="68"/>
        <item x="258"/>
        <item x="362"/>
        <item x="180"/>
        <item x="11"/>
        <item x="6"/>
        <item x="203"/>
        <item x="79"/>
        <item x="302"/>
        <item x="134"/>
        <item x="49"/>
        <item x="498"/>
        <item x="42"/>
        <item x="209"/>
        <item x="336"/>
        <item x="57"/>
        <item x="178"/>
        <item x="251"/>
        <item x="2"/>
        <item x="69"/>
        <item x="121"/>
        <item x="63"/>
        <item x="127"/>
        <item x="474"/>
        <item x="491"/>
        <item x="90"/>
        <item x="187"/>
        <item x="353"/>
        <item x="62"/>
        <item x="75"/>
        <item x="195"/>
        <item x="131"/>
        <item x="350"/>
        <item x="189"/>
        <item x="266"/>
        <item x="324"/>
        <item x="503"/>
        <item x="59"/>
        <item x="39"/>
        <item x="247"/>
        <item x="451"/>
        <item x="314"/>
        <item x="415"/>
        <item x="249"/>
        <item x="118"/>
        <item x="253"/>
        <item x="91"/>
        <item x="40"/>
        <item x="422"/>
        <item x="105"/>
        <item x="22"/>
        <item x="401"/>
        <item x="496"/>
        <item x="409"/>
        <item x="165"/>
        <item x="501"/>
        <item x="226"/>
        <item x="58"/>
        <item x="64"/>
        <item x="264"/>
        <item x="184"/>
        <item x="312"/>
        <item x="473"/>
        <item x="328"/>
        <item x="20"/>
        <item x="139"/>
        <item x="269"/>
        <item x="172"/>
        <item x="81"/>
        <item x="358"/>
        <item x="225"/>
        <item x="163"/>
        <item x="233"/>
        <item x="299"/>
        <item x="141"/>
        <item x="357"/>
        <item x="261"/>
        <item x="286"/>
        <item x="277"/>
        <item x="272"/>
        <item x="18"/>
        <item x="490"/>
        <item x="19"/>
        <item x="440"/>
        <item x="316"/>
        <item x="405"/>
        <item x="3"/>
        <item x="278"/>
        <item x="320"/>
        <item x="330"/>
        <item x="52"/>
        <item x="32"/>
        <item x="354"/>
        <item x="447"/>
        <item x="116"/>
        <item x="413"/>
        <item x="455"/>
        <item x="135"/>
        <item x="426"/>
        <item x="442"/>
        <item x="275"/>
        <item x="193"/>
        <item x="46"/>
        <item x="351"/>
        <item x="228"/>
        <item x="112"/>
        <item x="379"/>
        <item x="363"/>
        <item x="428"/>
        <item x="245"/>
        <item x="80"/>
        <item x="43"/>
        <item x="207"/>
        <item x="129"/>
        <item x="142"/>
        <item x="436"/>
        <item x="72"/>
        <item x="475"/>
        <item x="166"/>
        <item x="331"/>
        <item x="439"/>
        <item x="390"/>
        <item x="92"/>
        <item x="120"/>
        <item x="229"/>
        <item x="145"/>
        <item x="248"/>
        <item x="16"/>
        <item x="54"/>
        <item x="252"/>
        <item x="408"/>
        <item x="392"/>
        <item x="497"/>
        <item x="259"/>
        <item x="500"/>
        <item x="218"/>
        <item x="402"/>
        <item x="382"/>
        <item x="470"/>
        <item x="132"/>
        <item x="271"/>
        <item x="423"/>
        <item x="201"/>
        <item x="365"/>
        <item x="489"/>
        <item x="267"/>
        <item x="307"/>
        <item x="217"/>
        <item x="76"/>
        <item x="493"/>
        <item x="487"/>
        <item x="366"/>
        <item x="399"/>
        <item x="182"/>
        <item x="411"/>
        <item x="454"/>
        <item x="300"/>
        <item x="459"/>
        <item x="287"/>
        <item x="309"/>
        <item x="433"/>
        <item x="60"/>
        <item x="123"/>
        <item x="472"/>
        <item x="377"/>
        <item x="291"/>
        <item x="124"/>
        <item x="158"/>
        <item x="256"/>
        <item x="374"/>
        <item x="104"/>
        <item x="303"/>
        <item x="355"/>
        <item x="199"/>
        <item x="361"/>
        <item x="323"/>
        <item x="467"/>
        <item x="246"/>
        <item x="108"/>
        <item x="419"/>
        <item x="333"/>
        <item x="499"/>
        <item x="144"/>
        <item x="191"/>
        <item x="456"/>
        <item x="61"/>
        <item x="283"/>
        <item x="33"/>
        <item x="315"/>
        <item x="77"/>
        <item x="221"/>
        <item x="98"/>
        <item x="88"/>
        <item x="114"/>
        <item x="281"/>
        <item x="334"/>
        <item x="214"/>
        <item x="376"/>
        <item x="231"/>
        <item x="453"/>
        <item x="130"/>
        <item x="384"/>
        <item x="464"/>
        <item x="414"/>
        <item x="26"/>
        <item x="238"/>
        <item x="476"/>
        <item x="410"/>
        <item x="478"/>
        <item x="126"/>
        <item x="462"/>
        <item x="136"/>
        <item x="213"/>
        <item x="210"/>
        <item x="417"/>
        <item x="257"/>
        <item x="449"/>
        <item x="425"/>
        <item x="101"/>
        <item x="343"/>
        <item x="84"/>
        <item x="406"/>
        <item x="222"/>
        <item x="388"/>
        <item x="232"/>
        <item x="292"/>
        <item x="285"/>
        <item x="147"/>
        <item x="219"/>
        <item x="369"/>
        <item x="50"/>
        <item x="372"/>
        <item x="268"/>
        <item x="296"/>
        <item x="339"/>
        <item x="443"/>
        <item x="65"/>
        <item x="270"/>
        <item x="318"/>
        <item x="398"/>
        <item x="71"/>
        <item x="356"/>
        <item x="282"/>
        <item x="196"/>
        <item x="337"/>
        <item x="288"/>
        <item x="190"/>
        <item x="483"/>
        <item x="329"/>
        <item x="117"/>
        <item x="463"/>
        <item x="373"/>
        <item x="431"/>
        <item x="280"/>
        <item x="85"/>
        <item x="364"/>
        <item x="465"/>
        <item x="394"/>
        <item x="215"/>
        <item x="396"/>
        <item x="289"/>
        <item x="53"/>
        <item x="311"/>
        <item x="466"/>
        <item x="28"/>
        <item x="279"/>
        <item x="367"/>
        <item x="338"/>
        <item x="298"/>
        <item x="395"/>
        <item x="432"/>
        <item x="227"/>
        <item x="240"/>
        <item x="265"/>
        <item x="111"/>
        <item x="23"/>
        <item x="438"/>
        <item x="100"/>
        <item x="276"/>
        <item x="102"/>
        <item x="380"/>
        <item x="450"/>
        <item x="480"/>
        <item x="301"/>
        <item x="152"/>
        <item x="206"/>
        <item x="383"/>
        <item x="381"/>
        <item x="387"/>
        <item x="83"/>
        <item x="327"/>
        <item x="359"/>
        <item x="208"/>
        <item x="385"/>
        <item x="113"/>
        <item x="448"/>
        <item x="482"/>
        <item x="322"/>
        <item x="420"/>
        <item x="481"/>
        <item x="348"/>
        <item x="119"/>
        <item x="243"/>
        <item x="441"/>
        <item x="200"/>
        <item x="494"/>
        <item x="457"/>
        <item x="352"/>
        <item x="93"/>
        <item x="424"/>
        <item x="325"/>
        <item x="335"/>
        <item x="150"/>
        <item x="346"/>
        <item x="205"/>
        <item x="437"/>
        <item x="161"/>
        <item x="25"/>
        <item x="290"/>
        <item x="495"/>
        <item x="341"/>
        <item x="434"/>
        <item x="183"/>
        <item x="461"/>
        <item x="427"/>
        <item t="default"/>
      </items>
    </pivotField>
    <pivotField compact="0" showAll="0">
      <items count="6">
        <item x="0"/>
        <item x="4"/>
        <item x="1"/>
        <item x="2"/>
        <item x="3"/>
        <item t="default"/>
      </items>
    </pivotField>
    <pivotField compact="0" showAll="0">
      <items count="881">
        <item x="774"/>
        <item x="556"/>
        <item x="447"/>
        <item x="97"/>
        <item x="444"/>
        <item x="654"/>
        <item x="557"/>
        <item x="828"/>
        <item x="515"/>
        <item x="254"/>
        <item x="203"/>
        <item x="771"/>
        <item x="123"/>
        <item x="320"/>
        <item x="13"/>
        <item x="820"/>
        <item x="8"/>
        <item x="858"/>
        <item x="577"/>
        <item x="108"/>
        <item x="412"/>
        <item x="804"/>
        <item x="208"/>
        <item x="590"/>
        <item x="677"/>
        <item x="825"/>
        <item x="700"/>
        <item x="871"/>
        <item x="572"/>
        <item x="434"/>
        <item x="698"/>
        <item x="868"/>
        <item x="448"/>
        <item x="1"/>
        <item x="827"/>
        <item x="45"/>
        <item x="782"/>
        <item x="547"/>
        <item x="288"/>
        <item x="508"/>
        <item x="124"/>
        <item x="231"/>
        <item x="744"/>
        <item x="672"/>
        <item x="99"/>
        <item x="186"/>
        <item x="183"/>
        <item x="651"/>
        <item x="347"/>
        <item x="736"/>
        <item x="637"/>
        <item x="188"/>
        <item x="230"/>
        <item x="62"/>
        <item x="38"/>
        <item x="773"/>
        <item x="849"/>
        <item x="221"/>
        <item x="797"/>
        <item x="597"/>
        <item x="422"/>
        <item x="241"/>
        <item x="31"/>
        <item x="496"/>
        <item x="796"/>
        <item x="753"/>
        <item x="387"/>
        <item x="10"/>
        <item x="338"/>
        <item x="506"/>
        <item x="466"/>
        <item x="391"/>
        <item x="249"/>
        <item x="780"/>
        <item x="394"/>
        <item x="245"/>
        <item x="653"/>
        <item x="747"/>
        <item x="46"/>
        <item x="259"/>
        <item x="185"/>
        <item x="28"/>
        <item x="105"/>
        <item x="494"/>
        <item x="500"/>
        <item x="569"/>
        <item x="767"/>
        <item x="22"/>
        <item x="76"/>
        <item x="366"/>
        <item x="499"/>
        <item x="82"/>
        <item x="53"/>
        <item x="205"/>
        <item x="333"/>
        <item x="497"/>
        <item x="701"/>
        <item x="291"/>
        <item x="96"/>
        <item x="184"/>
        <item x="568"/>
        <item x="129"/>
        <item x="234"/>
        <item x="749"/>
        <item x="143"/>
        <item x="130"/>
        <item x="669"/>
        <item x="127"/>
        <item x="19"/>
        <item x="673"/>
        <item x="21"/>
        <item x="34"/>
        <item x="312"/>
        <item x="591"/>
        <item x="363"/>
        <item x="413"/>
        <item x="800"/>
        <item x="63"/>
        <item x="346"/>
        <item x="639"/>
        <item x="579"/>
        <item x="720"/>
        <item x="640"/>
        <item x="273"/>
        <item x="155"/>
        <item x="856"/>
        <item x="666"/>
        <item x="792"/>
        <item x="593"/>
        <item x="318"/>
        <item x="552"/>
        <item x="583"/>
        <item x="17"/>
        <item x="861"/>
        <item x="778"/>
        <item x="471"/>
        <item x="843"/>
        <item x="301"/>
        <item x="565"/>
        <item x="321"/>
        <item x="411"/>
        <item x="115"/>
        <item x="857"/>
        <item x="757"/>
        <item x="813"/>
        <item x="562"/>
        <item x="163"/>
        <item x="293"/>
        <item x="257"/>
        <item x="711"/>
        <item x="150"/>
        <item x="488"/>
        <item x="199"/>
        <item x="178"/>
        <item x="483"/>
        <item x="160"/>
        <item x="256"/>
        <item x="233"/>
        <item x="835"/>
        <item x="89"/>
        <item x="634"/>
        <item x="685"/>
        <item x="769"/>
        <item x="136"/>
        <item x="476"/>
        <item x="261"/>
        <item x="431"/>
        <item x="821"/>
        <item x="754"/>
        <item x="126"/>
        <item x="511"/>
        <item x="54"/>
        <item x="875"/>
        <item x="587"/>
        <item x="490"/>
        <item x="322"/>
        <item x="314"/>
        <item x="872"/>
        <item x="691"/>
        <item x="50"/>
        <item x="582"/>
        <item x="840"/>
        <item x="277"/>
        <item x="834"/>
        <item x="212"/>
        <item x="7"/>
        <item x="627"/>
        <item x="176"/>
        <item x="491"/>
        <item x="693"/>
        <item x="606"/>
        <item x="770"/>
        <item x="71"/>
        <item x="216"/>
        <item x="674"/>
        <item x="284"/>
        <item x="100"/>
        <item x="286"/>
        <item x="549"/>
        <item x="432"/>
        <item x="462"/>
        <item x="479"/>
        <item x="83"/>
        <item x="173"/>
        <item x="107"/>
        <item x="756"/>
        <item x="139"/>
        <item x="72"/>
        <item x="335"/>
        <item x="280"/>
        <item x="235"/>
        <item x="852"/>
        <item x="518"/>
        <item x="730"/>
        <item x="215"/>
        <item x="9"/>
        <item x="223"/>
        <item x="403"/>
        <item x="148"/>
        <item x="25"/>
        <item x="830"/>
        <item x="316"/>
        <item x="632"/>
        <item x="340"/>
        <item x="370"/>
        <item x="570"/>
        <item x="341"/>
        <item x="604"/>
        <item x="417"/>
        <item x="74"/>
        <item x="357"/>
        <item x="375"/>
        <item x="247"/>
        <item x="836"/>
        <item x="761"/>
        <item x="61"/>
        <item x="648"/>
        <item x="826"/>
        <item x="307"/>
        <item x="833"/>
        <item x="791"/>
        <item x="158"/>
        <item x="554"/>
        <item x="650"/>
        <item x="468"/>
        <item x="35"/>
        <item x="449"/>
        <item x="302"/>
        <item x="427"/>
        <item x="344"/>
        <item x="167"/>
        <item x="200"/>
        <item x="658"/>
        <item x="237"/>
        <item x="624"/>
        <item x="699"/>
        <item x="210"/>
        <item x="528"/>
        <item x="367"/>
        <item x="870"/>
        <item x="423"/>
        <item x="194"/>
        <item x="298"/>
        <item x="705"/>
        <item x="229"/>
        <item x="243"/>
        <item x="336"/>
        <item x="52"/>
        <item x="814"/>
        <item x="132"/>
        <item x="601"/>
        <item x="161"/>
        <item x="662"/>
        <item x="51"/>
        <item x="602"/>
        <item x="272"/>
        <item x="120"/>
        <item x="324"/>
        <item x="788"/>
        <item x="368"/>
        <item x="197"/>
        <item x="702"/>
        <item x="169"/>
        <item x="477"/>
        <item x="211"/>
        <item x="351"/>
        <item x="724"/>
        <item x="162"/>
        <item x="404"/>
        <item x="625"/>
        <item x="805"/>
        <item x="853"/>
        <item x="180"/>
        <item x="741"/>
        <item x="536"/>
        <item x="222"/>
        <item x="271"/>
        <item x="503"/>
        <item x="551"/>
        <item x="869"/>
        <item x="313"/>
        <item x="529"/>
        <item x="64"/>
        <item x="85"/>
        <item x="251"/>
        <item x="786"/>
        <item x="684"/>
        <item x="655"/>
        <item x="612"/>
        <item x="610"/>
        <item x="156"/>
        <item x="121"/>
        <item x="686"/>
        <item x="112"/>
        <item x="0"/>
        <item x="877"/>
        <item x="456"/>
        <item x="763"/>
        <item x="236"/>
        <item x="623"/>
        <item x="67"/>
        <item x="24"/>
        <item x="304"/>
        <item x="801"/>
        <item x="841"/>
        <item x="206"/>
        <item x="122"/>
        <item x="501"/>
        <item x="818"/>
        <item x="546"/>
        <item x="876"/>
        <item x="209"/>
        <item x="709"/>
        <item x="187"/>
        <item x="153"/>
        <item x="694"/>
        <item x="710"/>
        <item x="846"/>
        <item x="558"/>
        <item x="217"/>
        <item x="816"/>
        <item x="372"/>
        <item x="839"/>
        <item x="356"/>
        <item x="102"/>
        <item x="111"/>
        <item x="177"/>
        <item x="135"/>
        <item x="682"/>
        <item x="837"/>
        <item x="660"/>
        <item x="16"/>
        <item x="866"/>
        <item x="454"/>
        <item x="37"/>
        <item x="401"/>
        <item x="386"/>
        <item x="802"/>
        <item x="524"/>
        <item x="352"/>
        <item x="459"/>
        <item x="452"/>
        <item x="342"/>
        <item x="665"/>
        <item x="30"/>
        <item x="219"/>
        <item x="369"/>
        <item x="349"/>
        <item x="688"/>
        <item x="309"/>
        <item x="246"/>
        <item x="576"/>
        <item x="250"/>
        <item x="543"/>
        <item x="65"/>
        <item x="103"/>
        <item x="533"/>
        <item x="564"/>
        <item x="636"/>
        <item x="289"/>
        <item x="575"/>
        <item x="823"/>
        <item x="278"/>
        <item x="109"/>
        <item x="631"/>
        <item x="39"/>
        <item x="620"/>
        <item x="42"/>
        <item x="498"/>
        <item x="740"/>
        <item x="433"/>
        <item x="538"/>
        <item x="408"/>
        <item x="49"/>
        <item x="192"/>
        <item x="803"/>
        <item x="426"/>
        <item x="706"/>
        <item x="149"/>
        <item x="164"/>
        <item x="117"/>
        <item x="862"/>
        <item x="689"/>
        <item x="224"/>
        <item x="855"/>
        <item x="381"/>
        <item x="5"/>
        <item x="395"/>
        <item x="151"/>
        <item x="509"/>
        <item x="598"/>
        <item x="60"/>
        <item x="292"/>
        <item x="523"/>
        <item x="798"/>
        <item x="717"/>
        <item x="4"/>
        <item x="141"/>
        <item x="41"/>
        <item x="299"/>
        <item x="822"/>
        <item x="618"/>
        <item x="104"/>
        <item x="614"/>
        <item x="128"/>
        <item x="628"/>
        <item x="465"/>
        <item x="154"/>
        <item x="486"/>
        <item x="443"/>
        <item x="548"/>
        <item x="819"/>
        <item x="657"/>
        <item x="40"/>
        <item x="766"/>
        <item x="649"/>
        <item x="267"/>
        <item x="611"/>
        <item x="751"/>
        <item x="824"/>
        <item x="420"/>
        <item x="748"/>
        <item x="319"/>
        <item x="263"/>
        <item x="268"/>
        <item x="253"/>
        <item x="641"/>
        <item x="166"/>
        <item x="310"/>
        <item x="48"/>
        <item x="716"/>
        <item x="482"/>
        <item x="629"/>
        <item x="755"/>
        <item x="463"/>
        <item x="415"/>
        <item x="218"/>
        <item x="474"/>
        <item x="2"/>
        <item x="676"/>
        <item x="170"/>
        <item x="873"/>
        <item x="20"/>
        <item x="428"/>
        <item x="400"/>
        <item x="270"/>
        <item x="713"/>
        <item x="159"/>
        <item x="851"/>
        <item x="79"/>
        <item x="707"/>
        <item x="190"/>
        <item x="585"/>
        <item x="390"/>
        <item x="240"/>
        <item x="787"/>
        <item x="409"/>
        <item x="207"/>
        <item x="202"/>
        <item x="438"/>
        <item x="812"/>
        <item x="308"/>
        <item x="393"/>
        <item x="535"/>
        <item x="78"/>
        <item x="421"/>
        <item x="630"/>
        <item x="142"/>
        <item x="544"/>
        <item x="106"/>
        <item x="110"/>
        <item x="845"/>
        <item x="101"/>
        <item x="779"/>
        <item x="220"/>
        <item x="125"/>
        <item x="559"/>
        <item x="439"/>
        <item x="214"/>
        <item x="573"/>
        <item x="520"/>
        <item x="182"/>
        <item x="644"/>
        <item x="55"/>
        <item x="295"/>
        <item x="315"/>
        <item x="66"/>
        <item x="329"/>
        <item x="692"/>
        <item x="14"/>
        <item x="147"/>
        <item x="98"/>
        <item x="785"/>
        <item x="294"/>
        <item x="429"/>
        <item x="829"/>
        <item x="57"/>
        <item x="838"/>
        <item x="708"/>
        <item x="842"/>
        <item x="172"/>
        <item x="385"/>
        <item x="510"/>
        <item x="201"/>
        <item x="777"/>
        <item x="493"/>
        <item x="534"/>
        <item x="379"/>
        <item x="281"/>
        <item x="525"/>
        <item x="407"/>
        <item x="638"/>
        <item x="287"/>
        <item x="878"/>
        <item x="446"/>
        <item x="242"/>
        <item x="36"/>
        <item x="305"/>
        <item x="742"/>
        <item x="697"/>
        <item x="15"/>
        <item x="605"/>
        <item x="608"/>
        <item x="726"/>
        <item x="668"/>
        <item x="600"/>
        <item x="874"/>
        <item x="88"/>
        <item x="619"/>
        <item x="727"/>
        <item x="137"/>
        <item x="191"/>
        <item x="643"/>
        <item x="642"/>
        <item x="365"/>
        <item x="92"/>
        <item x="436"/>
        <item x="531"/>
        <item x="282"/>
        <item x="371"/>
        <item x="350"/>
        <item x="425"/>
        <item x="260"/>
        <item x="809"/>
        <item x="521"/>
        <item x="33"/>
        <item x="719"/>
        <item x="831"/>
        <item x="364"/>
        <item x="337"/>
        <item x="539"/>
        <item x="430"/>
        <item x="343"/>
        <item x="380"/>
        <item x="330"/>
        <item x="679"/>
        <item x="77"/>
        <item x="687"/>
        <item x="464"/>
        <item x="81"/>
        <item x="781"/>
        <item x="355"/>
        <item x="578"/>
        <item x="43"/>
        <item x="722"/>
        <item x="165"/>
        <item x="94"/>
        <item x="26"/>
        <item x="47"/>
        <item x="119"/>
        <item x="844"/>
        <item x="663"/>
        <item x="171"/>
        <item x="723"/>
        <item x="440"/>
        <item x="12"/>
        <item x="189"/>
        <item x="144"/>
        <item x="784"/>
        <item x="478"/>
        <item x="472"/>
        <item x="517"/>
        <item x="596"/>
        <item x="553"/>
        <item x="232"/>
        <item x="715"/>
        <item x="225"/>
        <item x="458"/>
        <item x="228"/>
        <item x="815"/>
        <item x="776"/>
        <item x="238"/>
        <item x="675"/>
        <item x="704"/>
        <item x="392"/>
        <item x="810"/>
        <item x="56"/>
        <item x="728"/>
        <item x="84"/>
        <item x="326"/>
        <item x="90"/>
        <item x="213"/>
        <item x="18"/>
        <item x="118"/>
        <item x="519"/>
        <item x="262"/>
        <item x="859"/>
        <item x="360"/>
        <item x="264"/>
        <item x="331"/>
        <item x="609"/>
        <item x="114"/>
        <item x="603"/>
        <item x="504"/>
        <item x="327"/>
        <item x="175"/>
        <item x="738"/>
        <item x="729"/>
        <item x="306"/>
        <item x="195"/>
        <item x="157"/>
        <item x="87"/>
        <item x="599"/>
        <item x="863"/>
        <item x="373"/>
        <item x="550"/>
        <item x="759"/>
        <item x="560"/>
        <item x="745"/>
        <item x="6"/>
        <item x="680"/>
        <item x="734"/>
        <item x="671"/>
        <item x="419"/>
        <item x="339"/>
        <item x="374"/>
        <item x="11"/>
        <item x="328"/>
        <item x="311"/>
        <item x="174"/>
        <item x="714"/>
        <item x="811"/>
        <item x="615"/>
        <item x="645"/>
        <item x="790"/>
        <item x="752"/>
        <item x="563"/>
        <item x="376"/>
        <item x="198"/>
        <item x="75"/>
        <item x="806"/>
        <item x="678"/>
        <item x="44"/>
        <item x="750"/>
        <item x="860"/>
        <item x="762"/>
        <item x="334"/>
        <item x="735"/>
        <item x="204"/>
        <item x="484"/>
        <item x="406"/>
        <item x="789"/>
        <item x="594"/>
        <item x="325"/>
        <item x="703"/>
        <item x="457"/>
        <item x="70"/>
        <item x="168"/>
        <item x="377"/>
        <item x="453"/>
        <item x="571"/>
        <item x="332"/>
        <item x="91"/>
        <item x="276"/>
        <item x="794"/>
        <item x="475"/>
        <item x="768"/>
        <item x="469"/>
        <item x="621"/>
        <item x="737"/>
        <item x="616"/>
        <item x="647"/>
        <item x="580"/>
        <item x="473"/>
        <item x="513"/>
        <item x="526"/>
        <item x="424"/>
        <item x="661"/>
        <item x="512"/>
        <item x="275"/>
        <item x="196"/>
        <item x="303"/>
        <item x="502"/>
        <item x="258"/>
        <item x="586"/>
        <item x="537"/>
        <item x="540"/>
        <item x="775"/>
        <item x="58"/>
        <item x="664"/>
        <item x="252"/>
        <item x="290"/>
        <item x="179"/>
        <item x="505"/>
        <item x="239"/>
        <item x="656"/>
        <item x="23"/>
        <item x="764"/>
        <item x="348"/>
        <item x="353"/>
        <item x="832"/>
        <item x="389"/>
        <item x="384"/>
        <item x="266"/>
        <item x="542"/>
        <item x="514"/>
        <item x="29"/>
        <item x="396"/>
        <item x="733"/>
        <item x="416"/>
        <item x="255"/>
        <item x="323"/>
        <item x="854"/>
        <item x="3"/>
        <item x="441"/>
        <item x="541"/>
        <item x="244"/>
        <item x="760"/>
        <item x="455"/>
        <item x="248"/>
        <item x="279"/>
        <item x="283"/>
        <item x="725"/>
        <item x="626"/>
        <item x="410"/>
        <item x="345"/>
        <item x="80"/>
        <item x="93"/>
        <item x="445"/>
        <item x="362"/>
        <item x="361"/>
        <item x="865"/>
        <item x="696"/>
        <item x="652"/>
        <item x="68"/>
        <item x="86"/>
        <item x="588"/>
        <item x="227"/>
        <item x="772"/>
        <item x="437"/>
        <item x="450"/>
        <item x="532"/>
        <item x="133"/>
        <item x="847"/>
        <item x="516"/>
        <item x="765"/>
        <item x="297"/>
        <item x="617"/>
        <item x="383"/>
        <item x="116"/>
        <item x="495"/>
        <item x="134"/>
        <item x="879"/>
        <item x="581"/>
        <item x="460"/>
        <item x="492"/>
        <item x="635"/>
        <item x="746"/>
        <item x="793"/>
        <item x="681"/>
        <item x="300"/>
        <item x="265"/>
        <item x="555"/>
        <item x="527"/>
        <item x="507"/>
        <item x="567"/>
        <item x="152"/>
        <item x="743"/>
        <item x="584"/>
        <item x="731"/>
        <item x="595"/>
        <item x="451"/>
        <item x="659"/>
        <item x="817"/>
        <item x="470"/>
        <item x="138"/>
        <item x="758"/>
        <item x="382"/>
        <item x="435"/>
        <item x="480"/>
        <item x="269"/>
        <item x="145"/>
        <item x="354"/>
        <item x="69"/>
        <item x="405"/>
        <item x="461"/>
        <item x="27"/>
        <item x="795"/>
        <item x="358"/>
        <item x="867"/>
        <item x="113"/>
        <item x="285"/>
        <item x="808"/>
        <item x="418"/>
        <item x="566"/>
        <item x="274"/>
        <item x="864"/>
        <item x="489"/>
        <item x="732"/>
        <item x="485"/>
        <item x="592"/>
        <item x="561"/>
        <item x="487"/>
        <item x="414"/>
        <item x="667"/>
        <item x="695"/>
        <item x="589"/>
        <item x="442"/>
        <item x="712"/>
        <item x="59"/>
        <item x="622"/>
        <item x="522"/>
        <item x="131"/>
        <item x="402"/>
        <item x="613"/>
        <item x="388"/>
        <item x="481"/>
        <item x="848"/>
        <item x="467"/>
        <item x="95"/>
        <item x="73"/>
        <item x="646"/>
        <item x="721"/>
        <item x="633"/>
        <item x="783"/>
        <item x="296"/>
        <item x="574"/>
        <item x="807"/>
        <item x="181"/>
        <item x="799"/>
        <item x="739"/>
        <item x="146"/>
        <item x="397"/>
        <item x="226"/>
        <item x="683"/>
        <item x="378"/>
        <item x="545"/>
        <item x="359"/>
        <item x="140"/>
        <item x="530"/>
        <item x="317"/>
        <item x="398"/>
        <item x="32"/>
        <item x="690"/>
        <item x="718"/>
        <item x="607"/>
        <item x="193"/>
        <item x="399"/>
        <item x="850"/>
        <item x="670"/>
        <item t="default"/>
      </items>
    </pivotField>
    <pivotField compact="0" showAll="0">
      <items count="1001">
        <item x="873"/>
        <item x="605"/>
        <item x="868"/>
        <item x="482"/>
        <item x="201"/>
        <item x="478"/>
        <item x="606"/>
        <item x="99"/>
        <item x="937"/>
        <item x="880"/>
        <item x="720"/>
        <item x="265"/>
        <item x="556"/>
        <item x="213"/>
        <item x="162"/>
        <item x="646"/>
        <item x="339"/>
        <item x="869"/>
        <item x="13"/>
        <item x="127"/>
        <item x="928"/>
        <item x="8"/>
        <item x="112"/>
        <item x="227"/>
        <item x="972"/>
        <item x="817"/>
        <item x="628"/>
        <item x="912"/>
        <item x="439"/>
        <item x="296"/>
        <item x="781"/>
        <item x="948"/>
        <item x="641"/>
        <item x="218"/>
        <item x="752"/>
        <item x="783"/>
        <item x="987"/>
        <item x="934"/>
        <item x="623"/>
        <item x="990"/>
        <item x="464"/>
        <item x="882"/>
        <item x="483"/>
        <item x="1"/>
        <item x="301"/>
        <item x="128"/>
        <item x="594"/>
        <item x="955"/>
        <item x="936"/>
        <item x="839"/>
        <item x="496"/>
        <item x="45"/>
        <item x="242"/>
        <item x="747"/>
        <item x="101"/>
        <item x="779"/>
        <item x="549"/>
        <item x="578"/>
        <item x="190"/>
        <item x="978"/>
        <item x="829"/>
        <item x="38"/>
        <item x="210"/>
        <item x="796"/>
        <item x="193"/>
        <item x="441"/>
        <item x="981"/>
        <item x="716"/>
        <item x="232"/>
        <item x="872"/>
        <item x="700"/>
        <item x="31"/>
        <item x="547"/>
        <item x="63"/>
        <item x="901"/>
        <item x="252"/>
        <item x="619"/>
        <item x="850"/>
        <item x="367"/>
        <item x="195"/>
        <item x="652"/>
        <item x="962"/>
        <item x="450"/>
        <item x="814"/>
        <item x="241"/>
        <item x="357"/>
        <item x="409"/>
        <item x="664"/>
        <item x="546"/>
        <item x="589"/>
        <item x="715"/>
        <item x="503"/>
        <item x="719"/>
        <item x="535"/>
        <item x="746"/>
        <item x="723"/>
        <item x="10"/>
        <item x="336"/>
        <item x="900"/>
        <item x="416"/>
        <item x="879"/>
        <item x="192"/>
        <item x="270"/>
        <item x="260"/>
        <item x="842"/>
        <item x="109"/>
        <item x="413"/>
        <item x="763"/>
        <item x="185"/>
        <item x="28"/>
        <item x="687"/>
        <item x="22"/>
        <item x="256"/>
        <item x="540"/>
        <item x="471"/>
        <item x="864"/>
        <item x="333"/>
        <item x="620"/>
        <item x="46"/>
        <item x="576"/>
        <item x="352"/>
        <item x="533"/>
        <item x="131"/>
        <item x="648"/>
        <item x="784"/>
        <item x="83"/>
        <item x="537"/>
        <item x="725"/>
        <item x="910"/>
        <item x="845"/>
        <item x="968"/>
        <item x="54"/>
        <item x="97"/>
        <item x="683"/>
        <item x="539"/>
        <item x="77"/>
        <item x="215"/>
        <item x="191"/>
        <item x="440"/>
        <item x="150"/>
        <item x="495"/>
        <item x="64"/>
        <item x="765"/>
        <item x="387"/>
        <item x="133"/>
        <item x="147"/>
        <item x="890"/>
        <item x="739"/>
        <item x="245"/>
        <item x="618"/>
        <item x="905"/>
        <item x="630"/>
        <item x="467"/>
        <item x="532"/>
        <item x="432"/>
        <item x="134"/>
        <item x="305"/>
        <item x="98"/>
        <item x="702"/>
        <item x="19"/>
        <item x="970"/>
        <item x="481"/>
        <item x="645"/>
        <item x="743"/>
        <item x="384"/>
        <item x="536"/>
        <item x="601"/>
        <item x="284"/>
        <item x="160"/>
        <item x="457"/>
        <item x="329"/>
        <item x="366"/>
        <item x="748"/>
        <item x="196"/>
        <item x="21"/>
        <item x="34"/>
        <item x="740"/>
        <item x="808"/>
        <item x="509"/>
        <item x="642"/>
        <item x="611"/>
        <item x="119"/>
        <item x="309"/>
        <item x="169"/>
        <item x="854"/>
        <item x="902"/>
        <item x="971"/>
        <item x="317"/>
        <item x="975"/>
        <item x="895"/>
        <item x="704"/>
        <item x="877"/>
        <item x="438"/>
        <item x="977"/>
        <item x="17"/>
        <item x="634"/>
        <item x="337"/>
        <item x="184"/>
        <item x="166"/>
        <item x="505"/>
        <item x="896"/>
        <item x="871"/>
        <item x="921"/>
        <item x="795"/>
        <item x="244"/>
        <item x="208"/>
        <item x="665"/>
        <item x="615"/>
        <item x="155"/>
        <item x="521"/>
        <item x="340"/>
        <item x="552"/>
        <item x="267"/>
        <item x="272"/>
        <item x="130"/>
        <item x="956"/>
        <item x="103"/>
        <item x="331"/>
        <item x="140"/>
        <item x="268"/>
        <item x="851"/>
        <item x="731"/>
        <item x="341"/>
        <item x="866"/>
        <item x="944"/>
        <item x="304"/>
        <item x="929"/>
        <item x="514"/>
        <item x="526"/>
        <item x="697"/>
        <item x="50"/>
        <item x="90"/>
        <item x="994"/>
        <item x="774"/>
        <item x="952"/>
        <item x="72"/>
        <item x="308"/>
        <item x="108"/>
        <item x="943"/>
        <item x="991"/>
        <item x="461"/>
        <item x="764"/>
        <item x="772"/>
        <item x="182"/>
        <item x="775"/>
        <item x="638"/>
        <item x="289"/>
        <item x="55"/>
        <item x="787"/>
        <item x="7"/>
        <item x="102"/>
        <item x="529"/>
        <item x="596"/>
        <item x="732"/>
        <item x="528"/>
        <item x="222"/>
        <item x="633"/>
        <item x="84"/>
        <item x="179"/>
        <item x="690"/>
        <item x="499"/>
        <item x="815"/>
        <item x="226"/>
        <item x="299"/>
        <item x="354"/>
        <item x="867"/>
        <item x="143"/>
        <item x="718"/>
        <item x="965"/>
        <item x="153"/>
        <item x="749"/>
        <item x="9"/>
        <item x="475"/>
        <item x="661"/>
        <item x="798"/>
        <item x="25"/>
        <item x="429"/>
        <item x="297"/>
        <item x="858"/>
        <item x="695"/>
        <item x="999"/>
        <item x="823"/>
        <item x="462"/>
        <item x="258"/>
        <item x="234"/>
        <item x="392"/>
        <item x="560"/>
        <item x="714"/>
        <item x="811"/>
        <item x="517"/>
        <item x="292"/>
        <item x="621"/>
        <item x="328"/>
        <item x="73"/>
        <item x="359"/>
        <item x="377"/>
        <item x="853"/>
        <item x="111"/>
        <item x="426"/>
        <item x="603"/>
        <item x="945"/>
        <item x="246"/>
        <item x="62"/>
        <item x="769"/>
        <item x="75"/>
        <item x="939"/>
        <item x="225"/>
        <item x="942"/>
        <item x="484"/>
        <item x="164"/>
        <item x="35"/>
        <item x="728"/>
        <item x="334"/>
        <item x="477"/>
        <item x="989"/>
        <item x="428"/>
        <item x="360"/>
        <item x="906"/>
        <item x="682"/>
        <item x="397"/>
        <item x="220"/>
        <item x="445"/>
        <item x="451"/>
        <item x="935"/>
        <item x="782"/>
        <item x="894"/>
        <item x="173"/>
        <item x="659"/>
        <item x="318"/>
        <item x="288"/>
        <item x="686"/>
        <item x="455"/>
        <item x="323"/>
        <item x="283"/>
        <item x="167"/>
        <item x="209"/>
        <item x="712"/>
        <item x="515"/>
        <item x="52"/>
        <item x="203"/>
        <item x="168"/>
        <item x="389"/>
        <item x="506"/>
        <item x="206"/>
        <item x="248"/>
        <item x="889"/>
        <item x="570"/>
        <item x="891"/>
        <item x="656"/>
        <item x="124"/>
        <item x="363"/>
        <item x="51"/>
        <item x="966"/>
        <item x="951"/>
        <item x="760"/>
        <item x="371"/>
        <item x="887"/>
        <item x="789"/>
        <item x="430"/>
        <item x="421"/>
        <item x="262"/>
        <item x="240"/>
        <item x="922"/>
        <item x="735"/>
        <item x="314"/>
        <item x="282"/>
        <item x="355"/>
        <item x="343"/>
        <item x="254"/>
        <item x="657"/>
        <item x="221"/>
        <item x="946"/>
        <item x="573"/>
        <item x="0"/>
        <item x="643"/>
        <item x="187"/>
        <item x="848"/>
        <item x="813"/>
        <item x="390"/>
        <item x="688"/>
        <item x="785"/>
        <item x="860"/>
        <item x="543"/>
        <item x="996"/>
        <item x="491"/>
        <item x="247"/>
        <item x="233"/>
        <item x="136"/>
        <item x="703"/>
        <item x="836"/>
        <item x="126"/>
        <item x="330"/>
        <item x="762"/>
        <item x="571"/>
        <item x="926"/>
        <item x="988"/>
        <item x="175"/>
        <item x="541"/>
        <item x="675"/>
        <item x="907"/>
        <item x="913"/>
        <item x="581"/>
        <item x="598"/>
        <item x="365"/>
        <item x="194"/>
        <item x="685"/>
        <item x="228"/>
        <item x="125"/>
        <item x="86"/>
        <item x="115"/>
        <item x="721"/>
        <item x="183"/>
        <item x="68"/>
        <item x="776"/>
        <item x="116"/>
        <item x="607"/>
        <item x="161"/>
        <item x="216"/>
        <item x="766"/>
        <item x="65"/>
        <item x="995"/>
        <item x="908"/>
        <item x="753"/>
        <item x="24"/>
        <item x="671"/>
        <item x="668"/>
        <item x="953"/>
        <item x="320"/>
        <item x="361"/>
        <item x="16"/>
        <item x="768"/>
        <item x="37"/>
        <item x="105"/>
        <item x="833"/>
        <item x="425"/>
        <item x="158"/>
        <item x="794"/>
        <item x="325"/>
        <item x="566"/>
        <item x="947"/>
        <item x="408"/>
        <item x="559"/>
        <item x="219"/>
        <item x="577"/>
        <item x="30"/>
        <item x="680"/>
        <item x="793"/>
        <item x="593"/>
        <item x="924"/>
        <item x="113"/>
        <item x="106"/>
        <item x="290"/>
        <item x="257"/>
        <item x="959"/>
        <item x="376"/>
        <item x="626"/>
        <item x="950"/>
        <item x="770"/>
        <item x="759"/>
        <item x="372"/>
        <item x="394"/>
        <item x="230"/>
        <item x="302"/>
        <item x="200"/>
        <item x="139"/>
        <item x="985"/>
        <item x="494"/>
        <item x="487"/>
        <item x="489"/>
        <item x="42"/>
        <item x="454"/>
        <item x="733"/>
        <item x="66"/>
        <item x="583"/>
        <item x="39"/>
        <item x="418"/>
        <item x="435"/>
        <item x="4"/>
        <item x="931"/>
        <item x="738"/>
        <item x="261"/>
        <item x="911"/>
        <item x="170"/>
        <item x="790"/>
        <item x="538"/>
        <item x="391"/>
        <item x="41"/>
        <item x="614"/>
        <item x="235"/>
        <item x="61"/>
        <item x="369"/>
        <item x="590"/>
        <item x="49"/>
        <item x="694"/>
        <item x="653"/>
        <item x="315"/>
        <item x="627"/>
        <item x="417"/>
        <item x="121"/>
        <item x="885"/>
        <item x="278"/>
        <item x="595"/>
        <item x="713"/>
        <item x="154"/>
        <item x="699"/>
        <item x="5"/>
        <item x="903"/>
        <item x="463"/>
        <item x="565"/>
        <item x="306"/>
        <item x="863"/>
        <item x="502"/>
        <item x="835"/>
        <item x="156"/>
        <item x="673"/>
        <item x="132"/>
        <item x="976"/>
        <item x="847"/>
        <item x="338"/>
        <item x="403"/>
        <item x="969"/>
        <item x="524"/>
        <item x="820"/>
        <item x="159"/>
        <item x="909"/>
        <item x="460"/>
        <item x="932"/>
        <item x="930"/>
        <item x="726"/>
        <item x="326"/>
        <item x="550"/>
        <item x="40"/>
        <item x="980"/>
        <item x="512"/>
        <item x="107"/>
        <item x="145"/>
        <item x="172"/>
        <item x="678"/>
        <item x="727"/>
        <item x="805"/>
        <item x="424"/>
        <item x="799"/>
        <item x="691"/>
        <item x="443"/>
        <item x="852"/>
        <item x="927"/>
        <item x="844"/>
        <item x="198"/>
        <item x="448"/>
        <item x="692"/>
        <item x="476"/>
        <item x="670"/>
        <item x="984"/>
        <item x="933"/>
        <item x="229"/>
        <item x="612"/>
        <item x="520"/>
        <item x="449"/>
        <item x="379"/>
        <item x="264"/>
        <item x="591"/>
        <item x="412"/>
        <item x="958"/>
        <item x="500"/>
        <item x="104"/>
        <item x="281"/>
        <item x="992"/>
        <item x="48"/>
        <item x="279"/>
        <item x="79"/>
        <item x="2"/>
        <item x="751"/>
        <item x="470"/>
        <item x="110"/>
        <item x="938"/>
        <item x="129"/>
        <item x="436"/>
        <item x="274"/>
        <item x="415"/>
        <item x="705"/>
        <item x="165"/>
        <item x="212"/>
        <item x="964"/>
        <item x="176"/>
        <item x="804"/>
        <item x="562"/>
        <item x="20"/>
        <item x="332"/>
        <item x="920"/>
        <item x="324"/>
        <item x="800"/>
        <item x="469"/>
        <item x="14"/>
        <item x="307"/>
        <item x="791"/>
        <item x="80"/>
        <item x="580"/>
        <item x="458"/>
        <item x="456"/>
        <item x="348"/>
        <item x="407"/>
        <item x="888"/>
        <item x="693"/>
        <item x="224"/>
        <item x="251"/>
        <item x="146"/>
        <item x="878"/>
        <item x="231"/>
        <item x="551"/>
        <item x="579"/>
        <item x="480"/>
        <item x="624"/>
        <item x="217"/>
        <item x="401"/>
        <item x="756"/>
        <item x="730"/>
        <item x="100"/>
        <item x="636"/>
        <item x="310"/>
        <item x="818"/>
        <item x="708"/>
        <item x="56"/>
        <item x="58"/>
        <item x="321"/>
        <item x="608"/>
        <item x="388"/>
        <item x="67"/>
        <item x="189"/>
        <item x="114"/>
        <item x="792"/>
        <item x="434"/>
        <item x="211"/>
        <item x="152"/>
        <item x="701"/>
        <item x="679"/>
        <item x="311"/>
        <item x="662"/>
        <item x="954"/>
        <item x="876"/>
        <item x="940"/>
        <item x="386"/>
        <item x="370"/>
        <item x="178"/>
        <item x="773"/>
        <item x="15"/>
        <item x="886"/>
        <item x="722"/>
        <item x="780"/>
        <item x="660"/>
        <item x="402"/>
        <item x="453"/>
        <item x="949"/>
        <item x="531"/>
        <item x="706"/>
        <item x="356"/>
        <item x="997"/>
        <item x="655"/>
        <item x="349"/>
        <item x="78"/>
        <item x="89"/>
        <item x="253"/>
        <item x="567"/>
        <item x="843"/>
        <item x="293"/>
        <item x="563"/>
        <item x="385"/>
        <item x="459"/>
        <item x="742"/>
        <item x="466"/>
        <item x="141"/>
        <item x="47"/>
        <item x="271"/>
        <item x="294"/>
        <item x="300"/>
        <item x="36"/>
        <item x="837"/>
        <item x="199"/>
        <item x="197"/>
        <item x="917"/>
        <item x="600"/>
        <item x="993"/>
        <item x="393"/>
        <item x="651"/>
        <item x="43"/>
        <item x="807"/>
        <item x="819"/>
        <item x="666"/>
        <item x="375"/>
        <item x="574"/>
        <item x="602"/>
        <item x="236"/>
        <item x="584"/>
        <item x="345"/>
        <item x="707"/>
        <item x="91"/>
        <item x="510"/>
        <item x="881"/>
        <item x="501"/>
        <item x="875"/>
        <item x="93"/>
        <item x="33"/>
        <item x="85"/>
        <item x="669"/>
        <item x="810"/>
        <item x="918"/>
        <item x="322"/>
        <item x="755"/>
        <item x="88"/>
        <item x="831"/>
        <item x="362"/>
        <item x="472"/>
        <item x="973"/>
        <item x="979"/>
        <item x="118"/>
        <item x="6"/>
        <item x="856"/>
        <item x="767"/>
        <item x="122"/>
        <item x="26"/>
        <item x="171"/>
        <item x="53"/>
        <item x="18"/>
        <item x="123"/>
        <item x="884"/>
        <item x="346"/>
        <item x="658"/>
        <item x="239"/>
        <item x="821"/>
        <item x="223"/>
        <item x="82"/>
        <item x="12"/>
        <item x="629"/>
        <item x="757"/>
        <item x="347"/>
        <item x="586"/>
        <item x="834"/>
        <item x="674"/>
        <item x="654"/>
        <item x="750"/>
        <item x="736"/>
        <item x="803"/>
        <item x="95"/>
        <item x="561"/>
        <item x="273"/>
        <item x="395"/>
        <item x="181"/>
        <item x="148"/>
        <item x="275"/>
        <item x="243"/>
        <item x="544"/>
        <item x="350"/>
        <item x="163"/>
        <item x="516"/>
        <item x="788"/>
        <item x="597"/>
        <item x="812"/>
        <item x="745"/>
        <item x="493"/>
        <item x="840"/>
        <item x="177"/>
        <item x="957"/>
        <item x="249"/>
        <item x="558"/>
        <item x="923"/>
        <item x="849"/>
        <item x="893"/>
        <item x="919"/>
        <item x="414"/>
        <item x="859"/>
        <item x="214"/>
        <item x="57"/>
        <item x="44"/>
        <item x="827"/>
        <item x="667"/>
        <item x="381"/>
        <item x="822"/>
        <item x="846"/>
        <item x="522"/>
        <item x="204"/>
        <item x="709"/>
        <item x="914"/>
        <item x="609"/>
        <item x="180"/>
        <item x="433"/>
        <item x="351"/>
        <item x="676"/>
        <item x="647"/>
        <item x="507"/>
        <item x="801"/>
        <item x="207"/>
        <item x="974"/>
        <item x="358"/>
        <item x="398"/>
        <item x="396"/>
        <item x="327"/>
        <item x="92"/>
        <item x="649"/>
        <item x="892"/>
        <item x="447"/>
        <item x="11"/>
        <item x="174"/>
        <item x="205"/>
        <item x="754"/>
        <item x="585"/>
        <item x="711"/>
        <item x="287"/>
        <item x="874"/>
        <item x="622"/>
        <item x="513"/>
        <item x="613"/>
        <item x="488"/>
        <item x="59"/>
        <item x="76"/>
        <item x="71"/>
        <item x="828"/>
        <item x="277"/>
        <item x="511"/>
        <item x="399"/>
        <item x="269"/>
        <item x="830"/>
        <item x="555"/>
        <item x="411"/>
        <item x="353"/>
        <item x="587"/>
        <item x="255"/>
        <item x="631"/>
        <item x="786"/>
        <item x="250"/>
        <item x="344"/>
        <item x="492"/>
        <item x="553"/>
        <item x="599"/>
        <item x="898"/>
        <item x="186"/>
        <item x="802"/>
        <item x="865"/>
        <item x="681"/>
        <item x="861"/>
        <item x="368"/>
        <item x="582"/>
        <item x="554"/>
        <item x="23"/>
        <item x="266"/>
        <item x="29"/>
        <item x="303"/>
        <item x="319"/>
        <item x="545"/>
        <item x="364"/>
        <item x="857"/>
        <item x="452"/>
        <item x="3"/>
        <item x="637"/>
        <item x="542"/>
        <item x="286"/>
        <item x="568"/>
        <item x="490"/>
        <item x="734"/>
        <item x="69"/>
        <item x="419"/>
        <item x="778"/>
        <item x="737"/>
        <item x="485"/>
        <item x="87"/>
        <item x="263"/>
        <item x="588"/>
        <item x="291"/>
        <item x="870"/>
        <item x="468"/>
        <item x="342"/>
        <item x="724"/>
        <item x="473"/>
        <item x="967"/>
        <item x="295"/>
        <item x="983"/>
        <item x="444"/>
        <item x="405"/>
        <item x="373"/>
        <item x="826"/>
        <item x="406"/>
        <item x="717"/>
        <item x="534"/>
        <item x="81"/>
        <item x="941"/>
        <item x="94"/>
        <item x="313"/>
        <item x="238"/>
        <item x="479"/>
        <item x="120"/>
        <item x="639"/>
        <item x="816"/>
        <item x="259"/>
        <item x="689"/>
        <item x="569"/>
        <item x="437"/>
        <item x="635"/>
        <item x="897"/>
        <item x="575"/>
        <item x="383"/>
        <item x="137"/>
        <item x="138"/>
        <item x="382"/>
        <item x="998"/>
        <item x="862"/>
        <item x="925"/>
        <item x="404"/>
        <item x="486"/>
        <item x="518"/>
        <item x="960"/>
        <item x="899"/>
        <item x="465"/>
        <item x="841"/>
        <item x="557"/>
        <item x="27"/>
        <item x="497"/>
        <item x="498"/>
        <item x="280"/>
        <item x="374"/>
        <item x="632"/>
        <item x="604"/>
        <item x="149"/>
        <item x="316"/>
        <item x="677"/>
        <item x="508"/>
        <item x="698"/>
        <item x="378"/>
        <item x="758"/>
        <item x="530"/>
        <item x="157"/>
        <item x="142"/>
        <item x="525"/>
        <item x="617"/>
        <item x="276"/>
        <item x="650"/>
        <item x="825"/>
        <item x="285"/>
        <item x="982"/>
        <item x="548"/>
        <item x="442"/>
        <item x="298"/>
        <item x="523"/>
        <item x="729"/>
        <item x="838"/>
        <item x="916"/>
        <item x="777"/>
        <item x="986"/>
        <item x="616"/>
        <item x="672"/>
        <item x="961"/>
        <item x="135"/>
        <item x="824"/>
        <item x="610"/>
        <item x="70"/>
        <item x="644"/>
        <item x="60"/>
        <item x="74"/>
        <item x="504"/>
        <item x="855"/>
        <item x="809"/>
        <item x="431"/>
        <item x="117"/>
        <item x="527"/>
        <item x="446"/>
        <item x="915"/>
        <item x="684"/>
        <item x="741"/>
        <item x="797"/>
        <item x="420"/>
        <item x="427"/>
        <item x="710"/>
        <item x="410"/>
        <item x="474"/>
        <item x="832"/>
        <item x="151"/>
        <item x="519"/>
        <item x="696"/>
        <item x="380"/>
        <item x="640"/>
        <item x="572"/>
        <item x="564"/>
        <item x="237"/>
        <item x="761"/>
        <item x="96"/>
        <item x="32"/>
        <item x="806"/>
        <item x="904"/>
        <item x="625"/>
        <item x="312"/>
        <item x="883"/>
        <item x="771"/>
        <item x="422"/>
        <item x="400"/>
        <item x="188"/>
        <item x="423"/>
        <item x="144"/>
        <item x="592"/>
        <item x="335"/>
        <item x="663"/>
        <item x="963"/>
        <item x="202"/>
        <item x="744"/>
        <item t="default"/>
      </items>
    </pivotField>
    <pivotField dataField="1" compact="0" showAll="0">
      <items count="1000">
        <item x="872"/>
        <item x="605"/>
        <item x="99"/>
        <item x="719"/>
        <item x="482"/>
        <item x="646"/>
        <item x="556"/>
        <item x="478"/>
        <item x="867"/>
        <item x="201"/>
        <item x="127"/>
        <item x="227"/>
        <item x="868"/>
        <item x="606"/>
        <item x="628"/>
        <item x="13"/>
        <item x="971"/>
        <item x="936"/>
        <item x="927"/>
        <item x="816"/>
        <item x="8"/>
        <item x="879"/>
        <item x="265"/>
        <item x="112"/>
        <item x="213"/>
        <item x="933"/>
        <item x="162"/>
        <item x="339"/>
        <item x="45"/>
        <item x="464"/>
        <item x="496"/>
        <item x="989"/>
        <item x="782"/>
        <item x="218"/>
        <item x="483"/>
        <item x="751"/>
        <item x="947"/>
        <item x="623"/>
        <item x="641"/>
        <item x="439"/>
        <item x="441"/>
        <item x="549"/>
        <item x="296"/>
        <item x="241"/>
        <item x="210"/>
        <item x="911"/>
        <item x="367"/>
        <item x="547"/>
        <item x="778"/>
        <item x="986"/>
        <item x="589"/>
        <item x="195"/>
        <item x="935"/>
        <item x="193"/>
        <item x="715"/>
        <item x="899"/>
        <item x="1"/>
        <item x="413"/>
        <item x="961"/>
        <item x="242"/>
        <item x="535"/>
        <item x="578"/>
        <item x="780"/>
        <item x="594"/>
        <item x="746"/>
        <item x="699"/>
        <item x="10"/>
        <item x="190"/>
        <item x="101"/>
        <item x="828"/>
        <item x="450"/>
        <item x="63"/>
        <item x="838"/>
        <item x="46"/>
        <item x="954"/>
        <item x="977"/>
        <item x="881"/>
        <item x="260"/>
        <item x="652"/>
        <item x="301"/>
        <item x="619"/>
        <item x="256"/>
        <item x="128"/>
        <item x="871"/>
        <item x="738"/>
        <item x="387"/>
        <item x="533"/>
        <item x="409"/>
        <item x="38"/>
        <item x="252"/>
        <item x="900"/>
        <item x="232"/>
        <item x="305"/>
        <item x="687"/>
        <item x="98"/>
        <item x="336"/>
        <item x="722"/>
        <item x="878"/>
        <item x="795"/>
        <item x="747"/>
        <item x="503"/>
        <item x="21"/>
        <item x="980"/>
        <item x="532"/>
        <item x="77"/>
        <item x="642"/>
        <item x="34"/>
        <item x="714"/>
        <item x="546"/>
        <item x="185"/>
        <item x="357"/>
        <item x="196"/>
        <item x="539"/>
        <item x="495"/>
        <item x="742"/>
        <item x="150"/>
        <item x="31"/>
        <item x="28"/>
        <item x="457"/>
        <item x="849"/>
        <item x="664"/>
        <item x="416"/>
        <item x="703"/>
        <item x="618"/>
        <item x="215"/>
        <item x="955"/>
        <item x="467"/>
        <item x="841"/>
        <item x="620"/>
        <item x="54"/>
        <item x="329"/>
        <item x="813"/>
        <item x="83"/>
        <item x="540"/>
        <item x="764"/>
        <item x="648"/>
        <item x="526"/>
        <item x="724"/>
        <item x="133"/>
        <item x="134"/>
        <item x="270"/>
        <item x="901"/>
        <item x="863"/>
        <item x="245"/>
        <item x="894"/>
        <item x="192"/>
        <item x="109"/>
        <item x="337"/>
        <item x="384"/>
        <item x="108"/>
        <item x="191"/>
        <item x="19"/>
        <item x="537"/>
        <item x="615"/>
        <item x="718"/>
        <item x="763"/>
        <item x="889"/>
        <item x="576"/>
        <item x="97"/>
        <item x="147"/>
        <item x="340"/>
        <item x="366"/>
        <item x="352"/>
        <item x="745"/>
        <item x="665"/>
        <item x="807"/>
        <item x="22"/>
        <item x="333"/>
        <item x="762"/>
        <item x="783"/>
        <item x="634"/>
        <item x="17"/>
        <item x="268"/>
        <item x="528"/>
        <item x="432"/>
        <item x="471"/>
        <item x="90"/>
        <item x="308"/>
        <item x="683"/>
        <item x="739"/>
        <item x="461"/>
        <item x="844"/>
        <item x="876"/>
        <item x="870"/>
        <item x="661"/>
        <item x="696"/>
        <item x="967"/>
        <item x="974"/>
        <item x="976"/>
        <item x="160"/>
        <item x="284"/>
        <item x="904"/>
        <item x="730"/>
        <item x="55"/>
        <item x="943"/>
        <item x="920"/>
        <item x="297"/>
        <item x="701"/>
        <item x="774"/>
        <item x="438"/>
        <item x="155"/>
        <item x="633"/>
        <item x="131"/>
        <item x="517"/>
        <item x="317"/>
        <item x="638"/>
        <item x="462"/>
        <item x="909"/>
        <item x="64"/>
        <item x="905"/>
        <item x="429"/>
        <item x="440"/>
        <item x="509"/>
        <item x="630"/>
        <item x="866"/>
        <item x="969"/>
        <item x="645"/>
        <item x="514"/>
        <item x="505"/>
        <item x="521"/>
        <item x="428"/>
        <item x="794"/>
        <item x="601"/>
        <item x="970"/>
        <item x="111"/>
        <item x="690"/>
        <item x="748"/>
        <item x="659"/>
        <item x="865"/>
        <item x="246"/>
        <item x="426"/>
        <item x="208"/>
        <item x="119"/>
        <item x="928"/>
        <item x="267"/>
        <item x="481"/>
        <item x="852"/>
        <item x="853"/>
        <item x="506"/>
        <item x="993"/>
        <item x="222"/>
        <item x="363"/>
        <item x="682"/>
        <item x="225"/>
        <item x="73"/>
        <item x="169"/>
        <item x="895"/>
        <item x="309"/>
        <item x="445"/>
        <item x="184"/>
        <item x="611"/>
        <item x="536"/>
        <item x="140"/>
        <item x="771"/>
        <item x="226"/>
        <item x="711"/>
        <item x="990"/>
        <item x="166"/>
        <item x="244"/>
        <item x="334"/>
        <item x="299"/>
        <item x="292"/>
        <item x="850"/>
        <item x="360"/>
        <item x="397"/>
        <item x="289"/>
        <item x="272"/>
        <item x="938"/>
        <item x="7"/>
        <item x="560"/>
        <item x="529"/>
        <item x="323"/>
        <item x="136"/>
        <item x="130"/>
        <item x="248"/>
        <item x="50"/>
        <item x="797"/>
        <item x="822"/>
        <item x="328"/>
        <item x="552"/>
        <item x="942"/>
        <item x="182"/>
        <item x="103"/>
        <item x="499"/>
        <item x="314"/>
        <item x="951"/>
        <item x="65"/>
        <item x="234"/>
        <item x="341"/>
        <item x="786"/>
        <item x="175"/>
        <item x="75"/>
        <item x="331"/>
        <item x="934"/>
        <item x="675"/>
        <item x="84"/>
        <item x="143"/>
        <item x="893"/>
        <item x="209"/>
        <item x="254"/>
        <item x="596"/>
        <item x="455"/>
        <item x="102"/>
        <item x="359"/>
        <item x="354"/>
        <item x="964"/>
        <item x="304"/>
        <item x="355"/>
        <item x="179"/>
        <item x="318"/>
        <item x="671"/>
        <item x="668"/>
        <item x="25"/>
        <item x="621"/>
        <item x="475"/>
        <item x="773"/>
        <item x="392"/>
        <item x="72"/>
        <item x="945"/>
        <item x="9"/>
        <item x="784"/>
        <item x="377"/>
        <item x="912"/>
        <item x="570"/>
        <item x="390"/>
        <item x="240"/>
        <item x="573"/>
        <item x="694"/>
        <item x="173"/>
        <item x="832"/>
        <item x="593"/>
        <item x="581"/>
        <item x="788"/>
        <item x="153"/>
        <item x="998"/>
        <item x="944"/>
        <item x="86"/>
        <item x="288"/>
        <item x="921"/>
        <item x="941"/>
        <item x="394"/>
        <item x="657"/>
        <item x="389"/>
        <item x="164"/>
        <item x="62"/>
        <item x="792"/>
        <item x="258"/>
        <item x="734"/>
        <item x="598"/>
        <item x="35"/>
        <item x="958"/>
        <item x="343"/>
        <item x="731"/>
        <item x="814"/>
        <item x="835"/>
        <item x="161"/>
        <item x="732"/>
        <item x="484"/>
        <item x="219"/>
        <item x="686"/>
        <item x="812"/>
        <item x="720"/>
        <item x="203"/>
        <item x="139"/>
        <item x="768"/>
        <item x="717"/>
        <item x="688"/>
        <item x="765"/>
        <item x="781"/>
        <item x="233"/>
        <item x="752"/>
        <item x="603"/>
        <item x="987"/>
        <item x="984"/>
        <item x="949"/>
        <item x="477"/>
        <item x="421"/>
        <item x="727"/>
        <item x="221"/>
        <item x="116"/>
        <item x="330"/>
        <item x="376"/>
        <item x="220"/>
        <item x="571"/>
        <item x="857"/>
        <item x="187"/>
        <item x="24"/>
        <item x="656"/>
        <item x="543"/>
        <item x="713"/>
        <item x="489"/>
        <item x="320"/>
        <item x="51"/>
        <item x="758"/>
        <item x="834"/>
        <item x="627"/>
        <item x="698"/>
        <item x="369"/>
        <item x="810"/>
        <item x="125"/>
        <item x="52"/>
        <item x="737"/>
        <item x="923"/>
        <item x="952"/>
        <item x="124"/>
        <item x="451"/>
        <item x="847"/>
        <item x="550"/>
        <item x="890"/>
        <item x="68"/>
        <item x="158"/>
        <item x="391"/>
        <item x="804"/>
        <item x="371"/>
        <item x="761"/>
        <item x="430"/>
        <item x="888"/>
        <item x="988"/>
        <item x="643"/>
        <item x="206"/>
        <item x="282"/>
        <item x="793"/>
        <item x="167"/>
        <item x="494"/>
        <item x="798"/>
        <item x="372"/>
        <item x="487"/>
        <item x="463"/>
        <item x="216"/>
        <item x="932"/>
        <item x="590"/>
        <item x="968"/>
        <item x="702"/>
        <item x="965"/>
        <item x="685"/>
        <item x="975"/>
        <item x="283"/>
        <item x="403"/>
        <item x="994"/>
        <item x="476"/>
        <item x="145"/>
        <item x="691"/>
        <item x="261"/>
        <item x="168"/>
        <item x="274"/>
        <item x="515"/>
        <item x="678"/>
        <item x="230"/>
        <item x="950"/>
        <item x="759"/>
        <item x="614"/>
        <item x="704"/>
        <item x="693"/>
        <item x="262"/>
        <item x="995"/>
        <item x="803"/>
        <item x="107"/>
        <item x="491"/>
        <item x="926"/>
        <item x="886"/>
        <item x="156"/>
        <item x="105"/>
        <item x="946"/>
        <item x="729"/>
        <item x="247"/>
        <item x="859"/>
        <item x="66"/>
        <item x="775"/>
        <item x="929"/>
        <item x="0"/>
        <item x="906"/>
        <item x="636"/>
        <item x="930"/>
        <item x="279"/>
        <item x="194"/>
        <item x="541"/>
        <item x="154"/>
        <item x="607"/>
        <item x="126"/>
        <item x="925"/>
        <item x="408"/>
        <item x="257"/>
        <item x="306"/>
        <item x="559"/>
        <item x="39"/>
        <item x="425"/>
        <item x="16"/>
        <item x="566"/>
        <item x="302"/>
        <item x="37"/>
        <item x="565"/>
        <item x="538"/>
        <item x="49"/>
        <item x="670"/>
        <item x="365"/>
        <item x="5"/>
        <item x="884"/>
        <item x="456"/>
        <item x="121"/>
        <item x="228"/>
        <item x="264"/>
        <item x="30"/>
        <item x="42"/>
        <item x="48"/>
        <item x="217"/>
        <item x="159"/>
        <item x="183"/>
        <item x="626"/>
        <item x="583"/>
        <item x="417"/>
        <item x="524"/>
        <item x="132"/>
        <item x="115"/>
        <item x="435"/>
        <item x="673"/>
        <item x="251"/>
        <item x="910"/>
        <item x="106"/>
        <item x="176"/>
        <item x="902"/>
        <item x="448"/>
        <item x="725"/>
        <item x="40"/>
        <item x="789"/>
        <item x="300"/>
        <item x="307"/>
        <item x="948"/>
        <item x="235"/>
        <item x="907"/>
        <item x="80"/>
        <item x="114"/>
        <item x="290"/>
        <item x="20"/>
        <item x="170"/>
        <item x="790"/>
        <item x="325"/>
        <item x="799"/>
        <item x="843"/>
        <item x="767"/>
        <item x="361"/>
        <item x="885"/>
        <item x="772"/>
        <item x="113"/>
        <item x="36"/>
        <item x="666"/>
        <item x="502"/>
        <item x="388"/>
        <item x="454"/>
        <item x="887"/>
        <item x="819"/>
        <item x="200"/>
        <item x="653"/>
        <item x="836"/>
        <item x="612"/>
        <item x="2"/>
        <item x="577"/>
        <item x="293"/>
        <item x="500"/>
        <item x="61"/>
        <item x="93"/>
        <item x="963"/>
        <item x="669"/>
        <item x="520"/>
        <item x="311"/>
        <item x="750"/>
        <item x="706"/>
        <item x="680"/>
        <item x="82"/>
        <item x="165"/>
        <item x="983"/>
        <item x="567"/>
        <item x="379"/>
        <item x="418"/>
        <item x="362"/>
        <item x="608"/>
        <item x="991"/>
        <item x="315"/>
        <item x="992"/>
        <item x="189"/>
        <item x="818"/>
        <item x="931"/>
        <item x="769"/>
        <item x="146"/>
        <item x="956"/>
        <item x="629"/>
        <item x="229"/>
        <item x="862"/>
        <item x="692"/>
        <item x="41"/>
        <item x="253"/>
        <item x="469"/>
        <item x="586"/>
        <item x="172"/>
        <item x="95"/>
        <item x="152"/>
        <item x="33"/>
        <item x="531"/>
        <item x="67"/>
        <item x="846"/>
        <item x="726"/>
        <item x="4"/>
        <item x="281"/>
        <item x="877"/>
        <item x="580"/>
        <item x="178"/>
        <item x="996"/>
        <item x="953"/>
        <item x="177"/>
        <item x="460"/>
        <item x="56"/>
        <item x="595"/>
        <item x="851"/>
        <item x="755"/>
        <item x="766"/>
        <item x="231"/>
        <item x="707"/>
        <item x="324"/>
        <item x="908"/>
        <item x="919"/>
        <item x="57"/>
        <item x="754"/>
        <item x="414"/>
        <item x="741"/>
        <item x="436"/>
        <item x="624"/>
        <item x="338"/>
        <item x="212"/>
        <item x="199"/>
        <item x="326"/>
        <item x="443"/>
        <item x="712"/>
        <item x="811"/>
        <item x="558"/>
        <item x="574"/>
        <item x="278"/>
        <item x="791"/>
        <item x="875"/>
        <item x="224"/>
        <item x="412"/>
        <item x="141"/>
        <item x="310"/>
        <item x="415"/>
        <item x="100"/>
        <item x="53"/>
        <item x="58"/>
        <item x="516"/>
        <item x="512"/>
        <item x="171"/>
        <item x="393"/>
        <item x="979"/>
        <item x="922"/>
        <item x="211"/>
        <item x="148"/>
        <item x="89"/>
        <item x="198"/>
        <item x="662"/>
        <item x="735"/>
        <item x="110"/>
        <item x="655"/>
        <item x="493"/>
        <item x="806"/>
        <item x="243"/>
        <item x="249"/>
        <item x="584"/>
        <item x="79"/>
        <item x="348"/>
        <item x="294"/>
        <item x="916"/>
        <item x="424"/>
        <item x="779"/>
        <item x="381"/>
        <item x="447"/>
        <item x="562"/>
        <item x="466"/>
        <item x="11"/>
        <item x="76"/>
        <item x="660"/>
        <item x="14"/>
        <item x="271"/>
        <item x="667"/>
        <item x="787"/>
        <item x="458"/>
        <item x="501"/>
        <item x="332"/>
        <item x="129"/>
        <item x="12"/>
        <item x="15"/>
        <item x="591"/>
        <item x="104"/>
        <item x="26"/>
        <item x="809"/>
        <item x="434"/>
        <item x="880"/>
        <item x="123"/>
        <item x="957"/>
        <item x="449"/>
        <item x="470"/>
        <item x="551"/>
        <item x="700"/>
        <item x="613"/>
        <item x="802"/>
        <item x="353"/>
        <item x="396"/>
        <item x="821"/>
        <item x="563"/>
        <item x="705"/>
        <item x="568"/>
        <item x="204"/>
        <item x="649"/>
        <item x="385"/>
        <item x="407"/>
        <item x="749"/>
        <item x="358"/>
        <item x="401"/>
        <item x="883"/>
        <item x="327"/>
        <item x="842"/>
        <item x="579"/>
        <item x="344"/>
        <item x="321"/>
        <item x="937"/>
        <item x="459"/>
        <item x="733"/>
        <item x="609"/>
        <item x="375"/>
        <item x="239"/>
        <item x="480"/>
        <item x="472"/>
        <item x="452"/>
        <item x="492"/>
        <item x="681"/>
        <item x="679"/>
        <item x="453"/>
        <item x="820"/>
        <item x="785"/>
        <item x="864"/>
        <item x="356"/>
        <item x="940"/>
        <item x="386"/>
        <item x="286"/>
        <item x="43"/>
        <item x="263"/>
        <item x="561"/>
        <item x="259"/>
        <item x="753"/>
        <item x="817"/>
        <item x="223"/>
        <item x="827"/>
        <item x="897"/>
        <item x="273"/>
        <item x="800"/>
        <item x="554"/>
        <item x="542"/>
        <item x="370"/>
        <item x="826"/>
        <item x="349"/>
        <item x="723"/>
        <item x="437"/>
        <item x="637"/>
        <item x="180"/>
        <item x="350"/>
        <item x="275"/>
        <item x="721"/>
        <item x="78"/>
        <item x="736"/>
        <item x="373"/>
        <item x="398"/>
        <item x="406"/>
        <item x="402"/>
        <item x="939"/>
        <item x="544"/>
        <item x="207"/>
        <item x="917"/>
        <item x="18"/>
        <item x="825"/>
        <item x="319"/>
        <item x="689"/>
        <item x="510"/>
        <item x="181"/>
        <item x="815"/>
        <item x="163"/>
        <item x="399"/>
        <item x="833"/>
        <item x="444"/>
        <item x="122"/>
        <item x="874"/>
        <item x="85"/>
        <item x="71"/>
        <item x="47"/>
        <item x="677"/>
        <item x="597"/>
        <item x="708"/>
        <item x="602"/>
        <item x="839"/>
        <item x="582"/>
        <item x="197"/>
        <item x="651"/>
        <item x="236"/>
        <item x="658"/>
        <item x="382"/>
        <item x="972"/>
        <item x="395"/>
        <item x="654"/>
        <item x="346"/>
        <item x="744"/>
        <item x="303"/>
        <item x="918"/>
        <item x="488"/>
        <item x="345"/>
        <item x="966"/>
        <item x="118"/>
        <item x="91"/>
        <item x="600"/>
        <item x="545"/>
        <item x="829"/>
        <item x="631"/>
        <item x="383"/>
        <item x="588"/>
        <item x="973"/>
        <item x="913"/>
        <item x="823"/>
        <item x="622"/>
        <item x="891"/>
        <item x="830"/>
        <item x="892"/>
        <item x="553"/>
        <item x="342"/>
        <item x="756"/>
        <item x="473"/>
        <item x="174"/>
        <item x="801"/>
        <item x="530"/>
        <item x="513"/>
        <item x="848"/>
        <item x="845"/>
        <item x="322"/>
        <item x="287"/>
        <item x="978"/>
        <item x="88"/>
        <item x="23"/>
        <item x="44"/>
        <item x="854"/>
        <item x="855"/>
        <item x="419"/>
        <item x="557"/>
        <item x="347"/>
        <item x="511"/>
        <item x="295"/>
        <item x="6"/>
        <item x="647"/>
        <item x="431"/>
        <item x="860"/>
        <item x="433"/>
        <item x="959"/>
        <item x="92"/>
        <item x="674"/>
        <item x="186"/>
        <item x="522"/>
        <item x="858"/>
        <item x="479"/>
        <item x="81"/>
        <item x="368"/>
        <item x="697"/>
        <item x="837"/>
        <item x="710"/>
        <item x="269"/>
        <item x="29"/>
        <item x="94"/>
        <item x="250"/>
        <item x="575"/>
        <item x="861"/>
        <item x="214"/>
        <item x="276"/>
        <item x="291"/>
        <item x="3"/>
        <item x="640"/>
        <item x="548"/>
        <item x="351"/>
        <item x="757"/>
        <item x="446"/>
        <item x="137"/>
        <item x="117"/>
        <item x="632"/>
        <item x="266"/>
        <item x="639"/>
        <item x="490"/>
        <item x="507"/>
        <item x="728"/>
        <item x="856"/>
        <item x="497"/>
        <item x="676"/>
        <item x="617"/>
        <item x="70"/>
        <item x="59"/>
        <item x="205"/>
        <item x="316"/>
        <item x="650"/>
        <item x="585"/>
        <item x="873"/>
        <item x="238"/>
        <item x="527"/>
        <item x="716"/>
        <item x="157"/>
        <item x="474"/>
        <item x="982"/>
        <item x="997"/>
        <item x="411"/>
        <item x="840"/>
        <item x="599"/>
        <item x="555"/>
        <item x="138"/>
        <item x="364"/>
        <item x="740"/>
        <item x="277"/>
        <item x="564"/>
        <item x="604"/>
        <item x="96"/>
        <item x="587"/>
        <item x="255"/>
        <item x="985"/>
        <item x="777"/>
        <item x="120"/>
        <item x="142"/>
        <item x="188"/>
        <item x="882"/>
        <item x="796"/>
        <item x="313"/>
        <item x="87"/>
        <item x="869"/>
        <item x="69"/>
        <item x="468"/>
        <item x="616"/>
        <item x="644"/>
        <item x="592"/>
        <item x="915"/>
        <item x="896"/>
        <item x="335"/>
        <item x="312"/>
        <item x="485"/>
        <item x="508"/>
        <item x="625"/>
        <item x="405"/>
        <item x="610"/>
        <item x="663"/>
        <item x="298"/>
        <item x="410"/>
        <item x="534"/>
        <item x="519"/>
        <item x="427"/>
        <item x="486"/>
        <item x="523"/>
        <item x="285"/>
        <item x="924"/>
        <item x="903"/>
        <item x="569"/>
        <item x="981"/>
        <item x="149"/>
        <item x="378"/>
        <item x="635"/>
        <item x="60"/>
        <item x="684"/>
        <item x="824"/>
        <item x="280"/>
        <item x="695"/>
        <item x="374"/>
        <item x="709"/>
        <item x="465"/>
        <item x="400"/>
        <item x="776"/>
        <item x="404"/>
        <item x="518"/>
        <item x="498"/>
        <item x="525"/>
        <item x="442"/>
        <item x="27"/>
        <item x="144"/>
        <item x="898"/>
        <item x="237"/>
        <item x="151"/>
        <item x="504"/>
        <item x="202"/>
        <item x="831"/>
        <item x="760"/>
        <item x="135"/>
        <item x="672"/>
        <item x="422"/>
        <item x="808"/>
        <item x="74"/>
        <item x="960"/>
        <item x="770"/>
        <item x="914"/>
        <item x="420"/>
        <item x="572"/>
        <item x="32"/>
        <item x="380"/>
        <item x="805"/>
        <item x="743"/>
        <item x="423"/>
        <item x="962"/>
        <item t="default"/>
      </items>
    </pivotField>
    <pivotField compact="0" showAll="0">
      <items count="6">
        <item x="4"/>
        <item x="1"/>
        <item x="2"/>
        <item x="0"/>
        <item x="3"/>
        <item t="default"/>
      </items>
    </pivotField>
  </pivotFields>
  <dataFields count="1">
    <dataField name="Sum of Profit" fld="16" baseField="0" baseItem="0"/>
  </dataFields>
  <formats count="9">
    <format dxfId="70">
      <pivotArea collapsedLevelsAreSubtotals="1" fieldPosition="0"/>
    </format>
    <format dxfId="71">
      <pivotArea collapsedLevelsAreSubtotals="1" fieldPosition="0"/>
    </format>
    <format dxfId="72">
      <pivotArea collapsedLevelsAreSubtotals="1" fieldPosition="0"/>
    </format>
    <format dxfId="73">
      <pivotArea collapsedLevelsAreSubtotals="1" fieldPosition="0"/>
    </format>
    <format dxfId="74">
      <pivotArea collapsedLevelsAreSubtotals="1" fieldPosition="0"/>
    </format>
    <format dxfId="75">
      <pivotArea collapsedLevelsAreSubtotals="1" fieldPosition="0"/>
    </format>
    <format dxfId="76">
      <pivotArea collapsedLevelsAreSubtotals="1" fieldPosition="0"/>
    </format>
    <format dxfId="77">
      <pivotArea collapsedLevelsAreSubtotals="1" fieldPosition="0"/>
    </format>
    <format dxfId="78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28:L41" firstHeaderRow="0" firstDataRow="1" firstDataCol="1"/>
  <pivotFields count="18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3" showAll="0">
      <items count="870">
        <item x="431"/>
        <item x="128"/>
        <item x="102"/>
        <item x="758"/>
        <item x="298"/>
        <item x="178"/>
        <item x="248"/>
        <item x="120"/>
        <item x="532"/>
        <item x="389"/>
        <item x="133"/>
        <item x="759"/>
        <item x="498"/>
        <item x="22"/>
        <item x="11"/>
        <item x="78"/>
        <item x="229"/>
        <item x="113"/>
        <item x="203"/>
        <item x="787"/>
        <item x="171"/>
        <item x="490"/>
        <item x="149"/>
        <item x="411"/>
        <item x="292"/>
        <item x="52"/>
        <item x="493"/>
        <item x="40"/>
        <item x="377"/>
        <item x="129"/>
        <item x="111"/>
        <item x="676"/>
        <item x="514"/>
        <item x="198"/>
        <item x="18"/>
        <item x="317"/>
        <item x="213"/>
        <item x="295"/>
        <item x="123"/>
        <item x="326"/>
        <item x="228"/>
        <item x="647"/>
        <item x="32"/>
        <item x="155"/>
        <item x="465"/>
        <item x="793"/>
        <item x="96"/>
        <item x="115"/>
        <item x="189"/>
        <item x="92"/>
        <item x="159"/>
        <item x="201"/>
        <item x="316"/>
        <item x="671"/>
        <item x="403"/>
        <item x="3"/>
        <item x="36"/>
        <item x="210"/>
        <item x="199"/>
        <item x="303"/>
        <item x="334"/>
        <item x="366"/>
        <item x="307"/>
        <item x="858"/>
        <item x="91"/>
        <item x="8"/>
        <item x="151"/>
        <item x="172"/>
        <item x="654"/>
        <item x="413"/>
        <item x="275"/>
        <item x="790"/>
        <item x="72"/>
        <item x="325"/>
        <item x="25"/>
        <item x="373"/>
        <item x="318"/>
        <item x="563"/>
        <item x="528"/>
        <item x="183"/>
        <item x="16"/>
        <item x="2"/>
        <item x="245"/>
        <item x="437"/>
        <item x="855"/>
        <item x="330"/>
        <item x="117"/>
        <item x="322"/>
        <item x="150"/>
        <item x="33"/>
        <item x="466"/>
        <item x="408"/>
        <item x="184"/>
        <item x="462"/>
        <item x="116"/>
        <item x="697"/>
        <item x="97"/>
        <item x="242"/>
        <item x="101"/>
        <item x="162"/>
        <item x="744"/>
        <item x="476"/>
        <item x="714"/>
        <item x="350"/>
        <item x="685"/>
        <item x="779"/>
        <item x="695"/>
        <item x="147"/>
        <item x="580"/>
        <item x="181"/>
        <item x="506"/>
        <item x="371"/>
        <item x="507"/>
        <item x="630"/>
        <item x="585"/>
        <item x="782"/>
        <item x="615"/>
        <item x="118"/>
        <item x="223"/>
        <item x="219"/>
        <item x="673"/>
        <item x="249"/>
        <item x="285"/>
        <item x="587"/>
        <item x="640"/>
        <item x="732"/>
        <item x="35"/>
        <item x="746"/>
        <item x="432"/>
        <item x="751"/>
        <item x="46"/>
        <item x="677"/>
        <item x="634"/>
        <item x="251"/>
        <item x="82"/>
        <item x="420"/>
        <item x="645"/>
        <item x="351"/>
        <item x="762"/>
        <item x="365"/>
        <item x="819"/>
        <item x="383"/>
        <item x="768"/>
        <item x="206"/>
        <item x="187"/>
        <item x="843"/>
        <item x="729"/>
        <item x="612"/>
        <item x="141"/>
        <item x="329"/>
        <item x="278"/>
        <item x="372"/>
        <item x="577"/>
        <item x="835"/>
        <item x="837"/>
        <item x="440"/>
        <item x="644"/>
        <item x="725"/>
        <item x="14"/>
        <item x="641"/>
        <item x="196"/>
        <item x="854"/>
        <item x="88"/>
        <item x="716"/>
        <item x="795"/>
        <item x="422"/>
        <item x="863"/>
        <item x="624"/>
        <item x="546"/>
        <item x="508"/>
        <item x="439"/>
        <item x="28"/>
        <item x="540"/>
        <item x="211"/>
        <item x="379"/>
        <item x="337"/>
        <item x="629"/>
        <item x="124"/>
        <item x="143"/>
        <item x="346"/>
        <item x="754"/>
        <item x="619"/>
        <item x="0"/>
        <item x="548"/>
        <item x="418"/>
        <item x="549"/>
        <item x="561"/>
        <item x="327"/>
        <item x="831"/>
        <item x="481"/>
        <item x="255"/>
        <item x="688"/>
        <item x="495"/>
        <item x="662"/>
        <item x="77"/>
        <item x="611"/>
        <item x="867"/>
        <item x="672"/>
        <item x="721"/>
        <item x="417"/>
        <item x="785"/>
        <item x="459"/>
        <item x="776"/>
        <item x="554"/>
        <item x="565"/>
        <item x="710"/>
        <item x="598"/>
        <item x="599"/>
        <item x="90"/>
        <item x="168"/>
        <item x="12"/>
        <item x="610"/>
        <item x="266"/>
        <item x="825"/>
        <item x="438"/>
        <item x="30"/>
        <item x="135"/>
        <item x="538"/>
        <item x="53"/>
        <item x="177"/>
        <item x="455"/>
        <item x="807"/>
        <item x="108"/>
        <item x="708"/>
        <item x="21"/>
        <item x="17"/>
        <item x="648"/>
        <item x="166"/>
        <item x="423"/>
        <item x="433"/>
        <item x="748"/>
        <item x="829"/>
        <item x="694"/>
        <item x="637"/>
        <item x="797"/>
        <item x="43"/>
        <item x="387"/>
        <item x="268"/>
        <item x="67"/>
        <item x="722"/>
        <item x="852"/>
        <item x="158"/>
        <item x="75"/>
        <item x="70"/>
        <item x="288"/>
        <item x="833"/>
        <item x="367"/>
        <item x="778"/>
        <item x="252"/>
        <item x="175"/>
        <item x="304"/>
        <item x="830"/>
        <item x="450"/>
        <item x="164"/>
        <item x="764"/>
        <item x="643"/>
        <item x="348"/>
        <item x="209"/>
        <item x="511"/>
        <item x="10"/>
        <item x="222"/>
        <item x="161"/>
        <item x="29"/>
        <item x="121"/>
        <item x="646"/>
        <item x="683"/>
        <item x="355"/>
        <item x="398"/>
        <item x="515"/>
        <item x="234"/>
        <item x="657"/>
        <item x="125"/>
        <item x="584"/>
        <item x="208"/>
        <item x="76"/>
        <item x="180"/>
        <item x="626"/>
        <item x="818"/>
        <item x="357"/>
        <item x="588"/>
        <item x="287"/>
        <item x="280"/>
        <item x="775"/>
        <item x="57"/>
        <item x="799"/>
        <item x="19"/>
        <item x="232"/>
        <item x="405"/>
        <item x="614"/>
        <item x="238"/>
        <item x="575"/>
        <item x="533"/>
        <item x="669"/>
        <item x="381"/>
        <item x="659"/>
        <item x="194"/>
        <item x="146"/>
        <item x="551"/>
        <item x="448"/>
        <item x="499"/>
        <item x="47"/>
        <item x="321"/>
        <item x="333"/>
        <item x="6"/>
        <item x="844"/>
        <item x="691"/>
        <item x="131"/>
        <item x="680"/>
        <item x="13"/>
        <item x="34"/>
        <item x="636"/>
        <item x="777"/>
        <item x="576"/>
        <item x="254"/>
        <item x="246"/>
        <item x="85"/>
        <item x="513"/>
        <item x="586"/>
        <item x="553"/>
        <item x="37"/>
        <item x="505"/>
        <item x="497"/>
        <item x="834"/>
        <item x="501"/>
        <item x="569"/>
        <item x="745"/>
        <item x="87"/>
        <item x="772"/>
        <item x="632"/>
        <item x="419"/>
        <item x="312"/>
        <item x="484"/>
        <item x="126"/>
        <item x="743"/>
        <item x="370"/>
        <item x="517"/>
        <item x="801"/>
        <item x="482"/>
        <item x="542"/>
        <item x="487"/>
        <item x="723"/>
        <item x="386"/>
        <item x="601"/>
        <item x="290"/>
        <item x="468"/>
        <item x="675"/>
        <item x="539"/>
        <item x="477"/>
        <item x="226"/>
        <item x="393"/>
        <item x="402"/>
        <item x="93"/>
        <item x="215"/>
        <item x="84"/>
        <item x="606"/>
        <item x="400"/>
        <item x="519"/>
        <item x="100"/>
        <item x="110"/>
        <item x="339"/>
        <item x="518"/>
        <item x="720"/>
        <item x="139"/>
        <item x="731"/>
        <item x="821"/>
        <item x="564"/>
        <item x="73"/>
        <item x="656"/>
        <item x="794"/>
        <item x="699"/>
        <item x="390"/>
        <item x="441"/>
        <item x="323"/>
        <item x="530"/>
        <item x="735"/>
        <item x="170"/>
        <item x="191"/>
        <item x="520"/>
        <item x="182"/>
        <item x="628"/>
        <item x="653"/>
        <item x="642"/>
        <item x="567"/>
        <item x="352"/>
        <item x="336"/>
        <item x="240"/>
        <item x="24"/>
        <item x="806"/>
        <item x="638"/>
        <item x="142"/>
        <item x="279"/>
        <item x="581"/>
        <item x="471"/>
        <item x="480"/>
        <item x="592"/>
        <item x="665"/>
        <item x="267"/>
        <item x="424"/>
        <item x="485"/>
        <item x="276"/>
        <item x="106"/>
        <item x="864"/>
        <item x="190"/>
        <item x="374"/>
        <item x="380"/>
        <item x="483"/>
        <item x="500"/>
        <item x="174"/>
        <item x="214"/>
        <item x="48"/>
        <item x="767"/>
        <item x="283"/>
        <item x="847"/>
        <item x="62"/>
        <item x="186"/>
        <item x="590"/>
        <item x="579"/>
        <item x="15"/>
        <item x="800"/>
        <item x="828"/>
        <item x="512"/>
        <item x="273"/>
        <item x="138"/>
        <item x="412"/>
        <item x="4"/>
        <item x="9"/>
        <item x="311"/>
        <item x="709"/>
        <item x="313"/>
        <item x="409"/>
        <item x="817"/>
        <item x="813"/>
        <item x="293"/>
        <item x="832"/>
        <item x="185"/>
        <item x="805"/>
        <item x="496"/>
        <item x="522"/>
        <item x="216"/>
        <item x="625"/>
        <item x="458"/>
        <item x="589"/>
        <item x="724"/>
        <item x="693"/>
        <item x="456"/>
        <item x="144"/>
        <item x="179"/>
        <item x="537"/>
        <item x="664"/>
        <item x="344"/>
        <item x="299"/>
        <item x="633"/>
        <item x="618"/>
        <item x="726"/>
        <item x="815"/>
        <item x="700"/>
        <item x="83"/>
        <item x="504"/>
        <item x="526"/>
        <item x="489"/>
        <item x="401"/>
        <item x="814"/>
        <item x="247"/>
        <item x="475"/>
        <item x="531"/>
        <item x="192"/>
        <item x="23"/>
        <item x="354"/>
        <item x="122"/>
        <item x="868"/>
        <item x="711"/>
        <item x="324"/>
        <item x="204"/>
        <item x="434"/>
        <item x="769"/>
        <item x="114"/>
        <item x="556"/>
        <item x="256"/>
        <item x="534"/>
        <item x="109"/>
        <item x="494"/>
        <item x="89"/>
        <item x="152"/>
        <item x="200"/>
        <item x="773"/>
        <item x="536"/>
        <item x="679"/>
        <item x="784"/>
        <item x="509"/>
        <item x="826"/>
        <item x="809"/>
        <item x="382"/>
        <item x="470"/>
        <item x="733"/>
        <item x="524"/>
        <item x="39"/>
        <item x="63"/>
        <item x="358"/>
        <item x="555"/>
        <item x="543"/>
        <item x="300"/>
        <item x="682"/>
        <item x="306"/>
        <item x="224"/>
        <item x="41"/>
        <item x="119"/>
        <item x="765"/>
        <item x="562"/>
        <item x="392"/>
        <item x="491"/>
        <item x="217"/>
        <item x="160"/>
        <item x="447"/>
        <item x="104"/>
        <item x="578"/>
        <item x="791"/>
        <item x="261"/>
        <item x="836"/>
        <item x="559"/>
        <item x="220"/>
        <item x="824"/>
        <item x="600"/>
        <item x="853"/>
        <item x="235"/>
        <item x="296"/>
        <item x="44"/>
        <item x="552"/>
        <item x="545"/>
        <item x="388"/>
        <item x="289"/>
        <item x="747"/>
        <item x="218"/>
        <item x="701"/>
        <item x="469"/>
        <item x="169"/>
        <item x="360"/>
        <item x="391"/>
        <item x="655"/>
        <item x="271"/>
        <item x="525"/>
        <item x="698"/>
        <item x="331"/>
        <item x="212"/>
        <item x="81"/>
        <item x="103"/>
        <item x="607"/>
        <item x="188"/>
        <item x="264"/>
        <item x="453"/>
        <item x="742"/>
        <item x="845"/>
        <item x="163"/>
        <item x="811"/>
        <item x="153"/>
        <item x="736"/>
        <item x="463"/>
        <item x="846"/>
        <item x="681"/>
        <item x="535"/>
        <item x="60"/>
        <item x="593"/>
        <item x="740"/>
        <item x="460"/>
        <item x="294"/>
        <item x="1"/>
        <item x="314"/>
        <item x="541"/>
        <item x="202"/>
        <item x="730"/>
        <item x="738"/>
        <item x="788"/>
        <item x="753"/>
        <item x="544"/>
        <item x="668"/>
        <item x="839"/>
        <item x="127"/>
        <item x="167"/>
        <item x="426"/>
        <item x="353"/>
        <item x="157"/>
        <item x="173"/>
        <item x="770"/>
        <item x="98"/>
        <item x="244"/>
        <item x="309"/>
        <item x="713"/>
        <item x="205"/>
        <item x="394"/>
        <item x="284"/>
        <item x="443"/>
        <item x="594"/>
        <item x="452"/>
        <item x="233"/>
        <item x="145"/>
        <item x="503"/>
        <item x="112"/>
        <item x="349"/>
        <item x="623"/>
        <item x="5"/>
        <item x="436"/>
        <item x="449"/>
        <item x="31"/>
        <item x="429"/>
        <item x="56"/>
        <item x="263"/>
        <item x="332"/>
        <item x="250"/>
        <item x="658"/>
        <item x="478"/>
        <item x="781"/>
        <item x="780"/>
        <item x="558"/>
        <item x="225"/>
        <item x="734"/>
        <item x="58"/>
        <item x="257"/>
        <item x="397"/>
        <item x="651"/>
        <item x="446"/>
        <item x="739"/>
        <item x="38"/>
        <item x="570"/>
        <item x="674"/>
        <item x="678"/>
        <item x="363"/>
        <item x="64"/>
        <item x="50"/>
        <item x="650"/>
        <item x="259"/>
        <item x="94"/>
        <item x="42"/>
        <item x="842"/>
        <item x="136"/>
        <item x="416"/>
        <item x="340"/>
        <item x="652"/>
        <item x="362"/>
        <item x="230"/>
        <item x="796"/>
        <item x="827"/>
        <item x="445"/>
        <item x="71"/>
        <item x="573"/>
        <item x="237"/>
        <item x="274"/>
        <item x="341"/>
        <item x="849"/>
        <item x="319"/>
        <item x="840"/>
        <item x="755"/>
        <item x="7"/>
        <item x="74"/>
        <item x="241"/>
        <item x="597"/>
        <item x="571"/>
        <item x="741"/>
        <item x="80"/>
        <item x="361"/>
        <item x="239"/>
        <item x="763"/>
        <item x="572"/>
        <item x="454"/>
        <item x="260"/>
        <item x="812"/>
        <item x="860"/>
        <item x="771"/>
        <item x="621"/>
        <item x="243"/>
        <item x="425"/>
        <item x="302"/>
        <item x="862"/>
        <item x="841"/>
        <item x="369"/>
        <item x="404"/>
        <item x="473"/>
        <item x="692"/>
        <item x="620"/>
        <item x="635"/>
        <item x="427"/>
        <item x="670"/>
        <item x="291"/>
        <item x="356"/>
        <item x="727"/>
        <item x="156"/>
        <item x="728"/>
        <item x="59"/>
        <item x="660"/>
        <item x="502"/>
        <item x="608"/>
        <item x="715"/>
        <item x="154"/>
        <item x="851"/>
        <item x="686"/>
        <item x="547"/>
        <item x="750"/>
        <item x="810"/>
        <item x="866"/>
        <item x="227"/>
        <item x="415"/>
        <item x="368"/>
        <item x="474"/>
        <item x="435"/>
        <item x="613"/>
        <item x="55"/>
        <item x="461"/>
        <item x="702"/>
        <item x="663"/>
        <item x="639"/>
        <item x="717"/>
        <item x="430"/>
        <item x="277"/>
        <item x="457"/>
        <item x="467"/>
        <item x="774"/>
        <item x="856"/>
        <item x="604"/>
        <item x="704"/>
        <item x="297"/>
        <item x="689"/>
        <item x="95"/>
        <item x="49"/>
        <item x="464"/>
        <item x="761"/>
        <item x="45"/>
        <item x="61"/>
        <item x="335"/>
        <item x="207"/>
        <item x="582"/>
        <item x="308"/>
        <item x="602"/>
        <item x="596"/>
        <item x="823"/>
        <item x="428"/>
        <item x="165"/>
        <item x="666"/>
        <item x="848"/>
        <item x="364"/>
        <item x="766"/>
        <item x="414"/>
        <item x="705"/>
        <item x="684"/>
        <item x="79"/>
        <item x="568"/>
        <item x="591"/>
        <item x="661"/>
        <item x="69"/>
        <item x="347"/>
        <item x="703"/>
        <item x="822"/>
        <item x="342"/>
        <item x="270"/>
        <item x="527"/>
        <item x="521"/>
        <item x="399"/>
        <item x="269"/>
        <item x="820"/>
        <item x="808"/>
        <item x="105"/>
        <item x="479"/>
        <item x="134"/>
        <item x="486"/>
        <item x="749"/>
        <item x="378"/>
        <item x="376"/>
        <item x="707"/>
        <item x="492"/>
        <item x="328"/>
        <item x="804"/>
        <item x="690"/>
        <item x="86"/>
        <item x="281"/>
        <item x="236"/>
        <item x="616"/>
        <item x="737"/>
        <item x="516"/>
        <item x="301"/>
        <item x="627"/>
        <item x="410"/>
        <item x="197"/>
        <item x="107"/>
        <item x="359"/>
        <item x="603"/>
        <item x="310"/>
        <item x="262"/>
        <item x="272"/>
        <item x="529"/>
        <item x="557"/>
        <item x="667"/>
        <item x="861"/>
        <item x="282"/>
        <item x="444"/>
        <item x="760"/>
        <item x="712"/>
        <item x="137"/>
        <item x="148"/>
        <item x="792"/>
        <item x="66"/>
        <item x="407"/>
        <item x="756"/>
        <item x="857"/>
        <item x="176"/>
        <item x="510"/>
        <item x="488"/>
        <item x="221"/>
        <item x="609"/>
        <item x="395"/>
        <item x="343"/>
        <item x="396"/>
        <item x="574"/>
        <item x="706"/>
        <item x="54"/>
        <item x="195"/>
        <item x="838"/>
        <item x="859"/>
        <item x="631"/>
        <item x="789"/>
        <item x="605"/>
        <item x="231"/>
        <item x="617"/>
        <item x="406"/>
        <item x="345"/>
        <item x="320"/>
        <item x="803"/>
        <item x="253"/>
        <item x="265"/>
        <item x="649"/>
        <item x="798"/>
        <item x="719"/>
        <item x="687"/>
        <item x="550"/>
        <item x="20"/>
        <item x="850"/>
        <item x="65"/>
        <item x="523"/>
        <item x="51"/>
        <item x="802"/>
        <item x="130"/>
        <item x="140"/>
        <item x="286"/>
        <item x="375"/>
        <item x="384"/>
        <item x="132"/>
        <item x="451"/>
        <item x="27"/>
        <item x="595"/>
        <item x="442"/>
        <item x="786"/>
        <item x="26"/>
        <item x="566"/>
        <item x="68"/>
        <item x="816"/>
        <item x="472"/>
        <item x="385"/>
        <item x="338"/>
        <item x="258"/>
        <item x="583"/>
        <item x="305"/>
        <item x="783"/>
        <item x="421"/>
        <item x="560"/>
        <item x="752"/>
        <item x="622"/>
        <item x="193"/>
        <item x="696"/>
        <item x="865"/>
        <item x="315"/>
        <item x="718"/>
        <item x="99"/>
        <item x="757"/>
        <item t="default"/>
      </items>
    </pivotField>
    <pivotField compact="0" showAll="0">
      <items count="13">
        <item x="1"/>
        <item x="5"/>
        <item x="3"/>
        <item x="0"/>
        <item x="7"/>
        <item x="6"/>
        <item x="2"/>
        <item x="4"/>
        <item x="11"/>
        <item x="9"/>
        <item x="10"/>
        <item x="8"/>
        <item t="default"/>
      </items>
    </pivotField>
    <pivotField measureFilter="1" compact="0" showAll="0">
      <items count="14">
        <item x="7"/>
        <item x="11"/>
        <item x="8"/>
        <item x="2"/>
        <item x="0"/>
        <item x="12"/>
        <item x="4"/>
        <item x="9"/>
        <item x="1"/>
        <item x="3"/>
        <item x="5"/>
        <item x="10"/>
        <item x="6"/>
        <item t="default"/>
      </items>
    </pivotField>
    <pivotField compact="0" showAll="0">
      <items count="7">
        <item x="2"/>
        <item x="1"/>
        <item x="0"/>
        <item x="4"/>
        <item x="3"/>
        <item x="5"/>
        <item t="default"/>
      </items>
    </pivotField>
    <pivotField compact="0" showAll="0">
      <items count="6">
        <item x="4"/>
        <item x="2"/>
        <item x="1"/>
        <item x="3"/>
        <item x="0"/>
        <item t="default"/>
      </items>
    </pivotField>
    <pivotField compact="0" showAll="0">
      <items count="19">
        <item x="10"/>
        <item x="7"/>
        <item x="12"/>
        <item x="5"/>
        <item x="4"/>
        <item x="2"/>
        <item x="6"/>
        <item x="15"/>
        <item x="14"/>
        <item x="16"/>
        <item x="11"/>
        <item x="17"/>
        <item x="1"/>
        <item x="9"/>
        <item x="8"/>
        <item x="0"/>
        <item x="13"/>
        <item x="3"/>
        <item t="default"/>
      </items>
    </pivotField>
    <pivotField compact="0" showAll="0">
      <items count="54">
        <item x="27"/>
        <item x="10"/>
        <item x="20"/>
        <item x="7"/>
        <item x="16"/>
        <item x="3"/>
        <item x="11"/>
        <item x="46"/>
        <item x="40"/>
        <item x="49"/>
        <item x="24"/>
        <item x="34"/>
        <item x="30"/>
        <item x="51"/>
        <item x="37"/>
        <item x="42"/>
        <item x="44"/>
        <item x="15"/>
        <item x="26"/>
        <item x="17"/>
        <item x="19"/>
        <item x="0"/>
        <item x="50"/>
        <item x="14"/>
        <item x="23"/>
        <item x="38"/>
        <item x="6"/>
        <item x="39"/>
        <item x="43"/>
        <item x="33"/>
        <item x="2"/>
        <item x="21"/>
        <item x="45"/>
        <item x="52"/>
        <item x="18"/>
        <item x="29"/>
        <item x="9"/>
        <item x="13"/>
        <item x="8"/>
        <item x="35"/>
        <item x="28"/>
        <item x="12"/>
        <item x="31"/>
        <item x="25"/>
        <item x="4"/>
        <item x="22"/>
        <item x="41"/>
        <item x="5"/>
        <item x="1"/>
        <item x="48"/>
        <item x="32"/>
        <item x="36"/>
        <item x="47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Row" compact="0" sortType="descending" showAll="0">
      <items count="14">
        <item x="11"/>
        <item x="0"/>
        <item x="6"/>
        <item x="10"/>
        <item x="1"/>
        <item x="4"/>
        <item x="3"/>
        <item x="2"/>
        <item x="9"/>
        <item x="8"/>
        <item m="1" x="12"/>
        <item x="5"/>
        <item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x="2"/>
        <item x="0"/>
        <item x="1"/>
        <item t="default"/>
      </items>
    </pivotField>
    <pivotField compact="0" showAll="0">
      <items count="11">
        <item x="4"/>
        <item x="9"/>
        <item x="3"/>
        <item x="1"/>
        <item x="0"/>
        <item x="6"/>
        <item x="7"/>
        <item x="2"/>
        <item x="5"/>
        <item x="8"/>
        <item t="default"/>
      </items>
    </pivotField>
    <pivotField compact="0" showAll="0">
      <items count="506">
        <item x="124"/>
        <item x="108"/>
        <item x="360"/>
        <item x="10"/>
        <item x="90"/>
        <item x="468"/>
        <item x="174"/>
        <item x="253"/>
        <item x="101"/>
        <item x="243"/>
        <item x="7"/>
        <item x="29"/>
        <item x="79"/>
        <item x="236"/>
        <item x="151"/>
        <item x="2"/>
        <item x="426"/>
        <item x="192"/>
        <item x="280"/>
        <item x="31"/>
        <item x="138"/>
        <item x="196"/>
        <item x="204"/>
        <item x="100"/>
        <item x="441"/>
        <item x="86"/>
        <item x="175"/>
        <item x="89"/>
        <item x="136"/>
        <item x="55"/>
        <item x="369"/>
        <item x="435"/>
        <item x="103"/>
        <item x="479"/>
        <item x="349"/>
        <item x="1"/>
        <item x="41"/>
        <item x="229"/>
        <item x="94"/>
        <item x="109"/>
        <item x="194"/>
        <item x="336"/>
        <item x="407"/>
        <item x="32"/>
        <item x="237"/>
        <item x="15"/>
        <item x="401"/>
        <item x="27"/>
        <item x="149"/>
        <item x="279"/>
        <item x="13"/>
        <item x="413"/>
        <item x="127"/>
        <item x="126"/>
        <item x="370"/>
        <item x="365"/>
        <item x="387"/>
        <item x="5"/>
        <item x="469"/>
        <item x="115"/>
        <item x="172"/>
        <item x="404"/>
        <item x="430"/>
        <item x="112"/>
        <item x="439"/>
        <item x="68"/>
        <item x="334"/>
        <item x="450"/>
        <item x="249"/>
        <item x="197"/>
        <item x="166"/>
        <item x="105"/>
        <item x="139"/>
        <item x="141"/>
        <item x="208"/>
        <item x="106"/>
        <item x="227"/>
        <item x="436"/>
        <item x="445"/>
        <item x="38"/>
        <item x="305"/>
        <item x="425"/>
        <item x="458"/>
        <item x="303"/>
        <item x="498"/>
        <item x="143"/>
        <item x="180"/>
        <item x="176"/>
        <item x="432"/>
        <item x="222"/>
        <item x="274"/>
        <item x="375"/>
        <item x="315"/>
        <item x="116"/>
        <item x="150"/>
        <item x="199"/>
        <item x="72"/>
        <item x="49"/>
        <item x="267"/>
        <item x="471"/>
        <item x="129"/>
        <item x="343"/>
        <item x="46"/>
        <item x="268"/>
        <item x="207"/>
        <item x="21"/>
        <item x="36"/>
        <item x="284"/>
        <item x="74"/>
        <item x="308"/>
        <item x="378"/>
        <item x="330"/>
        <item x="179"/>
        <item x="434"/>
        <item x="8"/>
        <item x="359"/>
        <item x="367"/>
        <item x="121"/>
        <item x="163"/>
        <item x="16"/>
        <item x="220"/>
        <item x="325"/>
        <item x="223"/>
        <item x="35"/>
        <item x="358"/>
        <item x="225"/>
        <item x="118"/>
        <item x="405"/>
        <item x="211"/>
        <item x="347"/>
        <item x="297"/>
        <item x="352"/>
        <item x="314"/>
        <item x="250"/>
        <item x="183"/>
        <item x="496"/>
        <item x="28"/>
        <item x="410"/>
        <item x="131"/>
        <item x="262"/>
        <item x="160"/>
        <item x="122"/>
        <item x="288"/>
        <item x="350"/>
        <item x="62"/>
        <item x="133"/>
        <item x="85"/>
        <item x="157"/>
        <item x="164"/>
        <item x="99"/>
        <item x="415"/>
        <item x="156"/>
        <item x="81"/>
        <item x="39"/>
        <item x="168"/>
        <item x="154"/>
        <item x="457"/>
        <item x="148"/>
        <item x="224"/>
        <item x="389"/>
        <item x="495"/>
        <item x="24"/>
        <item x="419"/>
        <item x="408"/>
        <item x="161"/>
        <item x="500"/>
        <item x="78"/>
        <item x="4"/>
        <item x="502"/>
        <item x="201"/>
        <item x="245"/>
        <item x="48"/>
        <item x="47"/>
        <item x="165"/>
        <item x="381"/>
        <item x="240"/>
        <item x="3"/>
        <item x="453"/>
        <item x="461"/>
        <item x="433"/>
        <item x="87"/>
        <item x="392"/>
        <item x="484"/>
        <item x="170"/>
        <item x="186"/>
        <item x="20"/>
        <item x="411"/>
        <item x="289"/>
        <item x="134"/>
        <item x="242"/>
        <item x="256"/>
        <item x="12"/>
        <item x="276"/>
        <item x="290"/>
        <item x="238"/>
        <item x="71"/>
        <item x="326"/>
        <item x="80"/>
        <item x="460"/>
        <item x="246"/>
        <item x="339"/>
        <item x="125"/>
        <item x="355"/>
        <item x="169"/>
        <item x="285"/>
        <item x="257"/>
        <item x="328"/>
        <item x="107"/>
        <item x="120"/>
        <item x="264"/>
        <item x="466"/>
        <item x="272"/>
        <item x="0"/>
        <item x="374"/>
        <item x="251"/>
        <item x="438"/>
        <item x="428"/>
        <item x="67"/>
        <item x="351"/>
        <item x="283"/>
        <item x="431"/>
        <item x="452"/>
        <item x="383"/>
        <item x="178"/>
        <item x="397"/>
        <item x="11"/>
        <item x="210"/>
        <item x="403"/>
        <item x="26"/>
        <item x="92"/>
        <item x="147"/>
        <item x="488"/>
        <item x="142"/>
        <item x="241"/>
        <item x="345"/>
        <item x="281"/>
        <item x="235"/>
        <item x="248"/>
        <item x="63"/>
        <item x="247"/>
        <item x="137"/>
        <item x="226"/>
        <item x="446"/>
        <item x="293"/>
        <item x="463"/>
        <item x="340"/>
        <item x="480"/>
        <item x="287"/>
        <item x="58"/>
        <item x="298"/>
        <item x="66"/>
        <item x="61"/>
        <item x="91"/>
        <item x="277"/>
        <item x="273"/>
        <item x="200"/>
        <item x="145"/>
        <item x="232"/>
        <item x="472"/>
        <item x="265"/>
        <item x="357"/>
        <item x="135"/>
        <item x="25"/>
        <item x="104"/>
        <item x="420"/>
        <item x="437"/>
        <item x="270"/>
        <item x="64"/>
        <item x="391"/>
        <item x="43"/>
        <item x="412"/>
        <item x="51"/>
        <item x="50"/>
        <item x="482"/>
        <item x="17"/>
        <item x="188"/>
        <item x="52"/>
        <item x="123"/>
        <item x="376"/>
        <item x="73"/>
        <item x="69"/>
        <item x="42"/>
        <item x="216"/>
        <item x="6"/>
        <item x="110"/>
        <item x="30"/>
        <item x="128"/>
        <item x="451"/>
        <item x="388"/>
        <item x="195"/>
        <item x="75"/>
        <item x="244"/>
        <item x="33"/>
        <item x="354"/>
        <item x="493"/>
        <item x="77"/>
        <item x="476"/>
        <item x="414"/>
        <item x="342"/>
        <item x="278"/>
        <item x="473"/>
        <item x="371"/>
        <item x="454"/>
        <item x="399"/>
        <item x="337"/>
        <item x="296"/>
        <item x="82"/>
        <item x="171"/>
        <item x="294"/>
        <item x="88"/>
        <item x="96"/>
        <item x="310"/>
        <item x="255"/>
        <item x="382"/>
        <item x="424"/>
        <item x="261"/>
        <item x="44"/>
        <item x="158"/>
        <item x="333"/>
        <item x="368"/>
        <item x="153"/>
        <item x="362"/>
        <item x="206"/>
        <item x="390"/>
        <item x="14"/>
        <item x="309"/>
        <item x="394"/>
        <item x="53"/>
        <item x="423"/>
        <item x="418"/>
        <item x="76"/>
        <item x="190"/>
        <item x="487"/>
        <item x="417"/>
        <item x="119"/>
        <item x="218"/>
        <item x="332"/>
        <item x="140"/>
        <item x="503"/>
        <item x="282"/>
        <item x="286"/>
        <item x="341"/>
        <item x="144"/>
        <item x="221"/>
        <item x="483"/>
        <item x="295"/>
        <item x="202"/>
        <item x="215"/>
        <item x="304"/>
        <item x="9"/>
        <item x="447"/>
        <item x="301"/>
        <item x="491"/>
        <item x="489"/>
        <item x="152"/>
        <item x="486"/>
        <item x="348"/>
        <item x="363"/>
        <item x="173"/>
        <item x="393"/>
        <item x="203"/>
        <item x="324"/>
        <item x="97"/>
        <item x="416"/>
        <item x="490"/>
        <item x="299"/>
        <item x="353"/>
        <item x="366"/>
        <item x="19"/>
        <item x="269"/>
        <item x="70"/>
        <item x="475"/>
        <item x="98"/>
        <item x="379"/>
        <item x="95"/>
        <item x="346"/>
        <item x="477"/>
        <item x="184"/>
        <item x="319"/>
        <item x="372"/>
        <item x="234"/>
        <item x="37"/>
        <item x="102"/>
        <item x="322"/>
        <item x="494"/>
        <item x="380"/>
        <item x="177"/>
        <item x="398"/>
        <item x="499"/>
        <item x="40"/>
        <item x="377"/>
        <item x="373"/>
        <item x="462"/>
        <item x="45"/>
        <item x="331"/>
        <item x="291"/>
        <item x="217"/>
        <item x="213"/>
        <item x="442"/>
        <item x="254"/>
        <item x="155"/>
        <item x="327"/>
        <item x="478"/>
        <item x="465"/>
        <item x="57"/>
        <item x="302"/>
        <item x="193"/>
        <item x="233"/>
        <item x="448"/>
        <item x="167"/>
        <item x="292"/>
        <item x="318"/>
        <item x="266"/>
        <item x="316"/>
        <item x="205"/>
        <item x="198"/>
        <item x="159"/>
        <item x="56"/>
        <item x="181"/>
        <item x="459"/>
        <item x="421"/>
        <item x="321"/>
        <item x="34"/>
        <item x="385"/>
        <item x="313"/>
        <item x="83"/>
        <item x="113"/>
        <item x="306"/>
        <item x="259"/>
        <item x="422"/>
        <item x="300"/>
        <item x="320"/>
        <item x="65"/>
        <item x="191"/>
        <item x="396"/>
        <item x="386"/>
        <item x="189"/>
        <item x="323"/>
        <item x="231"/>
        <item x="409"/>
        <item x="311"/>
        <item x="271"/>
        <item x="455"/>
        <item x="132"/>
        <item x="456"/>
        <item x="130"/>
        <item x="260"/>
        <item x="182"/>
        <item x="18"/>
        <item x="335"/>
        <item x="449"/>
        <item x="228"/>
        <item x="84"/>
        <item x="329"/>
        <item x="470"/>
        <item x="54"/>
        <item x="312"/>
        <item x="429"/>
        <item x="497"/>
        <item x="275"/>
        <item x="474"/>
        <item x="384"/>
        <item x="427"/>
        <item x="60"/>
        <item x="492"/>
        <item x="317"/>
        <item x="212"/>
        <item x="338"/>
        <item x="111"/>
        <item x="464"/>
        <item x="444"/>
        <item x="344"/>
        <item x="252"/>
        <item x="485"/>
        <item x="440"/>
        <item x="219"/>
        <item x="187"/>
        <item x="361"/>
        <item x="230"/>
        <item x="162"/>
        <item x="93"/>
        <item x="400"/>
        <item x="214"/>
        <item x="501"/>
        <item x="114"/>
        <item x="146"/>
        <item x="356"/>
        <item x="406"/>
        <item x="443"/>
        <item x="402"/>
        <item x="185"/>
        <item x="263"/>
        <item x="209"/>
        <item x="481"/>
        <item x="364"/>
        <item x="117"/>
        <item x="23"/>
        <item x="395"/>
        <item x="22"/>
        <item x="59"/>
        <item x="258"/>
        <item x="307"/>
        <item x="504"/>
        <item x="239"/>
        <item x="467"/>
        <item t="default"/>
      </items>
    </pivotField>
    <pivotField compact="0" showAll="0">
      <items count="6">
        <item x="4"/>
        <item x="0"/>
        <item x="2"/>
        <item x="1"/>
        <item x="3"/>
        <item t="default"/>
      </items>
    </pivotField>
    <pivotField dataField="1" compact="0" showAll="0">
      <items count="881">
        <item x="441"/>
        <item x="125"/>
        <item x="51"/>
        <item x="691"/>
        <item x="100"/>
        <item x="769"/>
        <item x="298"/>
        <item x="335"/>
        <item x="114"/>
        <item x="323"/>
        <item x="148"/>
        <item x="33"/>
        <item x="472"/>
        <item x="417"/>
        <item x="180"/>
        <item x="175"/>
        <item x="668"/>
        <item x="243"/>
        <item x="379"/>
        <item x="393"/>
        <item x="366"/>
        <item x="248"/>
        <item x="468"/>
        <item x="113"/>
        <item x="704"/>
        <item x="96"/>
        <item x="241"/>
        <item x="99"/>
        <item x="159"/>
        <item x="778"/>
        <item x="545"/>
        <item x="801"/>
        <item x="117"/>
        <item x="802"/>
        <item x="549"/>
        <item x="120"/>
        <item x="130"/>
        <item x="300"/>
        <item x="434"/>
        <item x="770"/>
        <item x="753"/>
        <item x="484"/>
        <item x="724"/>
        <item x="356"/>
        <item x="693"/>
        <item x="792"/>
        <item x="703"/>
        <item x="145"/>
        <item x="82"/>
        <item x="178"/>
        <item x="520"/>
        <item x="378"/>
        <item x="521"/>
        <item x="643"/>
        <item x="599"/>
        <item x="794"/>
        <item x="627"/>
        <item x="509"/>
        <item x="784"/>
        <item x="589"/>
        <item x="22"/>
        <item x="447"/>
        <item x="606"/>
        <item x="213"/>
        <item x="620"/>
        <item x="754"/>
        <item x="11"/>
        <item x="132"/>
        <item x="409"/>
        <item x="696"/>
        <item x="546"/>
        <item x="77"/>
        <item x="236"/>
        <item x="481"/>
        <item x="227"/>
        <item x="726"/>
        <item x="329"/>
        <item x="250"/>
        <item x="110"/>
        <item x="200"/>
        <item x="798"/>
        <item x="443"/>
        <item x="168"/>
        <item x="267"/>
        <item x="713"/>
        <item x="718"/>
        <item x="687"/>
        <item x="716"/>
        <item x="499"/>
        <item x="147"/>
        <item x="425"/>
        <item x="667"/>
        <item x="740"/>
        <item x="420"/>
        <item x="863"/>
        <item x="115"/>
        <item x="220"/>
        <item x="8"/>
        <item x="680"/>
        <item x="249"/>
        <item x="287"/>
        <item x="601"/>
        <item x="654"/>
        <item x="741"/>
        <item x="35"/>
        <item x="757"/>
        <item x="442"/>
        <item x="762"/>
        <item x="46"/>
        <item x="684"/>
        <item x="649"/>
        <item x="252"/>
        <item x="81"/>
        <item x="429"/>
        <item x="333"/>
        <item x="358"/>
        <item x="773"/>
        <item x="372"/>
        <item x="832"/>
        <item x="392"/>
        <item x="783"/>
        <item x="495"/>
        <item x="52"/>
        <item x="660"/>
        <item x="502"/>
        <item x="836"/>
        <item x="40"/>
        <item x="334"/>
        <item x="386"/>
        <item x="126"/>
        <item x="184"/>
        <item x="431"/>
        <item x="108"/>
        <item x="570"/>
        <item x="596"/>
        <item x="224"/>
        <item x="848"/>
        <item x="683"/>
        <item x="782"/>
        <item x="722"/>
        <item x="530"/>
        <item x="542"/>
        <item x="686"/>
        <item x="195"/>
        <item x="18"/>
        <item x="749"/>
        <item x="341"/>
        <item x="712"/>
        <item x="304"/>
        <item x="210"/>
        <item x="526"/>
        <item x="294"/>
        <item x="841"/>
        <item x="316"/>
        <item x="357"/>
        <item x="506"/>
        <item x="411"/>
        <item x="516"/>
        <item x="440"/>
        <item x="330"/>
        <item x="226"/>
        <item x="515"/>
        <item x="310"/>
        <item x="860"/>
        <item x="296"/>
        <item x="32"/>
        <item x="633"/>
        <item x="153"/>
        <item x="349"/>
        <item x="208"/>
        <item x="471"/>
        <item x="803"/>
        <item x="513"/>
        <item x="619"/>
        <item x="351"/>
        <item x="95"/>
        <item x="34"/>
        <item x="365"/>
        <item x="462"/>
        <item x="291"/>
        <item x="112"/>
        <item x="647"/>
        <item x="707"/>
        <item x="187"/>
        <item x="825"/>
        <item x="91"/>
        <item x="43"/>
        <item x="202"/>
        <item x="185"/>
        <item x="856"/>
        <item x="739"/>
        <item x="139"/>
        <item x="280"/>
        <item x="380"/>
        <item x="593"/>
        <item x="849"/>
        <item x="851"/>
        <item x="448"/>
        <item x="656"/>
        <item x="735"/>
        <item x="14"/>
        <item x="655"/>
        <item x="193"/>
        <item x="865"/>
        <item x="87"/>
        <item x="805"/>
        <item x="263"/>
        <item x="875"/>
        <item x="638"/>
        <item x="562"/>
        <item x="512"/>
        <item x="284"/>
        <item x="123"/>
        <item x="198"/>
        <item x="575"/>
        <item x="688"/>
        <item x="317"/>
        <item x="679"/>
        <item x="301"/>
        <item x="412"/>
        <item x="830"/>
        <item x="3"/>
        <item x="209"/>
        <item x="732"/>
        <item x="146"/>
        <item x="755"/>
        <item x="681"/>
        <item x="36"/>
        <item x="413"/>
        <item x="602"/>
        <item x="813"/>
        <item x="206"/>
        <item x="230"/>
        <item x="504"/>
        <item x="196"/>
        <item x="635"/>
        <item x="527"/>
        <item x="305"/>
        <item x="107"/>
        <item x="321"/>
        <item x="827"/>
        <item x="339"/>
        <item x="700"/>
        <item x="373"/>
        <item x="399"/>
        <item x="315"/>
        <item x="309"/>
        <item x="869"/>
        <item x="90"/>
        <item x="751"/>
        <item x="326"/>
        <item x="89"/>
        <item x="728"/>
        <item x="489"/>
        <item x="149"/>
        <item x="552"/>
        <item x="522"/>
        <item x="28"/>
        <item x="556"/>
        <item x="207"/>
        <item x="388"/>
        <item x="342"/>
        <item x="642"/>
        <item x="121"/>
        <item x="141"/>
        <item x="352"/>
        <item x="765"/>
        <item x="631"/>
        <item x="0"/>
        <item x="563"/>
        <item x="428"/>
        <item x="564"/>
        <item x="577"/>
        <item x="331"/>
        <item x="844"/>
        <item x="490"/>
        <item x="256"/>
        <item x="695"/>
        <item x="186"/>
        <item x="671"/>
        <item x="76"/>
        <item x="624"/>
        <item x="879"/>
        <item x="439"/>
        <item x="730"/>
        <item x="427"/>
        <item x="797"/>
        <item x="466"/>
        <item x="789"/>
        <item x="221"/>
        <item x="581"/>
        <item x="720"/>
        <item x="611"/>
        <item x="612"/>
        <item x="165"/>
        <item x="12"/>
        <item x="623"/>
        <item x="269"/>
        <item x="839"/>
        <item x="318"/>
        <item x="30"/>
        <item x="133"/>
        <item x="554"/>
        <item x="174"/>
        <item x="461"/>
        <item x="818"/>
        <item x="105"/>
        <item x="169"/>
        <item x="833"/>
        <item x="781"/>
        <item x="482"/>
        <item x="662"/>
        <item x="422"/>
        <item x="277"/>
        <item x="503"/>
        <item x="382"/>
        <item x="223"/>
        <item x="328"/>
        <item x="71"/>
        <item x="327"/>
        <item x="25"/>
        <item x="381"/>
        <item x="727"/>
        <item x="717"/>
        <item x="21"/>
        <item x="17"/>
        <item x="658"/>
        <item x="163"/>
        <item x="432"/>
        <item x="403"/>
        <item x="759"/>
        <item x="288"/>
        <item x="702"/>
        <item x="651"/>
        <item x="807"/>
        <item x="396"/>
        <item x="271"/>
        <item x="66"/>
        <item x="731"/>
        <item x="597"/>
        <item x="156"/>
        <item x="74"/>
        <item x="69"/>
        <item x="290"/>
        <item x="846"/>
        <item x="374"/>
        <item x="791"/>
        <item x="253"/>
        <item x="172"/>
        <item x="306"/>
        <item x="843"/>
        <item x="458"/>
        <item x="161"/>
        <item x="775"/>
        <item x="354"/>
        <item x="205"/>
        <item x="525"/>
        <item x="10"/>
        <item x="219"/>
        <item x="158"/>
        <item x="29"/>
        <item x="118"/>
        <item x="657"/>
        <item x="690"/>
        <item x="361"/>
        <item x="531"/>
        <item x="233"/>
        <item x="665"/>
        <item x="122"/>
        <item x="598"/>
        <item x="204"/>
        <item x="75"/>
        <item x="177"/>
        <item x="831"/>
        <item x="363"/>
        <item x="603"/>
        <item x="289"/>
        <item x="282"/>
        <item x="788"/>
        <item x="56"/>
        <item x="809"/>
        <item x="19"/>
        <item x="231"/>
        <item x="414"/>
        <item x="626"/>
        <item x="237"/>
        <item x="529"/>
        <item x="550"/>
        <item x="677"/>
        <item x="390"/>
        <item x="666"/>
        <item x="192"/>
        <item x="144"/>
        <item x="566"/>
        <item x="456"/>
        <item x="510"/>
        <item x="47"/>
        <item x="322"/>
        <item x="338"/>
        <item x="6"/>
        <item x="857"/>
        <item x="698"/>
        <item x="128"/>
        <item x="568"/>
        <item x="13"/>
        <item x="790"/>
        <item x="592"/>
        <item x="255"/>
        <item x="246"/>
        <item x="84"/>
        <item x="600"/>
        <item x="37"/>
        <item x="519"/>
        <item x="508"/>
        <item x="847"/>
        <item x="514"/>
        <item x="585"/>
        <item x="756"/>
        <item x="86"/>
        <item x="787"/>
        <item x="646"/>
        <item x="313"/>
        <item x="493"/>
        <item x="752"/>
        <item x="377"/>
        <item x="53"/>
        <item x="811"/>
        <item x="491"/>
        <item x="558"/>
        <item x="733"/>
        <item x="395"/>
        <item x="614"/>
        <item x="474"/>
        <item x="555"/>
        <item x="485"/>
        <item x="410"/>
        <item x="92"/>
        <item x="212"/>
        <item x="83"/>
        <item x="618"/>
        <item x="407"/>
        <item x="98"/>
        <item x="344"/>
        <item x="533"/>
        <item x="729"/>
        <item x="137"/>
        <item x="835"/>
        <item x="580"/>
        <item x="72"/>
        <item x="664"/>
        <item x="804"/>
        <item x="706"/>
        <item x="398"/>
        <item x="449"/>
        <item x="324"/>
        <item x="547"/>
        <item x="744"/>
        <item x="167"/>
        <item x="189"/>
        <item x="535"/>
        <item x="872"/>
        <item x="579"/>
        <item x="543"/>
        <item x="179"/>
        <item x="182"/>
        <item x="534"/>
        <item x="299"/>
        <item x="265"/>
        <item x="645"/>
        <item x="16"/>
        <item x="435"/>
        <item x="607"/>
        <item x="405"/>
        <item x="2"/>
        <item x="641"/>
        <item x="661"/>
        <item x="337"/>
        <item x="583"/>
        <item x="218"/>
        <item x="239"/>
        <item x="24"/>
        <item x="817"/>
        <item x="652"/>
        <item x="140"/>
        <item x="281"/>
        <item x="311"/>
        <item x="477"/>
        <item x="488"/>
        <item x="673"/>
        <item x="270"/>
        <item x="433"/>
        <item x="494"/>
        <item x="278"/>
        <item x="103"/>
        <item x="876"/>
        <item x="188"/>
        <item x="383"/>
        <item x="389"/>
        <item x="492"/>
        <item x="511"/>
        <item x="171"/>
        <item x="211"/>
        <item x="48"/>
        <item x="780"/>
        <item x="285"/>
        <item x="861"/>
        <item x="61"/>
        <item x="183"/>
        <item x="605"/>
        <item x="594"/>
        <item x="15"/>
        <item x="810"/>
        <item x="842"/>
        <item x="528"/>
        <item x="276"/>
        <item x="136"/>
        <item x="421"/>
        <item x="4"/>
        <item x="9"/>
        <item x="312"/>
        <item x="719"/>
        <item x="314"/>
        <item x="418"/>
        <item x="829"/>
        <item x="824"/>
        <item x="845"/>
        <item x="181"/>
        <item x="816"/>
        <item x="507"/>
        <item x="537"/>
        <item x="214"/>
        <item x="639"/>
        <item x="465"/>
        <item x="604"/>
        <item x="734"/>
        <item x="701"/>
        <item x="463"/>
        <item x="142"/>
        <item x="176"/>
        <item x="553"/>
        <item x="672"/>
        <item x="348"/>
        <item x="648"/>
        <item x="630"/>
        <item x="736"/>
        <item x="826"/>
        <item x="708"/>
        <item x="518"/>
        <item x="541"/>
        <item x="498"/>
        <item x="408"/>
        <item x="247"/>
        <item x="483"/>
        <item x="548"/>
        <item x="190"/>
        <item x="23"/>
        <item x="360"/>
        <item x="119"/>
        <item x="721"/>
        <item x="325"/>
        <item x="164"/>
        <item x="111"/>
        <item x="571"/>
        <item x="257"/>
        <item x="551"/>
        <item x="106"/>
        <item x="505"/>
        <item x="88"/>
        <item x="150"/>
        <item x="197"/>
        <item x="228"/>
        <item x="685"/>
        <item x="796"/>
        <item x="523"/>
        <item x="820"/>
        <item x="391"/>
        <item x="476"/>
        <item x="742"/>
        <item x="539"/>
        <item x="39"/>
        <item x="62"/>
        <item x="364"/>
        <item x="569"/>
        <item x="559"/>
        <item x="689"/>
        <item x="308"/>
        <item x="41"/>
        <item x="116"/>
        <item x="776"/>
        <item x="578"/>
        <item x="401"/>
        <item x="500"/>
        <item x="215"/>
        <item x="157"/>
        <item x="455"/>
        <item x="101"/>
        <item x="254"/>
        <item x="262"/>
        <item x="850"/>
        <item x="574"/>
        <item x="217"/>
        <item x="838"/>
        <item x="613"/>
        <item x="864"/>
        <item x="234"/>
        <item x="295"/>
        <item x="44"/>
        <item x="567"/>
        <item x="561"/>
        <item x="397"/>
        <item x="758"/>
        <item x="216"/>
        <item x="709"/>
        <item x="475"/>
        <item x="166"/>
        <item x="367"/>
        <item x="400"/>
        <item x="663"/>
        <item x="274"/>
        <item x="540"/>
        <item x="705"/>
        <item x="336"/>
        <item x="80"/>
        <item x="54"/>
        <item x="621"/>
        <item x="266"/>
        <item x="45"/>
        <item x="858"/>
        <item x="160"/>
        <item x="822"/>
        <item x="151"/>
        <item x="745"/>
        <item x="469"/>
        <item x="859"/>
        <item x="650"/>
        <item x="59"/>
        <item x="748"/>
        <item x="467"/>
        <item x="293"/>
        <item x="1"/>
        <item x="557"/>
        <item x="199"/>
        <item x="67"/>
        <item x="747"/>
        <item x="799"/>
        <item x="764"/>
        <item x="560"/>
        <item x="676"/>
        <item x="853"/>
        <item x="124"/>
        <item x="129"/>
        <item x="359"/>
        <item x="155"/>
        <item x="170"/>
        <item x="785"/>
        <item x="244"/>
        <item x="723"/>
        <item x="201"/>
        <item x="402"/>
        <item x="286"/>
        <item x="451"/>
        <item x="608"/>
        <item x="232"/>
        <item x="143"/>
        <item x="109"/>
        <item x="355"/>
        <item x="637"/>
        <item x="5"/>
        <item x="445"/>
        <item x="457"/>
        <item x="31"/>
        <item x="55"/>
        <item x="264"/>
        <item x="251"/>
        <item x="486"/>
        <item x="793"/>
        <item x="573"/>
        <item x="222"/>
        <item x="743"/>
        <item x="57"/>
        <item x="258"/>
        <item x="404"/>
        <item x="454"/>
        <item x="38"/>
        <item x="586"/>
        <item x="682"/>
        <item x="370"/>
        <item x="63"/>
        <item x="50"/>
        <item x="79"/>
        <item x="260"/>
        <item x="93"/>
        <item x="42"/>
        <item x="855"/>
        <item x="134"/>
        <item x="426"/>
        <item x="345"/>
        <item x="369"/>
        <item x="806"/>
        <item x="840"/>
        <item x="453"/>
        <item x="70"/>
        <item x="590"/>
        <item x="319"/>
        <item x="854"/>
        <item x="766"/>
        <item x="7"/>
        <item x="73"/>
        <item x="240"/>
        <item x="587"/>
        <item x="750"/>
        <item x="368"/>
        <item x="238"/>
        <item x="774"/>
        <item x="588"/>
        <item x="460"/>
        <item x="261"/>
        <item x="823"/>
        <item x="871"/>
        <item x="786"/>
        <item x="634"/>
        <item x="242"/>
        <item x="436"/>
        <item x="303"/>
        <item x="874"/>
        <item x="376"/>
        <item x="480"/>
        <item x="699"/>
        <item x="632"/>
        <item x="437"/>
        <item x="678"/>
        <item x="292"/>
        <item x="362"/>
        <item x="737"/>
        <item x="154"/>
        <item x="738"/>
        <item x="58"/>
        <item x="669"/>
        <item x="517"/>
        <item x="152"/>
        <item x="761"/>
        <item x="821"/>
        <item x="878"/>
        <item x="225"/>
        <item x="424"/>
        <item x="375"/>
        <item x="444"/>
        <item x="625"/>
        <item x="710"/>
        <item x="653"/>
        <item x="725"/>
        <item x="279"/>
        <item x="464"/>
        <item x="473"/>
        <item x="867"/>
        <item x="616"/>
        <item x="297"/>
        <item x="94"/>
        <item x="49"/>
        <item x="470"/>
        <item x="772"/>
        <item x="60"/>
        <item x="340"/>
        <item x="203"/>
        <item x="595"/>
        <item x="615"/>
        <item x="610"/>
        <item x="837"/>
        <item x="438"/>
        <item x="162"/>
        <item x="674"/>
        <item x="862"/>
        <item x="371"/>
        <item x="777"/>
        <item x="423"/>
        <item x="714"/>
        <item x="692"/>
        <item x="78"/>
        <item x="584"/>
        <item x="670"/>
        <item x="68"/>
        <item x="353"/>
        <item x="711"/>
        <item x="346"/>
        <item x="273"/>
        <item x="536"/>
        <item x="406"/>
        <item x="272"/>
        <item x="834"/>
        <item x="819"/>
        <item x="102"/>
        <item x="487"/>
        <item x="131"/>
        <item x="496"/>
        <item x="760"/>
        <item x="387"/>
        <item x="385"/>
        <item x="715"/>
        <item x="501"/>
        <item x="332"/>
        <item x="815"/>
        <item x="697"/>
        <item x="85"/>
        <item x="283"/>
        <item x="235"/>
        <item x="628"/>
        <item x="746"/>
        <item x="532"/>
        <item x="302"/>
        <item x="640"/>
        <item x="419"/>
        <item x="194"/>
        <item x="104"/>
        <item x="275"/>
        <item x="544"/>
        <item x="572"/>
        <item x="675"/>
        <item x="873"/>
        <item x="452"/>
        <item x="771"/>
        <item x="135"/>
        <item x="65"/>
        <item x="416"/>
        <item x="767"/>
        <item x="868"/>
        <item x="173"/>
        <item x="524"/>
        <item x="497"/>
        <item x="622"/>
        <item x="347"/>
        <item x="591"/>
        <item x="97"/>
        <item x="852"/>
        <item x="870"/>
        <item x="644"/>
        <item x="800"/>
        <item x="617"/>
        <item x="229"/>
        <item x="779"/>
        <item x="478"/>
        <item x="245"/>
        <item x="446"/>
        <item x="866"/>
        <item x="629"/>
        <item x="415"/>
        <item x="350"/>
        <item x="320"/>
        <item x="814"/>
        <item x="268"/>
        <item x="659"/>
        <item x="808"/>
        <item x="694"/>
        <item x="565"/>
        <item x="20"/>
        <item x="64"/>
        <item x="538"/>
        <item x="812"/>
        <item x="127"/>
        <item x="138"/>
        <item x="384"/>
        <item x="394"/>
        <item x="459"/>
        <item x="27"/>
        <item x="609"/>
        <item x="450"/>
        <item x="26"/>
        <item x="582"/>
        <item x="828"/>
        <item x="479"/>
        <item x="343"/>
        <item x="259"/>
        <item x="307"/>
        <item x="795"/>
        <item x="430"/>
        <item x="576"/>
        <item x="763"/>
        <item x="636"/>
        <item x="191"/>
        <item x="877"/>
        <item x="768"/>
        <item t="default"/>
      </items>
    </pivotField>
    <pivotField compact="0" showAll="0">
      <items count="1001">
        <item x="473"/>
        <item x="129"/>
        <item x="573"/>
        <item x="772"/>
        <item x="102"/>
        <item x="866"/>
        <item x="314"/>
        <item x="354"/>
        <item x="118"/>
        <item x="342"/>
        <item x="153"/>
        <item x="33"/>
        <item x="510"/>
        <item x="445"/>
        <item x="187"/>
        <item x="181"/>
        <item x="742"/>
        <item x="254"/>
        <item x="401"/>
        <item x="415"/>
        <item x="387"/>
        <item x="259"/>
        <item x="506"/>
        <item x="117"/>
        <item x="788"/>
        <item x="97"/>
        <item x="252"/>
        <item x="101"/>
        <item x="165"/>
        <item x="877"/>
        <item x="592"/>
        <item x="907"/>
        <item x="121"/>
        <item x="908"/>
        <item x="596"/>
        <item x="421"/>
        <item x="134"/>
        <item x="316"/>
        <item x="464"/>
        <item x="867"/>
        <item x="850"/>
        <item x="522"/>
        <item x="813"/>
        <item x="376"/>
        <item x="774"/>
        <item x="895"/>
        <item x="786"/>
        <item x="149"/>
        <item x="648"/>
        <item x="184"/>
        <item x="562"/>
        <item x="400"/>
        <item x="563"/>
        <item x="707"/>
        <item x="654"/>
        <item x="898"/>
        <item x="690"/>
        <item x="550"/>
        <item x="884"/>
        <item x="640"/>
        <item x="22"/>
        <item x="868"/>
        <item x="661"/>
        <item x="223"/>
        <item x="680"/>
        <item x="851"/>
        <item x="11"/>
        <item x="136"/>
        <item x="436"/>
        <item x="778"/>
        <item x="593"/>
        <item x="78"/>
        <item x="753"/>
        <item x="519"/>
        <item x="238"/>
        <item x="818"/>
        <item x="348"/>
        <item x="261"/>
        <item x="114"/>
        <item x="209"/>
        <item x="903"/>
        <item x="476"/>
        <item x="174"/>
        <item x="278"/>
        <item x="800"/>
        <item x="806"/>
        <item x="767"/>
        <item x="804"/>
        <item x="539"/>
        <item x="152"/>
        <item x="453"/>
        <item x="741"/>
        <item x="835"/>
        <item x="448"/>
        <item x="979"/>
        <item x="307"/>
        <item x="119"/>
        <item x="231"/>
        <item x="227"/>
        <item x="757"/>
        <item x="260"/>
        <item x="300"/>
        <item x="656"/>
        <item x="720"/>
        <item x="836"/>
        <item x="35"/>
        <item x="854"/>
        <item x="474"/>
        <item x="859"/>
        <item x="46"/>
        <item x="762"/>
        <item x="713"/>
        <item x="263"/>
        <item x="82"/>
        <item x="458"/>
        <item x="725"/>
        <item x="378"/>
        <item x="872"/>
        <item x="394"/>
        <item x="941"/>
        <item x="414"/>
        <item x="883"/>
        <item x="534"/>
        <item x="52"/>
        <item x="733"/>
        <item x="542"/>
        <item x="945"/>
        <item x="40"/>
        <item x="353"/>
        <item x="408"/>
        <item x="130"/>
        <item x="191"/>
        <item x="461"/>
        <item x="112"/>
        <item x="621"/>
        <item x="651"/>
        <item x="235"/>
        <item x="961"/>
        <item x="761"/>
        <item x="882"/>
        <item x="810"/>
        <item x="572"/>
        <item x="588"/>
        <item x="766"/>
        <item x="204"/>
        <item x="18"/>
        <item x="845"/>
        <item x="718"/>
        <item x="336"/>
        <item x="797"/>
        <item x="320"/>
        <item x="220"/>
        <item x="568"/>
        <item x="310"/>
        <item x="953"/>
        <item x="682"/>
        <item x="377"/>
        <item x="124"/>
        <item x="546"/>
        <item x="438"/>
        <item x="557"/>
        <item x="472"/>
        <item x="349"/>
        <item x="237"/>
        <item x="556"/>
        <item x="727"/>
        <item x="974"/>
        <item x="312"/>
        <item x="32"/>
        <item x="696"/>
        <item x="158"/>
        <item x="369"/>
        <item x="948"/>
        <item x="509"/>
        <item x="911"/>
        <item x="554"/>
        <item x="679"/>
        <item x="371"/>
        <item x="96"/>
        <item x="196"/>
        <item x="386"/>
        <item x="499"/>
        <item x="532"/>
        <item x="116"/>
        <item x="711"/>
        <item x="791"/>
        <item x="194"/>
        <item x="934"/>
        <item x="92"/>
        <item x="586"/>
        <item x="212"/>
        <item x="192"/>
        <item x="970"/>
        <item x="832"/>
        <item x="687"/>
        <item x="143"/>
        <item x="352"/>
        <item x="292"/>
        <item x="402"/>
        <item x="645"/>
        <item x="962"/>
        <item x="964"/>
        <item x="483"/>
        <item x="724"/>
        <item x="828"/>
        <item x="14"/>
        <item x="721"/>
        <item x="202"/>
        <item x="983"/>
        <item x="88"/>
        <item x="815"/>
        <item x="913"/>
        <item x="460"/>
        <item x="994"/>
        <item x="701"/>
        <item x="611"/>
        <item x="553"/>
        <item x="297"/>
        <item x="162"/>
        <item x="207"/>
        <item x="626"/>
        <item x="768"/>
        <item x="335"/>
        <item x="755"/>
        <item x="871"/>
        <item x="439"/>
        <item x="939"/>
        <item x="3"/>
        <item x="219"/>
        <item x="825"/>
        <item x="151"/>
        <item x="852"/>
        <item x="758"/>
        <item x="36"/>
        <item x="440"/>
        <item x="657"/>
        <item x="921"/>
        <item x="216"/>
        <item x="241"/>
        <item x="544"/>
        <item x="205"/>
        <item x="698"/>
        <item x="569"/>
        <item x="321"/>
        <item x="798"/>
        <item x="340"/>
        <item x="936"/>
        <item x="358"/>
        <item x="783"/>
        <item x="395"/>
        <item x="423"/>
        <item x="332"/>
        <item x="325"/>
        <item x="988"/>
        <item x="91"/>
        <item x="847"/>
        <item x="345"/>
        <item x="8"/>
        <item x="108"/>
        <item x="821"/>
        <item x="527"/>
        <item x="154"/>
        <item x="601"/>
        <item x="564"/>
        <item x="482"/>
        <item x="28"/>
        <item x="605"/>
        <item x="217"/>
        <item x="410"/>
        <item x="361"/>
        <item x="706"/>
        <item x="125"/>
        <item x="145"/>
        <item x="372"/>
        <item x="862"/>
        <item x="694"/>
        <item x="0"/>
        <item x="613"/>
        <item x="456"/>
        <item x="614"/>
        <item x="628"/>
        <item x="350"/>
        <item x="957"/>
        <item x="528"/>
        <item x="267"/>
        <item x="777"/>
        <item x="547"/>
        <item x="745"/>
        <item x="77"/>
        <item x="686"/>
        <item x="998"/>
        <item x="756"/>
        <item x="823"/>
        <item x="455"/>
        <item x="901"/>
        <item x="503"/>
        <item x="892"/>
        <item x="619"/>
        <item x="632"/>
        <item x="808"/>
        <item x="670"/>
        <item x="671"/>
        <item x="90"/>
        <item x="171"/>
        <item x="12"/>
        <item x="685"/>
        <item x="280"/>
        <item x="950"/>
        <item x="481"/>
        <item x="30"/>
        <item x="137"/>
        <item x="603"/>
        <item x="53"/>
        <item x="180"/>
        <item x="498"/>
        <item x="926"/>
        <item x="109"/>
        <item x="175"/>
        <item x="942"/>
        <item x="881"/>
        <item x="984"/>
        <item x="735"/>
        <item x="450"/>
        <item x="289"/>
        <item x="543"/>
        <item x="404"/>
        <item x="906"/>
        <item x="347"/>
        <item x="72"/>
        <item x="346"/>
        <item x="25"/>
        <item x="403"/>
        <item x="819"/>
        <item x="805"/>
        <item x="21"/>
        <item x="17"/>
        <item x="728"/>
        <item x="169"/>
        <item x="462"/>
        <item x="475"/>
        <item x="856"/>
        <item x="955"/>
        <item x="785"/>
        <item x="716"/>
        <item x="915"/>
        <item x="43"/>
        <item x="419"/>
        <item x="282"/>
        <item x="67"/>
        <item x="824"/>
        <item x="981"/>
        <item x="161"/>
        <item x="75"/>
        <item x="70"/>
        <item x="303"/>
        <item x="959"/>
        <item x="396"/>
        <item x="894"/>
        <item x="264"/>
        <item x="178"/>
        <item x="322"/>
        <item x="956"/>
        <item x="493"/>
        <item x="167"/>
        <item x="874"/>
        <item x="723"/>
        <item x="374"/>
        <item x="215"/>
        <item x="567"/>
        <item x="10"/>
        <item x="230"/>
        <item x="164"/>
        <item x="29"/>
        <item x="122"/>
        <item x="726"/>
        <item x="771"/>
        <item x="382"/>
        <item x="432"/>
        <item x="574"/>
        <item x="244"/>
        <item x="738"/>
        <item x="126"/>
        <item x="653"/>
        <item x="214"/>
        <item x="76"/>
        <item x="183"/>
        <item x="703"/>
        <item x="940"/>
        <item x="384"/>
        <item x="658"/>
        <item x="302"/>
        <item x="294"/>
        <item x="891"/>
        <item x="57"/>
        <item x="917"/>
        <item x="19"/>
        <item x="242"/>
        <item x="442"/>
        <item x="689"/>
        <item x="248"/>
        <item x="643"/>
        <item x="597"/>
        <item x="752"/>
        <item x="412"/>
        <item x="740"/>
        <item x="200"/>
        <item x="148"/>
        <item x="616"/>
        <item x="491"/>
        <item x="551"/>
        <item x="47"/>
        <item x="341"/>
        <item x="357"/>
        <item x="6"/>
        <item x="971"/>
        <item x="781"/>
        <item x="132"/>
        <item x="765"/>
        <item x="13"/>
        <item x="34"/>
        <item x="715"/>
        <item x="893"/>
        <item x="644"/>
        <item x="266"/>
        <item x="257"/>
        <item x="85"/>
        <item x="571"/>
        <item x="655"/>
        <item x="618"/>
        <item x="37"/>
        <item x="561"/>
        <item x="549"/>
        <item x="960"/>
        <item x="555"/>
        <item x="636"/>
        <item x="853"/>
        <item x="87"/>
        <item x="888"/>
        <item x="710"/>
        <item x="457"/>
        <item x="330"/>
        <item x="531"/>
        <item x="127"/>
        <item x="849"/>
        <item x="399"/>
        <item x="576"/>
        <item x="919"/>
        <item x="529"/>
        <item x="607"/>
        <item x="536"/>
        <item x="826"/>
        <item x="418"/>
        <item x="673"/>
        <item x="305"/>
        <item x="512"/>
        <item x="760"/>
        <item x="604"/>
        <item x="523"/>
        <item x="234"/>
        <item x="426"/>
        <item x="437"/>
        <item x="93"/>
        <item x="222"/>
        <item x="84"/>
        <item x="678"/>
        <item x="434"/>
        <item x="578"/>
        <item x="100"/>
        <item x="111"/>
        <item x="363"/>
        <item x="577"/>
        <item x="822"/>
        <item x="141"/>
        <item x="834"/>
        <item x="944"/>
        <item x="631"/>
        <item x="73"/>
        <item x="737"/>
        <item x="912"/>
        <item x="790"/>
        <item x="422"/>
        <item x="484"/>
        <item x="343"/>
        <item x="594"/>
        <item x="839"/>
        <item x="173"/>
        <item x="197"/>
        <item x="580"/>
        <item x="337"/>
        <item x="991"/>
        <item x="630"/>
        <item x="590"/>
        <item x="186"/>
        <item x="189"/>
        <item x="579"/>
        <item x="799"/>
        <item x="276"/>
        <item x="709"/>
        <item x="16"/>
        <item x="465"/>
        <item x="663"/>
        <item x="431"/>
        <item x="2"/>
        <item x="185"/>
        <item x="705"/>
        <item x="734"/>
        <item x="722"/>
        <item x="634"/>
        <item x="379"/>
        <item x="360"/>
        <item x="250"/>
        <item x="24"/>
        <item x="925"/>
        <item x="717"/>
        <item x="144"/>
        <item x="293"/>
        <item x="649"/>
        <item x="515"/>
        <item x="526"/>
        <item x="664"/>
        <item x="748"/>
        <item x="281"/>
        <item x="463"/>
        <item x="533"/>
        <item x="290"/>
        <item x="106"/>
        <item x="995"/>
        <item x="195"/>
        <item x="405"/>
        <item x="411"/>
        <item x="530"/>
        <item x="552"/>
        <item x="177"/>
        <item x="221"/>
        <item x="48"/>
        <item x="879"/>
        <item x="298"/>
        <item x="975"/>
        <item x="62"/>
        <item x="190"/>
        <item x="660"/>
        <item x="647"/>
        <item x="15"/>
        <item x="918"/>
        <item x="954"/>
        <item x="570"/>
        <item x="287"/>
        <item x="140"/>
        <item x="449"/>
        <item x="4"/>
        <item x="9"/>
        <item x="329"/>
        <item x="807"/>
        <item x="331"/>
        <item x="446"/>
        <item x="938"/>
        <item x="932"/>
        <item x="308"/>
        <item x="958"/>
        <item x="188"/>
        <item x="924"/>
        <item x="548"/>
        <item x="582"/>
        <item x="224"/>
        <item x="702"/>
        <item x="502"/>
        <item x="659"/>
        <item x="827"/>
        <item x="784"/>
        <item x="500"/>
        <item x="146"/>
        <item x="182"/>
        <item x="602"/>
        <item x="747"/>
        <item x="368"/>
        <item x="315"/>
        <item x="712"/>
        <item x="693"/>
        <item x="829"/>
        <item x="935"/>
        <item x="792"/>
        <item x="83"/>
        <item x="560"/>
        <item x="587"/>
        <item x="538"/>
        <item x="435"/>
        <item x="933"/>
        <item x="258"/>
        <item x="521"/>
        <item x="595"/>
        <item x="198"/>
        <item x="23"/>
        <item x="381"/>
        <item x="123"/>
        <item x="999"/>
        <item x="809"/>
        <item x="344"/>
        <item x="210"/>
        <item x="477"/>
        <item x="885"/>
        <item x="115"/>
        <item x="622"/>
        <item x="268"/>
        <item x="598"/>
        <item x="110"/>
        <item x="545"/>
        <item x="89"/>
        <item x="155"/>
        <item x="206"/>
        <item x="889"/>
        <item x="600"/>
        <item x="764"/>
        <item x="900"/>
        <item x="565"/>
        <item x="951"/>
        <item x="928"/>
        <item x="413"/>
        <item x="514"/>
        <item x="837"/>
        <item x="584"/>
        <item x="39"/>
        <item x="63"/>
        <item x="385"/>
        <item x="620"/>
        <item x="608"/>
        <item x="317"/>
        <item x="770"/>
        <item x="324"/>
        <item x="232"/>
        <item x="41"/>
        <item x="120"/>
        <item x="875"/>
        <item x="629"/>
        <item x="425"/>
        <item x="540"/>
        <item x="225"/>
        <item x="163"/>
        <item x="490"/>
        <item x="104"/>
        <item x="646"/>
        <item x="909"/>
        <item x="273"/>
        <item x="963"/>
        <item x="625"/>
        <item x="228"/>
        <item x="949"/>
        <item x="672"/>
        <item x="982"/>
        <item x="245"/>
        <item x="311"/>
        <item x="44"/>
        <item x="617"/>
        <item x="610"/>
        <item x="420"/>
        <item x="304"/>
        <item x="855"/>
        <item x="226"/>
        <item x="793"/>
        <item x="513"/>
        <item x="172"/>
        <item x="389"/>
        <item x="424"/>
        <item x="736"/>
        <item x="285"/>
        <item x="585"/>
        <item x="789"/>
        <item x="355"/>
        <item x="218"/>
        <item x="81"/>
        <item x="103"/>
        <item x="681"/>
        <item x="193"/>
        <item x="277"/>
        <item x="496"/>
        <item x="848"/>
        <item x="972"/>
        <item x="166"/>
        <item x="930"/>
        <item x="156"/>
        <item x="840"/>
        <item x="507"/>
        <item x="973"/>
        <item x="769"/>
        <item x="599"/>
        <item x="60"/>
        <item x="665"/>
        <item x="844"/>
        <item x="504"/>
        <item x="309"/>
        <item x="1"/>
        <item x="333"/>
        <item x="606"/>
        <item x="208"/>
        <item x="833"/>
        <item x="842"/>
        <item x="904"/>
        <item x="861"/>
        <item x="609"/>
        <item x="751"/>
        <item x="966"/>
        <item x="128"/>
        <item x="170"/>
        <item x="467"/>
        <item x="380"/>
        <item x="160"/>
        <item x="176"/>
        <item x="886"/>
        <item x="98"/>
        <item x="255"/>
        <item x="327"/>
        <item x="812"/>
        <item x="211"/>
        <item x="427"/>
        <item x="299"/>
        <item x="486"/>
        <item x="666"/>
        <item x="495"/>
        <item x="243"/>
        <item x="147"/>
        <item x="559"/>
        <item x="113"/>
        <item x="375"/>
        <item x="700"/>
        <item x="5"/>
        <item x="479"/>
        <item x="492"/>
        <item x="31"/>
        <item x="470"/>
        <item x="56"/>
        <item x="275"/>
        <item x="356"/>
        <item x="262"/>
        <item x="739"/>
        <item x="524"/>
        <item x="897"/>
        <item x="896"/>
        <item x="624"/>
        <item x="233"/>
        <item x="838"/>
        <item x="58"/>
        <item x="269"/>
        <item x="430"/>
        <item x="731"/>
        <item x="489"/>
        <item x="843"/>
        <item x="38"/>
        <item x="637"/>
        <item x="759"/>
        <item x="763"/>
        <item x="392"/>
        <item x="64"/>
        <item x="50"/>
        <item x="730"/>
        <item x="271"/>
        <item x="94"/>
        <item x="42"/>
        <item x="969"/>
        <item x="138"/>
        <item x="454"/>
        <item x="364"/>
        <item x="732"/>
        <item x="391"/>
        <item x="239"/>
        <item x="914"/>
        <item x="952"/>
        <item x="488"/>
        <item x="71"/>
        <item x="641"/>
        <item x="247"/>
        <item x="288"/>
        <item x="365"/>
        <item x="977"/>
        <item x="338"/>
        <item x="967"/>
        <item x="863"/>
        <item x="7"/>
        <item x="74"/>
        <item x="251"/>
        <item x="669"/>
        <item x="638"/>
        <item x="846"/>
        <item x="80"/>
        <item x="390"/>
        <item x="249"/>
        <item x="873"/>
        <item x="639"/>
        <item x="497"/>
        <item x="272"/>
        <item x="931"/>
        <item x="990"/>
        <item x="887"/>
        <item x="697"/>
        <item x="253"/>
        <item x="466"/>
        <item x="319"/>
        <item x="993"/>
        <item x="968"/>
        <item x="398"/>
        <item x="441"/>
        <item x="518"/>
        <item x="782"/>
        <item x="695"/>
        <item x="714"/>
        <item x="468"/>
        <item x="754"/>
        <item x="306"/>
        <item x="383"/>
        <item x="830"/>
        <item x="159"/>
        <item x="831"/>
        <item x="59"/>
        <item x="743"/>
        <item x="558"/>
        <item x="683"/>
        <item x="814"/>
        <item x="157"/>
        <item x="980"/>
        <item x="775"/>
        <item x="612"/>
        <item x="858"/>
        <item x="929"/>
        <item x="997"/>
        <item x="236"/>
        <item x="452"/>
        <item x="397"/>
        <item x="520"/>
        <item x="478"/>
        <item x="688"/>
        <item x="55"/>
        <item x="505"/>
        <item x="794"/>
        <item x="746"/>
        <item x="719"/>
        <item x="816"/>
        <item x="471"/>
        <item x="291"/>
        <item x="501"/>
        <item x="511"/>
        <item x="890"/>
        <item x="986"/>
        <item x="676"/>
        <item x="796"/>
        <item x="313"/>
        <item x="779"/>
        <item x="95"/>
        <item x="49"/>
        <item x="508"/>
        <item x="870"/>
        <item x="45"/>
        <item x="61"/>
        <item x="359"/>
        <item x="213"/>
        <item x="650"/>
        <item x="326"/>
        <item x="674"/>
        <item x="668"/>
        <item x="947"/>
        <item x="469"/>
        <item x="168"/>
        <item x="749"/>
        <item x="976"/>
        <item x="393"/>
        <item x="876"/>
        <item x="451"/>
        <item x="801"/>
        <item x="773"/>
        <item x="79"/>
        <item x="635"/>
        <item x="662"/>
        <item x="744"/>
        <item x="69"/>
        <item x="373"/>
        <item x="795"/>
        <item x="946"/>
        <item x="366"/>
        <item x="284"/>
        <item x="589"/>
        <item x="581"/>
        <item x="433"/>
        <item x="283"/>
        <item x="943"/>
        <item x="927"/>
        <item x="105"/>
        <item x="525"/>
        <item x="135"/>
        <item x="535"/>
        <item x="857"/>
        <item x="409"/>
        <item x="407"/>
        <item x="803"/>
        <item x="541"/>
        <item x="351"/>
        <item x="923"/>
        <item x="780"/>
        <item x="86"/>
        <item x="295"/>
        <item x="246"/>
        <item x="691"/>
        <item x="841"/>
        <item x="575"/>
        <item x="318"/>
        <item x="704"/>
        <item x="447"/>
        <item x="203"/>
        <item x="107"/>
        <item x="388"/>
        <item x="675"/>
        <item x="328"/>
        <item x="274"/>
        <item x="286"/>
        <item x="591"/>
        <item x="623"/>
        <item x="750"/>
        <item x="992"/>
        <item x="296"/>
        <item x="487"/>
        <item x="869"/>
        <item x="811"/>
        <item x="139"/>
        <item x="150"/>
        <item x="910"/>
        <item x="66"/>
        <item x="444"/>
        <item x="864"/>
        <item x="987"/>
        <item x="179"/>
        <item x="566"/>
        <item x="537"/>
        <item x="229"/>
        <item x="684"/>
        <item x="428"/>
        <item x="367"/>
        <item x="429"/>
        <item x="642"/>
        <item x="802"/>
        <item x="54"/>
        <item x="201"/>
        <item x="965"/>
        <item x="989"/>
        <item x="708"/>
        <item x="905"/>
        <item x="677"/>
        <item x="240"/>
        <item x="880"/>
        <item x="878"/>
        <item x="516"/>
        <item x="256"/>
        <item x="480"/>
        <item x="985"/>
        <item x="692"/>
        <item x="443"/>
        <item x="370"/>
        <item x="339"/>
        <item x="922"/>
        <item x="265"/>
        <item x="279"/>
        <item x="729"/>
        <item x="916"/>
        <item x="820"/>
        <item x="776"/>
        <item x="615"/>
        <item x="20"/>
        <item x="978"/>
        <item x="65"/>
        <item x="583"/>
        <item x="51"/>
        <item x="920"/>
        <item x="131"/>
        <item x="142"/>
        <item x="301"/>
        <item x="406"/>
        <item x="416"/>
        <item x="133"/>
        <item x="494"/>
        <item x="27"/>
        <item x="667"/>
        <item x="485"/>
        <item x="902"/>
        <item x="26"/>
        <item x="633"/>
        <item x="68"/>
        <item x="937"/>
        <item x="517"/>
        <item x="417"/>
        <item x="362"/>
        <item x="270"/>
        <item x="652"/>
        <item x="323"/>
        <item x="899"/>
        <item x="459"/>
        <item x="627"/>
        <item x="860"/>
        <item x="699"/>
        <item x="199"/>
        <item x="787"/>
        <item x="996"/>
        <item x="334"/>
        <item x="817"/>
        <item x="99"/>
        <item x="865"/>
        <item t="default"/>
      </items>
    </pivotField>
    <pivotField dataField="1" compact="0" showAll="0">
      <items count="1000">
        <item x="473"/>
        <item x="129"/>
        <item x="573"/>
        <item x="771"/>
        <item x="102"/>
        <item x="865"/>
        <item x="314"/>
        <item x="354"/>
        <item x="118"/>
        <item x="342"/>
        <item x="153"/>
        <item x="33"/>
        <item x="510"/>
        <item x="445"/>
        <item x="187"/>
        <item x="181"/>
        <item x="741"/>
        <item x="254"/>
        <item x="401"/>
        <item x="415"/>
        <item x="387"/>
        <item x="259"/>
        <item x="506"/>
        <item x="117"/>
        <item x="787"/>
        <item x="97"/>
        <item x="252"/>
        <item x="101"/>
        <item x="165"/>
        <item x="876"/>
        <item x="592"/>
        <item x="906"/>
        <item x="121"/>
        <item x="907"/>
        <item x="596"/>
        <item x="421"/>
        <item x="134"/>
        <item x="316"/>
        <item x="464"/>
        <item x="866"/>
        <item x="849"/>
        <item x="522"/>
        <item x="812"/>
        <item x="376"/>
        <item x="773"/>
        <item x="894"/>
        <item x="785"/>
        <item x="149"/>
        <item x="648"/>
        <item x="184"/>
        <item x="562"/>
        <item x="400"/>
        <item x="563"/>
        <item x="706"/>
        <item x="654"/>
        <item x="897"/>
        <item x="690"/>
        <item x="550"/>
        <item x="883"/>
        <item x="640"/>
        <item x="22"/>
        <item x="867"/>
        <item x="661"/>
        <item x="223"/>
        <item x="680"/>
        <item x="850"/>
        <item x="11"/>
        <item x="136"/>
        <item x="436"/>
        <item x="777"/>
        <item x="593"/>
        <item x="78"/>
        <item x="752"/>
        <item x="519"/>
        <item x="238"/>
        <item x="817"/>
        <item x="348"/>
        <item x="261"/>
        <item x="114"/>
        <item x="209"/>
        <item x="902"/>
        <item x="476"/>
        <item x="174"/>
        <item x="278"/>
        <item x="799"/>
        <item x="805"/>
        <item x="766"/>
        <item x="803"/>
        <item x="539"/>
        <item x="152"/>
        <item x="453"/>
        <item x="740"/>
        <item x="834"/>
        <item x="448"/>
        <item x="978"/>
        <item x="307"/>
        <item x="119"/>
        <item x="231"/>
        <item x="227"/>
        <item x="756"/>
        <item x="260"/>
        <item x="300"/>
        <item x="656"/>
        <item x="719"/>
        <item x="835"/>
        <item x="35"/>
        <item x="853"/>
        <item x="474"/>
        <item x="858"/>
        <item x="46"/>
        <item x="761"/>
        <item x="712"/>
        <item x="263"/>
        <item x="82"/>
        <item x="458"/>
        <item x="724"/>
        <item x="378"/>
        <item x="871"/>
        <item x="394"/>
        <item x="940"/>
        <item x="414"/>
        <item x="882"/>
        <item x="534"/>
        <item x="52"/>
        <item x="732"/>
        <item x="542"/>
        <item x="944"/>
        <item x="40"/>
        <item x="353"/>
        <item x="408"/>
        <item x="130"/>
        <item x="191"/>
        <item x="461"/>
        <item x="112"/>
        <item x="621"/>
        <item x="651"/>
        <item x="235"/>
        <item x="960"/>
        <item x="760"/>
        <item x="881"/>
        <item x="809"/>
        <item x="572"/>
        <item x="588"/>
        <item x="765"/>
        <item x="204"/>
        <item x="18"/>
        <item x="844"/>
        <item x="717"/>
        <item x="336"/>
        <item x="796"/>
        <item x="320"/>
        <item x="220"/>
        <item x="568"/>
        <item x="310"/>
        <item x="952"/>
        <item x="682"/>
        <item x="377"/>
        <item x="124"/>
        <item x="546"/>
        <item x="438"/>
        <item x="557"/>
        <item x="472"/>
        <item x="349"/>
        <item x="237"/>
        <item x="556"/>
        <item x="726"/>
        <item x="973"/>
        <item x="312"/>
        <item x="32"/>
        <item x="695"/>
        <item x="158"/>
        <item x="369"/>
        <item x="947"/>
        <item x="509"/>
        <item x="910"/>
        <item x="554"/>
        <item x="679"/>
        <item x="371"/>
        <item x="96"/>
        <item x="196"/>
        <item x="386"/>
        <item x="499"/>
        <item x="532"/>
        <item x="116"/>
        <item x="710"/>
        <item x="790"/>
        <item x="194"/>
        <item x="933"/>
        <item x="92"/>
        <item x="586"/>
        <item x="212"/>
        <item x="192"/>
        <item x="969"/>
        <item x="831"/>
        <item x="687"/>
        <item x="143"/>
        <item x="352"/>
        <item x="292"/>
        <item x="402"/>
        <item x="645"/>
        <item x="961"/>
        <item x="963"/>
        <item x="483"/>
        <item x="723"/>
        <item x="827"/>
        <item x="14"/>
        <item x="720"/>
        <item x="202"/>
        <item x="982"/>
        <item x="88"/>
        <item x="814"/>
        <item x="912"/>
        <item x="460"/>
        <item x="993"/>
        <item x="700"/>
        <item x="611"/>
        <item x="553"/>
        <item x="297"/>
        <item x="162"/>
        <item x="207"/>
        <item x="626"/>
        <item x="767"/>
        <item x="335"/>
        <item x="754"/>
        <item x="870"/>
        <item x="439"/>
        <item x="938"/>
        <item x="3"/>
        <item x="219"/>
        <item x="824"/>
        <item x="151"/>
        <item x="851"/>
        <item x="757"/>
        <item x="36"/>
        <item x="440"/>
        <item x="657"/>
        <item x="920"/>
        <item x="216"/>
        <item x="241"/>
        <item x="544"/>
        <item x="205"/>
        <item x="697"/>
        <item x="569"/>
        <item x="321"/>
        <item x="797"/>
        <item x="340"/>
        <item x="935"/>
        <item x="358"/>
        <item x="782"/>
        <item x="395"/>
        <item x="423"/>
        <item x="332"/>
        <item x="325"/>
        <item x="987"/>
        <item x="91"/>
        <item x="846"/>
        <item x="345"/>
        <item x="8"/>
        <item x="108"/>
        <item x="820"/>
        <item x="527"/>
        <item x="154"/>
        <item x="601"/>
        <item x="564"/>
        <item x="482"/>
        <item x="28"/>
        <item x="605"/>
        <item x="217"/>
        <item x="410"/>
        <item x="361"/>
        <item x="705"/>
        <item x="125"/>
        <item x="145"/>
        <item x="372"/>
        <item x="861"/>
        <item x="693"/>
        <item x="0"/>
        <item x="613"/>
        <item x="456"/>
        <item x="614"/>
        <item x="628"/>
        <item x="350"/>
        <item x="956"/>
        <item x="528"/>
        <item x="267"/>
        <item x="776"/>
        <item x="547"/>
        <item x="744"/>
        <item x="77"/>
        <item x="686"/>
        <item x="997"/>
        <item x="755"/>
        <item x="822"/>
        <item x="455"/>
        <item x="900"/>
        <item x="503"/>
        <item x="891"/>
        <item x="619"/>
        <item x="632"/>
        <item x="807"/>
        <item x="670"/>
        <item x="671"/>
        <item x="90"/>
        <item x="171"/>
        <item x="12"/>
        <item x="685"/>
        <item x="280"/>
        <item x="949"/>
        <item x="481"/>
        <item x="30"/>
        <item x="137"/>
        <item x="603"/>
        <item x="53"/>
        <item x="180"/>
        <item x="498"/>
        <item x="925"/>
        <item x="109"/>
        <item x="175"/>
        <item x="941"/>
        <item x="880"/>
        <item x="983"/>
        <item x="734"/>
        <item x="450"/>
        <item x="289"/>
        <item x="543"/>
        <item x="404"/>
        <item x="905"/>
        <item x="347"/>
        <item x="72"/>
        <item x="346"/>
        <item x="25"/>
        <item x="403"/>
        <item x="818"/>
        <item x="804"/>
        <item x="21"/>
        <item x="17"/>
        <item x="727"/>
        <item x="169"/>
        <item x="462"/>
        <item x="475"/>
        <item x="855"/>
        <item x="954"/>
        <item x="784"/>
        <item x="715"/>
        <item x="914"/>
        <item x="43"/>
        <item x="419"/>
        <item x="282"/>
        <item x="67"/>
        <item x="823"/>
        <item x="980"/>
        <item x="161"/>
        <item x="75"/>
        <item x="70"/>
        <item x="303"/>
        <item x="958"/>
        <item x="396"/>
        <item x="893"/>
        <item x="264"/>
        <item x="178"/>
        <item x="322"/>
        <item x="955"/>
        <item x="493"/>
        <item x="167"/>
        <item x="873"/>
        <item x="722"/>
        <item x="374"/>
        <item x="215"/>
        <item x="567"/>
        <item x="10"/>
        <item x="230"/>
        <item x="164"/>
        <item x="29"/>
        <item x="122"/>
        <item x="725"/>
        <item x="770"/>
        <item x="382"/>
        <item x="432"/>
        <item x="574"/>
        <item x="244"/>
        <item x="737"/>
        <item x="126"/>
        <item x="653"/>
        <item x="214"/>
        <item x="76"/>
        <item x="183"/>
        <item x="702"/>
        <item x="939"/>
        <item x="384"/>
        <item x="658"/>
        <item x="302"/>
        <item x="294"/>
        <item x="890"/>
        <item x="57"/>
        <item x="916"/>
        <item x="19"/>
        <item x="242"/>
        <item x="442"/>
        <item x="689"/>
        <item x="248"/>
        <item x="643"/>
        <item x="597"/>
        <item x="751"/>
        <item x="412"/>
        <item x="739"/>
        <item x="200"/>
        <item x="148"/>
        <item x="616"/>
        <item x="491"/>
        <item x="551"/>
        <item x="47"/>
        <item x="341"/>
        <item x="357"/>
        <item x="6"/>
        <item x="970"/>
        <item x="780"/>
        <item x="132"/>
        <item x="764"/>
        <item x="13"/>
        <item x="34"/>
        <item x="714"/>
        <item x="892"/>
        <item x="644"/>
        <item x="266"/>
        <item x="257"/>
        <item x="85"/>
        <item x="571"/>
        <item x="655"/>
        <item x="618"/>
        <item x="37"/>
        <item x="561"/>
        <item x="549"/>
        <item x="959"/>
        <item x="555"/>
        <item x="636"/>
        <item x="852"/>
        <item x="87"/>
        <item x="887"/>
        <item x="709"/>
        <item x="457"/>
        <item x="330"/>
        <item x="531"/>
        <item x="127"/>
        <item x="848"/>
        <item x="399"/>
        <item x="576"/>
        <item x="918"/>
        <item x="529"/>
        <item x="607"/>
        <item x="536"/>
        <item x="825"/>
        <item x="418"/>
        <item x="673"/>
        <item x="305"/>
        <item x="512"/>
        <item x="759"/>
        <item x="604"/>
        <item x="523"/>
        <item x="234"/>
        <item x="426"/>
        <item x="437"/>
        <item x="93"/>
        <item x="222"/>
        <item x="84"/>
        <item x="678"/>
        <item x="434"/>
        <item x="578"/>
        <item x="100"/>
        <item x="111"/>
        <item x="363"/>
        <item x="577"/>
        <item x="821"/>
        <item x="141"/>
        <item x="833"/>
        <item x="943"/>
        <item x="631"/>
        <item x="73"/>
        <item x="736"/>
        <item x="911"/>
        <item x="789"/>
        <item x="422"/>
        <item x="484"/>
        <item x="343"/>
        <item x="594"/>
        <item x="838"/>
        <item x="173"/>
        <item x="197"/>
        <item x="580"/>
        <item x="337"/>
        <item x="990"/>
        <item x="630"/>
        <item x="590"/>
        <item x="186"/>
        <item x="189"/>
        <item x="579"/>
        <item x="798"/>
        <item x="276"/>
        <item x="708"/>
        <item x="16"/>
        <item x="465"/>
        <item x="663"/>
        <item x="431"/>
        <item x="2"/>
        <item x="185"/>
        <item x="704"/>
        <item x="733"/>
        <item x="721"/>
        <item x="634"/>
        <item x="379"/>
        <item x="360"/>
        <item x="250"/>
        <item x="24"/>
        <item x="924"/>
        <item x="716"/>
        <item x="144"/>
        <item x="293"/>
        <item x="649"/>
        <item x="515"/>
        <item x="526"/>
        <item x="664"/>
        <item x="747"/>
        <item x="281"/>
        <item x="463"/>
        <item x="533"/>
        <item x="290"/>
        <item x="106"/>
        <item x="994"/>
        <item x="195"/>
        <item x="405"/>
        <item x="411"/>
        <item x="530"/>
        <item x="552"/>
        <item x="177"/>
        <item x="221"/>
        <item x="48"/>
        <item x="878"/>
        <item x="298"/>
        <item x="974"/>
        <item x="62"/>
        <item x="190"/>
        <item x="660"/>
        <item x="647"/>
        <item x="15"/>
        <item x="917"/>
        <item x="953"/>
        <item x="570"/>
        <item x="287"/>
        <item x="140"/>
        <item x="449"/>
        <item x="4"/>
        <item x="9"/>
        <item x="329"/>
        <item x="806"/>
        <item x="331"/>
        <item x="446"/>
        <item x="937"/>
        <item x="931"/>
        <item x="308"/>
        <item x="957"/>
        <item x="188"/>
        <item x="923"/>
        <item x="548"/>
        <item x="582"/>
        <item x="224"/>
        <item x="701"/>
        <item x="502"/>
        <item x="659"/>
        <item x="826"/>
        <item x="783"/>
        <item x="500"/>
        <item x="146"/>
        <item x="182"/>
        <item x="602"/>
        <item x="746"/>
        <item x="368"/>
        <item x="315"/>
        <item x="711"/>
        <item x="692"/>
        <item x="828"/>
        <item x="934"/>
        <item x="791"/>
        <item x="83"/>
        <item x="560"/>
        <item x="587"/>
        <item x="538"/>
        <item x="435"/>
        <item x="932"/>
        <item x="258"/>
        <item x="521"/>
        <item x="595"/>
        <item x="198"/>
        <item x="23"/>
        <item x="381"/>
        <item x="123"/>
        <item x="998"/>
        <item x="808"/>
        <item x="344"/>
        <item x="210"/>
        <item x="477"/>
        <item x="884"/>
        <item x="115"/>
        <item x="622"/>
        <item x="268"/>
        <item x="598"/>
        <item x="110"/>
        <item x="545"/>
        <item x="89"/>
        <item x="155"/>
        <item x="206"/>
        <item x="888"/>
        <item x="600"/>
        <item x="763"/>
        <item x="899"/>
        <item x="565"/>
        <item x="950"/>
        <item x="927"/>
        <item x="413"/>
        <item x="514"/>
        <item x="836"/>
        <item x="584"/>
        <item x="39"/>
        <item x="63"/>
        <item x="385"/>
        <item x="620"/>
        <item x="608"/>
        <item x="317"/>
        <item x="769"/>
        <item x="324"/>
        <item x="232"/>
        <item x="41"/>
        <item x="120"/>
        <item x="874"/>
        <item x="629"/>
        <item x="425"/>
        <item x="540"/>
        <item x="225"/>
        <item x="163"/>
        <item x="490"/>
        <item x="104"/>
        <item x="646"/>
        <item x="908"/>
        <item x="273"/>
        <item x="962"/>
        <item x="625"/>
        <item x="228"/>
        <item x="948"/>
        <item x="672"/>
        <item x="981"/>
        <item x="245"/>
        <item x="311"/>
        <item x="44"/>
        <item x="617"/>
        <item x="610"/>
        <item x="420"/>
        <item x="304"/>
        <item x="854"/>
        <item x="226"/>
        <item x="792"/>
        <item x="513"/>
        <item x="172"/>
        <item x="389"/>
        <item x="424"/>
        <item x="735"/>
        <item x="285"/>
        <item x="585"/>
        <item x="788"/>
        <item x="355"/>
        <item x="218"/>
        <item x="81"/>
        <item x="103"/>
        <item x="681"/>
        <item x="193"/>
        <item x="277"/>
        <item x="496"/>
        <item x="847"/>
        <item x="971"/>
        <item x="166"/>
        <item x="929"/>
        <item x="156"/>
        <item x="839"/>
        <item x="507"/>
        <item x="972"/>
        <item x="768"/>
        <item x="599"/>
        <item x="60"/>
        <item x="665"/>
        <item x="843"/>
        <item x="504"/>
        <item x="309"/>
        <item x="1"/>
        <item x="333"/>
        <item x="606"/>
        <item x="208"/>
        <item x="832"/>
        <item x="841"/>
        <item x="903"/>
        <item x="860"/>
        <item x="609"/>
        <item x="750"/>
        <item x="965"/>
        <item x="128"/>
        <item x="170"/>
        <item x="467"/>
        <item x="380"/>
        <item x="160"/>
        <item x="176"/>
        <item x="885"/>
        <item x="98"/>
        <item x="255"/>
        <item x="327"/>
        <item x="811"/>
        <item x="211"/>
        <item x="427"/>
        <item x="299"/>
        <item x="486"/>
        <item x="666"/>
        <item x="495"/>
        <item x="243"/>
        <item x="147"/>
        <item x="559"/>
        <item x="113"/>
        <item x="375"/>
        <item x="699"/>
        <item x="5"/>
        <item x="479"/>
        <item x="492"/>
        <item x="31"/>
        <item x="470"/>
        <item x="56"/>
        <item x="275"/>
        <item x="356"/>
        <item x="262"/>
        <item x="738"/>
        <item x="524"/>
        <item x="896"/>
        <item x="895"/>
        <item x="624"/>
        <item x="233"/>
        <item x="837"/>
        <item x="58"/>
        <item x="269"/>
        <item x="430"/>
        <item x="730"/>
        <item x="489"/>
        <item x="842"/>
        <item x="38"/>
        <item x="637"/>
        <item x="758"/>
        <item x="762"/>
        <item x="392"/>
        <item x="64"/>
        <item x="50"/>
        <item x="729"/>
        <item x="271"/>
        <item x="94"/>
        <item x="42"/>
        <item x="968"/>
        <item x="138"/>
        <item x="454"/>
        <item x="364"/>
        <item x="731"/>
        <item x="391"/>
        <item x="239"/>
        <item x="913"/>
        <item x="951"/>
        <item x="488"/>
        <item x="71"/>
        <item x="641"/>
        <item x="247"/>
        <item x="288"/>
        <item x="365"/>
        <item x="976"/>
        <item x="338"/>
        <item x="966"/>
        <item x="862"/>
        <item x="7"/>
        <item x="74"/>
        <item x="251"/>
        <item x="669"/>
        <item x="638"/>
        <item x="845"/>
        <item x="80"/>
        <item x="390"/>
        <item x="249"/>
        <item x="872"/>
        <item x="639"/>
        <item x="497"/>
        <item x="272"/>
        <item x="930"/>
        <item x="989"/>
        <item x="886"/>
        <item x="696"/>
        <item x="253"/>
        <item x="466"/>
        <item x="319"/>
        <item x="992"/>
        <item x="967"/>
        <item x="398"/>
        <item x="441"/>
        <item x="518"/>
        <item x="781"/>
        <item x="694"/>
        <item x="713"/>
        <item x="468"/>
        <item x="753"/>
        <item x="306"/>
        <item x="383"/>
        <item x="829"/>
        <item x="159"/>
        <item x="830"/>
        <item x="59"/>
        <item x="742"/>
        <item x="558"/>
        <item x="683"/>
        <item x="813"/>
        <item x="157"/>
        <item x="979"/>
        <item x="774"/>
        <item x="612"/>
        <item x="857"/>
        <item x="928"/>
        <item x="996"/>
        <item x="236"/>
        <item x="452"/>
        <item x="397"/>
        <item x="520"/>
        <item x="478"/>
        <item x="688"/>
        <item x="55"/>
        <item x="505"/>
        <item x="793"/>
        <item x="745"/>
        <item x="718"/>
        <item x="815"/>
        <item x="471"/>
        <item x="291"/>
        <item x="501"/>
        <item x="511"/>
        <item x="889"/>
        <item x="985"/>
        <item x="676"/>
        <item x="795"/>
        <item x="313"/>
        <item x="778"/>
        <item x="95"/>
        <item x="49"/>
        <item x="508"/>
        <item x="869"/>
        <item x="45"/>
        <item x="61"/>
        <item x="359"/>
        <item x="213"/>
        <item x="650"/>
        <item x="326"/>
        <item x="674"/>
        <item x="668"/>
        <item x="946"/>
        <item x="469"/>
        <item x="168"/>
        <item x="748"/>
        <item x="975"/>
        <item x="393"/>
        <item x="875"/>
        <item x="451"/>
        <item x="800"/>
        <item x="772"/>
        <item x="79"/>
        <item x="635"/>
        <item x="662"/>
        <item x="743"/>
        <item x="69"/>
        <item x="373"/>
        <item x="794"/>
        <item x="945"/>
        <item x="366"/>
        <item x="284"/>
        <item x="589"/>
        <item x="581"/>
        <item x="433"/>
        <item x="283"/>
        <item x="942"/>
        <item x="926"/>
        <item x="105"/>
        <item x="525"/>
        <item x="135"/>
        <item x="535"/>
        <item x="856"/>
        <item x="409"/>
        <item x="407"/>
        <item x="802"/>
        <item x="541"/>
        <item x="351"/>
        <item x="922"/>
        <item x="779"/>
        <item x="86"/>
        <item x="295"/>
        <item x="246"/>
        <item x="691"/>
        <item x="840"/>
        <item x="575"/>
        <item x="318"/>
        <item x="703"/>
        <item x="447"/>
        <item x="203"/>
        <item x="107"/>
        <item x="388"/>
        <item x="675"/>
        <item x="328"/>
        <item x="274"/>
        <item x="286"/>
        <item x="591"/>
        <item x="623"/>
        <item x="749"/>
        <item x="991"/>
        <item x="296"/>
        <item x="487"/>
        <item x="868"/>
        <item x="810"/>
        <item x="139"/>
        <item x="150"/>
        <item x="909"/>
        <item x="66"/>
        <item x="444"/>
        <item x="863"/>
        <item x="986"/>
        <item x="179"/>
        <item x="566"/>
        <item x="537"/>
        <item x="229"/>
        <item x="684"/>
        <item x="428"/>
        <item x="367"/>
        <item x="429"/>
        <item x="642"/>
        <item x="801"/>
        <item x="54"/>
        <item x="201"/>
        <item x="964"/>
        <item x="988"/>
        <item x="707"/>
        <item x="904"/>
        <item x="677"/>
        <item x="240"/>
        <item x="879"/>
        <item x="877"/>
        <item x="516"/>
        <item x="256"/>
        <item x="480"/>
        <item x="984"/>
        <item x="443"/>
        <item x="370"/>
        <item x="339"/>
        <item x="921"/>
        <item x="265"/>
        <item x="279"/>
        <item x="728"/>
        <item x="915"/>
        <item x="819"/>
        <item x="775"/>
        <item x="615"/>
        <item x="20"/>
        <item x="977"/>
        <item x="65"/>
        <item x="583"/>
        <item x="51"/>
        <item x="919"/>
        <item x="131"/>
        <item x="142"/>
        <item x="301"/>
        <item x="406"/>
        <item x="416"/>
        <item x="133"/>
        <item x="494"/>
        <item x="27"/>
        <item x="667"/>
        <item x="485"/>
        <item x="901"/>
        <item x="26"/>
        <item x="633"/>
        <item x="68"/>
        <item x="936"/>
        <item x="517"/>
        <item x="417"/>
        <item x="362"/>
        <item x="270"/>
        <item x="652"/>
        <item x="323"/>
        <item x="898"/>
        <item x="459"/>
        <item x="627"/>
        <item x="859"/>
        <item x="698"/>
        <item x="199"/>
        <item x="786"/>
        <item x="995"/>
        <item x="334"/>
        <item x="816"/>
        <item x="99"/>
        <item x="86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</pivotFields>
  <rowFields count="1">
    <field x="9"/>
  </rowFields>
  <rowItems count="13">
    <i>
      <x v="1"/>
    </i>
    <i>
      <x v="2"/>
    </i>
    <i>
      <x v="4"/>
    </i>
    <i>
      <x v="9"/>
    </i>
    <i>
      <x v="8"/>
    </i>
    <i>
      <x v="3"/>
    </i>
    <i>
      <x v="12"/>
    </i>
    <i>
      <x v="7"/>
    </i>
    <i>
      <x v="6"/>
    </i>
    <i>
      <x v="5"/>
    </i>
    <i>
      <x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s." fld="14" baseField="0" baseItem="0"/>
    <dataField name="Profit." fld="16" baseField="0" baseItem="0"/>
    <dataField name="Order " fld="0" subtotal="count" baseField="0" baseItem="0"/>
  </dataFields>
  <formats count="12">
    <format dxfId="79">
      <pivotArea collapsedLevelsAreSubtotals="1" fieldPosition="0"/>
    </format>
    <format dxfId="80">
      <pivotArea collapsedLevelsAreSubtotals="1" fieldPosition="0"/>
    </format>
    <format dxfId="81">
      <pivotArea collapsedLevelsAreSubtotals="1" fieldPosition="0"/>
    </format>
    <format dxfId="82">
      <pivotArea collapsedLevelsAreSubtotals="1" fieldPosition="0"/>
    </format>
    <format dxfId="83">
      <pivotArea collapsedLevelsAreSubtotals="1" fieldPosition="0"/>
    </format>
    <format dxfId="84">
      <pivotArea collapsedLevelsAreSubtotals="1" fieldPosition="0"/>
    </format>
    <format dxfId="85">
      <pivotArea collapsedLevelsAreSubtotals="1" fieldPosition="0"/>
    </format>
    <format dxfId="86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8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88">
      <pivotArea type="all" dataOnly="0" outline="0" fieldPosition="0"/>
    </format>
    <format dxfId="89">
      <pivotArea type="all" dataOnly="0" outline="0" fieldPosition="0"/>
    </format>
    <format dxfId="90">
      <pivotArea type="all" dataOnly="0" outline="0" fieldPosition="0"/>
    </format>
  </formats>
  <pivotTableStyleInfo name="PivotStyleLight16" showRowHeaders="1" showColHeaders="1" showLastColumn="1"/>
  <filters count="1">
    <filter evalOrder="-1" fld="-1" id="0" type="">
      <autoFilter ref="A1">
        <filterColumn colId="0">
          <customFilters>
            <customFilter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Q22:T35" firstHeaderRow="0" firstDataRow="1" firstDataCol="1"/>
  <pivotFields count="18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3" showAll="0">
      <items count="870">
        <item x="431"/>
        <item x="128"/>
        <item x="102"/>
        <item x="758"/>
        <item x="298"/>
        <item x="178"/>
        <item x="248"/>
        <item x="120"/>
        <item x="532"/>
        <item x="389"/>
        <item x="133"/>
        <item x="759"/>
        <item x="498"/>
        <item x="22"/>
        <item x="11"/>
        <item x="78"/>
        <item x="229"/>
        <item x="113"/>
        <item x="203"/>
        <item x="787"/>
        <item x="171"/>
        <item x="490"/>
        <item x="149"/>
        <item x="411"/>
        <item x="292"/>
        <item x="52"/>
        <item x="493"/>
        <item x="40"/>
        <item x="377"/>
        <item x="129"/>
        <item x="111"/>
        <item x="676"/>
        <item x="514"/>
        <item x="198"/>
        <item x="18"/>
        <item x="317"/>
        <item x="213"/>
        <item x="295"/>
        <item x="123"/>
        <item x="326"/>
        <item x="228"/>
        <item x="647"/>
        <item x="32"/>
        <item x="155"/>
        <item x="465"/>
        <item x="793"/>
        <item x="96"/>
        <item x="115"/>
        <item x="189"/>
        <item x="92"/>
        <item x="159"/>
        <item x="201"/>
        <item x="316"/>
        <item x="671"/>
        <item x="403"/>
        <item x="3"/>
        <item x="36"/>
        <item x="210"/>
        <item x="199"/>
        <item x="303"/>
        <item x="334"/>
        <item x="366"/>
        <item x="307"/>
        <item x="858"/>
        <item x="91"/>
        <item x="8"/>
        <item x="151"/>
        <item x="172"/>
        <item x="654"/>
        <item x="413"/>
        <item x="275"/>
        <item x="790"/>
        <item x="72"/>
        <item x="325"/>
        <item x="25"/>
        <item x="373"/>
        <item x="318"/>
        <item x="563"/>
        <item x="528"/>
        <item x="183"/>
        <item x="16"/>
        <item x="2"/>
        <item x="245"/>
        <item x="437"/>
        <item x="855"/>
        <item x="330"/>
        <item x="117"/>
        <item x="322"/>
        <item x="150"/>
        <item x="33"/>
        <item x="466"/>
        <item x="408"/>
        <item x="184"/>
        <item x="462"/>
        <item x="116"/>
        <item x="697"/>
        <item x="97"/>
        <item x="242"/>
        <item x="101"/>
        <item x="162"/>
        <item x="744"/>
        <item x="476"/>
        <item x="714"/>
        <item x="350"/>
        <item x="685"/>
        <item x="779"/>
        <item x="695"/>
        <item x="147"/>
        <item x="580"/>
        <item x="181"/>
        <item x="506"/>
        <item x="371"/>
        <item x="507"/>
        <item x="630"/>
        <item x="585"/>
        <item x="782"/>
        <item x="615"/>
        <item x="118"/>
        <item x="223"/>
        <item x="219"/>
        <item x="673"/>
        <item x="249"/>
        <item x="285"/>
        <item x="587"/>
        <item x="640"/>
        <item x="732"/>
        <item x="35"/>
        <item x="746"/>
        <item x="432"/>
        <item x="751"/>
        <item x="46"/>
        <item x="677"/>
        <item x="634"/>
        <item x="251"/>
        <item x="82"/>
        <item x="420"/>
        <item x="645"/>
        <item x="351"/>
        <item x="762"/>
        <item x="365"/>
        <item x="819"/>
        <item x="383"/>
        <item x="768"/>
        <item x="206"/>
        <item x="187"/>
        <item x="843"/>
        <item x="729"/>
        <item x="612"/>
        <item x="141"/>
        <item x="329"/>
        <item x="278"/>
        <item x="372"/>
        <item x="577"/>
        <item x="835"/>
        <item x="837"/>
        <item x="440"/>
        <item x="644"/>
        <item x="725"/>
        <item x="14"/>
        <item x="641"/>
        <item x="196"/>
        <item x="854"/>
        <item x="88"/>
        <item x="716"/>
        <item x="795"/>
        <item x="422"/>
        <item x="863"/>
        <item x="624"/>
        <item x="546"/>
        <item x="508"/>
        <item x="439"/>
        <item x="28"/>
        <item x="540"/>
        <item x="211"/>
        <item x="379"/>
        <item x="337"/>
        <item x="629"/>
        <item x="124"/>
        <item x="143"/>
        <item x="346"/>
        <item x="754"/>
        <item x="619"/>
        <item x="0"/>
        <item x="548"/>
        <item x="418"/>
        <item x="549"/>
        <item x="561"/>
        <item x="327"/>
        <item x="831"/>
        <item x="481"/>
        <item x="255"/>
        <item x="688"/>
        <item x="495"/>
        <item x="662"/>
        <item x="77"/>
        <item x="611"/>
        <item x="867"/>
        <item x="672"/>
        <item x="721"/>
        <item x="417"/>
        <item x="785"/>
        <item x="459"/>
        <item x="776"/>
        <item x="554"/>
        <item x="565"/>
        <item x="710"/>
        <item x="598"/>
        <item x="599"/>
        <item x="90"/>
        <item x="168"/>
        <item x="12"/>
        <item x="610"/>
        <item x="266"/>
        <item x="825"/>
        <item x="438"/>
        <item x="30"/>
        <item x="135"/>
        <item x="538"/>
        <item x="53"/>
        <item x="177"/>
        <item x="455"/>
        <item x="807"/>
        <item x="108"/>
        <item x="708"/>
        <item x="21"/>
        <item x="17"/>
        <item x="648"/>
        <item x="166"/>
        <item x="423"/>
        <item x="433"/>
        <item x="748"/>
        <item x="829"/>
        <item x="694"/>
        <item x="637"/>
        <item x="797"/>
        <item x="43"/>
        <item x="387"/>
        <item x="268"/>
        <item x="67"/>
        <item x="722"/>
        <item x="852"/>
        <item x="158"/>
        <item x="75"/>
        <item x="70"/>
        <item x="288"/>
        <item x="833"/>
        <item x="367"/>
        <item x="778"/>
        <item x="252"/>
        <item x="175"/>
        <item x="304"/>
        <item x="830"/>
        <item x="450"/>
        <item x="164"/>
        <item x="764"/>
        <item x="643"/>
        <item x="348"/>
        <item x="209"/>
        <item x="511"/>
        <item x="10"/>
        <item x="222"/>
        <item x="161"/>
        <item x="29"/>
        <item x="121"/>
        <item x="646"/>
        <item x="683"/>
        <item x="355"/>
        <item x="398"/>
        <item x="515"/>
        <item x="234"/>
        <item x="657"/>
        <item x="125"/>
        <item x="584"/>
        <item x="208"/>
        <item x="76"/>
        <item x="180"/>
        <item x="626"/>
        <item x="818"/>
        <item x="357"/>
        <item x="588"/>
        <item x="287"/>
        <item x="280"/>
        <item x="775"/>
        <item x="57"/>
        <item x="799"/>
        <item x="19"/>
        <item x="232"/>
        <item x="405"/>
        <item x="614"/>
        <item x="238"/>
        <item x="575"/>
        <item x="533"/>
        <item x="669"/>
        <item x="381"/>
        <item x="659"/>
        <item x="194"/>
        <item x="146"/>
        <item x="551"/>
        <item x="448"/>
        <item x="499"/>
        <item x="47"/>
        <item x="321"/>
        <item x="333"/>
        <item x="6"/>
        <item x="844"/>
        <item x="691"/>
        <item x="131"/>
        <item x="680"/>
        <item x="13"/>
        <item x="34"/>
        <item x="636"/>
        <item x="777"/>
        <item x="576"/>
        <item x="254"/>
        <item x="246"/>
        <item x="85"/>
        <item x="513"/>
        <item x="586"/>
        <item x="553"/>
        <item x="37"/>
        <item x="505"/>
        <item x="497"/>
        <item x="834"/>
        <item x="501"/>
        <item x="569"/>
        <item x="745"/>
        <item x="87"/>
        <item x="772"/>
        <item x="632"/>
        <item x="419"/>
        <item x="312"/>
        <item x="484"/>
        <item x="126"/>
        <item x="743"/>
        <item x="370"/>
        <item x="517"/>
        <item x="801"/>
        <item x="482"/>
        <item x="542"/>
        <item x="487"/>
        <item x="723"/>
        <item x="386"/>
        <item x="601"/>
        <item x="290"/>
        <item x="468"/>
        <item x="675"/>
        <item x="539"/>
        <item x="477"/>
        <item x="226"/>
        <item x="393"/>
        <item x="402"/>
        <item x="93"/>
        <item x="215"/>
        <item x="84"/>
        <item x="606"/>
        <item x="400"/>
        <item x="519"/>
        <item x="100"/>
        <item x="110"/>
        <item x="339"/>
        <item x="518"/>
        <item x="720"/>
        <item x="139"/>
        <item x="731"/>
        <item x="821"/>
        <item x="564"/>
        <item x="73"/>
        <item x="656"/>
        <item x="794"/>
        <item x="699"/>
        <item x="390"/>
        <item x="441"/>
        <item x="323"/>
        <item x="530"/>
        <item x="735"/>
        <item x="170"/>
        <item x="191"/>
        <item x="520"/>
        <item x="182"/>
        <item x="628"/>
        <item x="653"/>
        <item x="642"/>
        <item x="567"/>
        <item x="352"/>
        <item x="336"/>
        <item x="240"/>
        <item x="24"/>
        <item x="806"/>
        <item x="638"/>
        <item x="142"/>
        <item x="279"/>
        <item x="581"/>
        <item x="471"/>
        <item x="480"/>
        <item x="592"/>
        <item x="665"/>
        <item x="267"/>
        <item x="424"/>
        <item x="485"/>
        <item x="276"/>
        <item x="106"/>
        <item x="864"/>
        <item x="190"/>
        <item x="374"/>
        <item x="380"/>
        <item x="483"/>
        <item x="500"/>
        <item x="174"/>
        <item x="214"/>
        <item x="48"/>
        <item x="767"/>
        <item x="283"/>
        <item x="847"/>
        <item x="62"/>
        <item x="186"/>
        <item x="590"/>
        <item x="579"/>
        <item x="15"/>
        <item x="800"/>
        <item x="828"/>
        <item x="512"/>
        <item x="273"/>
        <item x="138"/>
        <item x="412"/>
        <item x="4"/>
        <item x="9"/>
        <item x="311"/>
        <item x="709"/>
        <item x="313"/>
        <item x="409"/>
        <item x="817"/>
        <item x="813"/>
        <item x="293"/>
        <item x="832"/>
        <item x="185"/>
        <item x="805"/>
        <item x="496"/>
        <item x="522"/>
        <item x="216"/>
        <item x="625"/>
        <item x="458"/>
        <item x="589"/>
        <item x="724"/>
        <item x="693"/>
        <item x="456"/>
        <item x="144"/>
        <item x="179"/>
        <item x="537"/>
        <item x="664"/>
        <item x="344"/>
        <item x="299"/>
        <item x="633"/>
        <item x="618"/>
        <item x="726"/>
        <item x="815"/>
        <item x="700"/>
        <item x="83"/>
        <item x="504"/>
        <item x="526"/>
        <item x="489"/>
        <item x="401"/>
        <item x="814"/>
        <item x="247"/>
        <item x="475"/>
        <item x="531"/>
        <item x="192"/>
        <item x="23"/>
        <item x="354"/>
        <item x="122"/>
        <item x="868"/>
        <item x="711"/>
        <item x="324"/>
        <item x="204"/>
        <item x="434"/>
        <item x="769"/>
        <item x="114"/>
        <item x="556"/>
        <item x="256"/>
        <item x="534"/>
        <item x="109"/>
        <item x="494"/>
        <item x="89"/>
        <item x="152"/>
        <item x="200"/>
        <item x="773"/>
        <item x="536"/>
        <item x="679"/>
        <item x="784"/>
        <item x="509"/>
        <item x="826"/>
        <item x="809"/>
        <item x="382"/>
        <item x="470"/>
        <item x="733"/>
        <item x="524"/>
        <item x="39"/>
        <item x="63"/>
        <item x="358"/>
        <item x="555"/>
        <item x="543"/>
        <item x="300"/>
        <item x="682"/>
        <item x="306"/>
        <item x="224"/>
        <item x="41"/>
        <item x="119"/>
        <item x="765"/>
        <item x="562"/>
        <item x="392"/>
        <item x="491"/>
        <item x="217"/>
        <item x="160"/>
        <item x="447"/>
        <item x="104"/>
        <item x="578"/>
        <item x="791"/>
        <item x="261"/>
        <item x="836"/>
        <item x="559"/>
        <item x="220"/>
        <item x="824"/>
        <item x="600"/>
        <item x="853"/>
        <item x="235"/>
        <item x="296"/>
        <item x="44"/>
        <item x="552"/>
        <item x="545"/>
        <item x="388"/>
        <item x="289"/>
        <item x="747"/>
        <item x="218"/>
        <item x="701"/>
        <item x="469"/>
        <item x="169"/>
        <item x="360"/>
        <item x="391"/>
        <item x="655"/>
        <item x="271"/>
        <item x="525"/>
        <item x="698"/>
        <item x="331"/>
        <item x="212"/>
        <item x="81"/>
        <item x="103"/>
        <item x="607"/>
        <item x="188"/>
        <item x="264"/>
        <item x="453"/>
        <item x="742"/>
        <item x="845"/>
        <item x="163"/>
        <item x="811"/>
        <item x="153"/>
        <item x="736"/>
        <item x="463"/>
        <item x="846"/>
        <item x="681"/>
        <item x="535"/>
        <item x="60"/>
        <item x="593"/>
        <item x="740"/>
        <item x="460"/>
        <item x="294"/>
        <item x="1"/>
        <item x="314"/>
        <item x="541"/>
        <item x="202"/>
        <item x="730"/>
        <item x="738"/>
        <item x="788"/>
        <item x="753"/>
        <item x="544"/>
        <item x="668"/>
        <item x="839"/>
        <item x="127"/>
        <item x="167"/>
        <item x="426"/>
        <item x="353"/>
        <item x="157"/>
        <item x="173"/>
        <item x="770"/>
        <item x="98"/>
        <item x="244"/>
        <item x="309"/>
        <item x="713"/>
        <item x="205"/>
        <item x="394"/>
        <item x="284"/>
        <item x="443"/>
        <item x="594"/>
        <item x="452"/>
        <item x="233"/>
        <item x="145"/>
        <item x="503"/>
        <item x="112"/>
        <item x="349"/>
        <item x="623"/>
        <item x="5"/>
        <item x="436"/>
        <item x="449"/>
        <item x="31"/>
        <item x="429"/>
        <item x="56"/>
        <item x="263"/>
        <item x="332"/>
        <item x="250"/>
        <item x="658"/>
        <item x="478"/>
        <item x="781"/>
        <item x="780"/>
        <item x="558"/>
        <item x="225"/>
        <item x="734"/>
        <item x="58"/>
        <item x="257"/>
        <item x="397"/>
        <item x="651"/>
        <item x="446"/>
        <item x="739"/>
        <item x="38"/>
        <item x="570"/>
        <item x="674"/>
        <item x="678"/>
        <item x="363"/>
        <item x="64"/>
        <item x="50"/>
        <item x="650"/>
        <item x="259"/>
        <item x="94"/>
        <item x="42"/>
        <item x="842"/>
        <item x="136"/>
        <item x="416"/>
        <item x="340"/>
        <item x="652"/>
        <item x="362"/>
        <item x="230"/>
        <item x="796"/>
        <item x="827"/>
        <item x="445"/>
        <item x="71"/>
        <item x="573"/>
        <item x="237"/>
        <item x="274"/>
        <item x="341"/>
        <item x="849"/>
        <item x="319"/>
        <item x="840"/>
        <item x="755"/>
        <item x="7"/>
        <item x="74"/>
        <item x="241"/>
        <item x="597"/>
        <item x="571"/>
        <item x="741"/>
        <item x="80"/>
        <item x="361"/>
        <item x="239"/>
        <item x="763"/>
        <item x="572"/>
        <item x="454"/>
        <item x="260"/>
        <item x="812"/>
        <item x="860"/>
        <item x="771"/>
        <item x="621"/>
        <item x="243"/>
        <item x="425"/>
        <item x="302"/>
        <item x="862"/>
        <item x="841"/>
        <item x="369"/>
        <item x="404"/>
        <item x="473"/>
        <item x="692"/>
        <item x="620"/>
        <item x="635"/>
        <item x="427"/>
        <item x="670"/>
        <item x="291"/>
        <item x="356"/>
        <item x="727"/>
        <item x="156"/>
        <item x="728"/>
        <item x="59"/>
        <item x="660"/>
        <item x="502"/>
        <item x="608"/>
        <item x="715"/>
        <item x="154"/>
        <item x="851"/>
        <item x="686"/>
        <item x="547"/>
        <item x="750"/>
        <item x="810"/>
        <item x="866"/>
        <item x="227"/>
        <item x="415"/>
        <item x="368"/>
        <item x="474"/>
        <item x="435"/>
        <item x="613"/>
        <item x="55"/>
        <item x="461"/>
        <item x="702"/>
        <item x="663"/>
        <item x="639"/>
        <item x="717"/>
        <item x="430"/>
        <item x="277"/>
        <item x="457"/>
        <item x="467"/>
        <item x="774"/>
        <item x="856"/>
        <item x="604"/>
        <item x="704"/>
        <item x="297"/>
        <item x="689"/>
        <item x="95"/>
        <item x="49"/>
        <item x="464"/>
        <item x="761"/>
        <item x="45"/>
        <item x="61"/>
        <item x="335"/>
        <item x="207"/>
        <item x="582"/>
        <item x="308"/>
        <item x="602"/>
        <item x="596"/>
        <item x="823"/>
        <item x="428"/>
        <item x="165"/>
        <item x="666"/>
        <item x="848"/>
        <item x="364"/>
        <item x="766"/>
        <item x="414"/>
        <item x="705"/>
        <item x="684"/>
        <item x="79"/>
        <item x="568"/>
        <item x="591"/>
        <item x="661"/>
        <item x="69"/>
        <item x="347"/>
        <item x="703"/>
        <item x="822"/>
        <item x="342"/>
        <item x="270"/>
        <item x="527"/>
        <item x="521"/>
        <item x="399"/>
        <item x="269"/>
        <item x="820"/>
        <item x="808"/>
        <item x="105"/>
        <item x="479"/>
        <item x="134"/>
        <item x="486"/>
        <item x="749"/>
        <item x="378"/>
        <item x="376"/>
        <item x="707"/>
        <item x="492"/>
        <item x="328"/>
        <item x="804"/>
        <item x="690"/>
        <item x="86"/>
        <item x="281"/>
        <item x="236"/>
        <item x="616"/>
        <item x="737"/>
        <item x="516"/>
        <item x="301"/>
        <item x="627"/>
        <item x="410"/>
        <item x="197"/>
        <item x="107"/>
        <item x="359"/>
        <item x="603"/>
        <item x="310"/>
        <item x="262"/>
        <item x="272"/>
        <item x="529"/>
        <item x="557"/>
        <item x="667"/>
        <item x="861"/>
        <item x="282"/>
        <item x="444"/>
        <item x="760"/>
        <item x="712"/>
        <item x="137"/>
        <item x="148"/>
        <item x="792"/>
        <item x="66"/>
        <item x="407"/>
        <item x="756"/>
        <item x="857"/>
        <item x="176"/>
        <item x="510"/>
        <item x="488"/>
        <item x="221"/>
        <item x="609"/>
        <item x="395"/>
        <item x="343"/>
        <item x="396"/>
        <item x="574"/>
        <item x="706"/>
        <item x="54"/>
        <item x="195"/>
        <item x="838"/>
        <item x="859"/>
        <item x="631"/>
        <item x="789"/>
        <item x="605"/>
        <item x="231"/>
        <item x="617"/>
        <item x="406"/>
        <item x="345"/>
        <item x="320"/>
        <item x="803"/>
        <item x="253"/>
        <item x="265"/>
        <item x="649"/>
        <item x="798"/>
        <item x="719"/>
        <item x="687"/>
        <item x="550"/>
        <item x="20"/>
        <item x="850"/>
        <item x="65"/>
        <item x="523"/>
        <item x="51"/>
        <item x="802"/>
        <item x="130"/>
        <item x="140"/>
        <item x="286"/>
        <item x="375"/>
        <item x="384"/>
        <item x="132"/>
        <item x="451"/>
        <item x="27"/>
        <item x="595"/>
        <item x="442"/>
        <item x="786"/>
        <item x="26"/>
        <item x="566"/>
        <item x="68"/>
        <item x="816"/>
        <item x="472"/>
        <item x="385"/>
        <item x="338"/>
        <item x="258"/>
        <item x="583"/>
        <item x="305"/>
        <item x="783"/>
        <item x="421"/>
        <item x="560"/>
        <item x="752"/>
        <item x="622"/>
        <item x="193"/>
        <item x="696"/>
        <item x="865"/>
        <item x="315"/>
        <item x="718"/>
        <item x="99"/>
        <item x="757"/>
        <item t="default"/>
      </items>
    </pivotField>
    <pivotField compact="0" showAll="0">
      <items count="13">
        <item x="1"/>
        <item x="5"/>
        <item x="3"/>
        <item x="0"/>
        <item x="7"/>
        <item x="6"/>
        <item x="2"/>
        <item x="4"/>
        <item x="11"/>
        <item x="9"/>
        <item x="10"/>
        <item x="8"/>
        <item t="default"/>
      </items>
    </pivotField>
    <pivotField measureFilter="1" compact="0" showAll="0">
      <items count="14">
        <item x="7"/>
        <item x="11"/>
        <item x="8"/>
        <item x="2"/>
        <item x="0"/>
        <item x="12"/>
        <item x="4"/>
        <item x="9"/>
        <item x="1"/>
        <item x="3"/>
        <item x="5"/>
        <item x="10"/>
        <item x="6"/>
        <item t="default"/>
      </items>
    </pivotField>
    <pivotField compact="0" showAll="0">
      <items count="7">
        <item x="2"/>
        <item x="1"/>
        <item x="0"/>
        <item x="4"/>
        <item x="3"/>
        <item x="5"/>
        <item t="default"/>
      </items>
    </pivotField>
    <pivotField compact="0" showAll="0">
      <items count="6">
        <item x="4"/>
        <item x="2"/>
        <item x="1"/>
        <item x="3"/>
        <item x="0"/>
        <item t="default"/>
      </items>
    </pivotField>
    <pivotField compact="0" showAll="0">
      <items count="19">
        <item x="10"/>
        <item x="7"/>
        <item x="12"/>
        <item x="5"/>
        <item x="4"/>
        <item x="2"/>
        <item x="6"/>
        <item x="15"/>
        <item x="14"/>
        <item x="16"/>
        <item x="11"/>
        <item x="17"/>
        <item x="1"/>
        <item x="9"/>
        <item x="8"/>
        <item x="0"/>
        <item x="13"/>
        <item x="3"/>
        <item t="default"/>
      </items>
    </pivotField>
    <pivotField compact="0" showAll="0">
      <items count="54">
        <item x="27"/>
        <item x="10"/>
        <item x="20"/>
        <item x="7"/>
        <item x="16"/>
        <item x="3"/>
        <item x="11"/>
        <item x="46"/>
        <item x="40"/>
        <item x="49"/>
        <item x="24"/>
        <item x="34"/>
        <item x="30"/>
        <item x="51"/>
        <item x="37"/>
        <item x="42"/>
        <item x="44"/>
        <item x="15"/>
        <item x="26"/>
        <item x="17"/>
        <item x="19"/>
        <item x="0"/>
        <item x="50"/>
        <item x="14"/>
        <item x="23"/>
        <item x="38"/>
        <item x="6"/>
        <item x="39"/>
        <item x="43"/>
        <item x="33"/>
        <item x="2"/>
        <item x="21"/>
        <item x="45"/>
        <item x="52"/>
        <item x="18"/>
        <item x="29"/>
        <item x="9"/>
        <item x="13"/>
        <item x="8"/>
        <item x="35"/>
        <item x="28"/>
        <item x="12"/>
        <item x="31"/>
        <item x="25"/>
        <item x="4"/>
        <item x="22"/>
        <item x="41"/>
        <item x="5"/>
        <item x="1"/>
        <item x="48"/>
        <item x="32"/>
        <item x="36"/>
        <item x="47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Row" compact="0" sortType="descending" showAll="0">
      <items count="14">
        <item x="11"/>
        <item x="0"/>
        <item x="6"/>
        <item x="10"/>
        <item x="1"/>
        <item x="4"/>
        <item x="3"/>
        <item x="2"/>
        <item x="9"/>
        <item x="8"/>
        <item m="1" x="12"/>
        <item x="5"/>
        <item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x="2"/>
        <item x="0"/>
        <item x="1"/>
        <item t="default"/>
      </items>
    </pivotField>
    <pivotField compact="0" showAll="0">
      <items count="11">
        <item x="4"/>
        <item x="9"/>
        <item x="3"/>
        <item x="1"/>
        <item x="0"/>
        <item x="6"/>
        <item x="7"/>
        <item x="2"/>
        <item x="5"/>
        <item x="8"/>
        <item t="default"/>
      </items>
    </pivotField>
    <pivotField compact="0" showAll="0">
      <items count="506">
        <item x="124"/>
        <item x="108"/>
        <item x="360"/>
        <item x="10"/>
        <item x="90"/>
        <item x="468"/>
        <item x="174"/>
        <item x="253"/>
        <item x="101"/>
        <item x="243"/>
        <item x="7"/>
        <item x="29"/>
        <item x="79"/>
        <item x="236"/>
        <item x="151"/>
        <item x="2"/>
        <item x="426"/>
        <item x="192"/>
        <item x="280"/>
        <item x="31"/>
        <item x="138"/>
        <item x="196"/>
        <item x="204"/>
        <item x="100"/>
        <item x="441"/>
        <item x="86"/>
        <item x="175"/>
        <item x="89"/>
        <item x="136"/>
        <item x="55"/>
        <item x="369"/>
        <item x="435"/>
        <item x="103"/>
        <item x="479"/>
        <item x="349"/>
        <item x="1"/>
        <item x="41"/>
        <item x="229"/>
        <item x="94"/>
        <item x="109"/>
        <item x="194"/>
        <item x="336"/>
        <item x="407"/>
        <item x="32"/>
        <item x="237"/>
        <item x="15"/>
        <item x="401"/>
        <item x="27"/>
        <item x="149"/>
        <item x="279"/>
        <item x="13"/>
        <item x="413"/>
        <item x="127"/>
        <item x="126"/>
        <item x="370"/>
        <item x="365"/>
        <item x="387"/>
        <item x="5"/>
        <item x="469"/>
        <item x="115"/>
        <item x="172"/>
        <item x="404"/>
        <item x="430"/>
        <item x="112"/>
        <item x="439"/>
        <item x="68"/>
        <item x="334"/>
        <item x="450"/>
        <item x="249"/>
        <item x="197"/>
        <item x="166"/>
        <item x="105"/>
        <item x="139"/>
        <item x="141"/>
        <item x="208"/>
        <item x="106"/>
        <item x="227"/>
        <item x="436"/>
        <item x="445"/>
        <item x="38"/>
        <item x="305"/>
        <item x="425"/>
        <item x="458"/>
        <item x="303"/>
        <item x="498"/>
        <item x="143"/>
        <item x="180"/>
        <item x="176"/>
        <item x="432"/>
        <item x="222"/>
        <item x="274"/>
        <item x="375"/>
        <item x="315"/>
        <item x="116"/>
        <item x="150"/>
        <item x="199"/>
        <item x="72"/>
        <item x="49"/>
        <item x="267"/>
        <item x="471"/>
        <item x="129"/>
        <item x="343"/>
        <item x="46"/>
        <item x="268"/>
        <item x="207"/>
        <item x="21"/>
        <item x="36"/>
        <item x="284"/>
        <item x="74"/>
        <item x="308"/>
        <item x="378"/>
        <item x="330"/>
        <item x="179"/>
        <item x="434"/>
        <item x="8"/>
        <item x="359"/>
        <item x="367"/>
        <item x="121"/>
        <item x="163"/>
        <item x="16"/>
        <item x="220"/>
        <item x="325"/>
        <item x="223"/>
        <item x="35"/>
        <item x="358"/>
        <item x="225"/>
        <item x="118"/>
        <item x="405"/>
        <item x="211"/>
        <item x="347"/>
        <item x="297"/>
        <item x="352"/>
        <item x="314"/>
        <item x="250"/>
        <item x="183"/>
        <item x="496"/>
        <item x="28"/>
        <item x="410"/>
        <item x="131"/>
        <item x="262"/>
        <item x="160"/>
        <item x="122"/>
        <item x="288"/>
        <item x="350"/>
        <item x="62"/>
        <item x="133"/>
        <item x="85"/>
        <item x="157"/>
        <item x="164"/>
        <item x="99"/>
        <item x="415"/>
        <item x="156"/>
        <item x="81"/>
        <item x="39"/>
        <item x="168"/>
        <item x="154"/>
        <item x="457"/>
        <item x="148"/>
        <item x="224"/>
        <item x="389"/>
        <item x="495"/>
        <item x="24"/>
        <item x="419"/>
        <item x="408"/>
        <item x="161"/>
        <item x="500"/>
        <item x="78"/>
        <item x="4"/>
        <item x="502"/>
        <item x="201"/>
        <item x="245"/>
        <item x="48"/>
        <item x="47"/>
        <item x="165"/>
        <item x="381"/>
        <item x="240"/>
        <item x="3"/>
        <item x="453"/>
        <item x="461"/>
        <item x="433"/>
        <item x="87"/>
        <item x="392"/>
        <item x="484"/>
        <item x="170"/>
        <item x="186"/>
        <item x="20"/>
        <item x="411"/>
        <item x="289"/>
        <item x="134"/>
        <item x="242"/>
        <item x="256"/>
        <item x="12"/>
        <item x="276"/>
        <item x="290"/>
        <item x="238"/>
        <item x="71"/>
        <item x="326"/>
        <item x="80"/>
        <item x="460"/>
        <item x="246"/>
        <item x="339"/>
        <item x="125"/>
        <item x="355"/>
        <item x="169"/>
        <item x="285"/>
        <item x="257"/>
        <item x="328"/>
        <item x="107"/>
        <item x="120"/>
        <item x="264"/>
        <item x="466"/>
        <item x="272"/>
        <item x="0"/>
        <item x="374"/>
        <item x="251"/>
        <item x="438"/>
        <item x="428"/>
        <item x="67"/>
        <item x="351"/>
        <item x="283"/>
        <item x="431"/>
        <item x="452"/>
        <item x="383"/>
        <item x="178"/>
        <item x="397"/>
        <item x="11"/>
        <item x="210"/>
        <item x="403"/>
        <item x="26"/>
        <item x="92"/>
        <item x="147"/>
        <item x="488"/>
        <item x="142"/>
        <item x="241"/>
        <item x="345"/>
        <item x="281"/>
        <item x="235"/>
        <item x="248"/>
        <item x="63"/>
        <item x="247"/>
        <item x="137"/>
        <item x="226"/>
        <item x="446"/>
        <item x="293"/>
        <item x="463"/>
        <item x="340"/>
        <item x="480"/>
        <item x="287"/>
        <item x="58"/>
        <item x="298"/>
        <item x="66"/>
        <item x="61"/>
        <item x="91"/>
        <item x="277"/>
        <item x="273"/>
        <item x="200"/>
        <item x="145"/>
        <item x="232"/>
        <item x="472"/>
        <item x="265"/>
        <item x="357"/>
        <item x="135"/>
        <item x="25"/>
        <item x="104"/>
        <item x="420"/>
        <item x="437"/>
        <item x="270"/>
        <item x="64"/>
        <item x="391"/>
        <item x="43"/>
        <item x="412"/>
        <item x="51"/>
        <item x="50"/>
        <item x="482"/>
        <item x="17"/>
        <item x="188"/>
        <item x="52"/>
        <item x="123"/>
        <item x="376"/>
        <item x="73"/>
        <item x="69"/>
        <item x="42"/>
        <item x="216"/>
        <item x="6"/>
        <item x="110"/>
        <item x="30"/>
        <item x="128"/>
        <item x="451"/>
        <item x="388"/>
        <item x="195"/>
        <item x="75"/>
        <item x="244"/>
        <item x="33"/>
        <item x="354"/>
        <item x="493"/>
        <item x="77"/>
        <item x="476"/>
        <item x="414"/>
        <item x="342"/>
        <item x="278"/>
        <item x="473"/>
        <item x="371"/>
        <item x="454"/>
        <item x="399"/>
        <item x="337"/>
        <item x="296"/>
        <item x="82"/>
        <item x="171"/>
        <item x="294"/>
        <item x="88"/>
        <item x="96"/>
        <item x="310"/>
        <item x="255"/>
        <item x="382"/>
        <item x="424"/>
        <item x="261"/>
        <item x="44"/>
        <item x="158"/>
        <item x="333"/>
        <item x="368"/>
        <item x="153"/>
        <item x="362"/>
        <item x="206"/>
        <item x="390"/>
        <item x="14"/>
        <item x="309"/>
        <item x="394"/>
        <item x="53"/>
        <item x="423"/>
        <item x="418"/>
        <item x="76"/>
        <item x="190"/>
        <item x="487"/>
        <item x="417"/>
        <item x="119"/>
        <item x="218"/>
        <item x="332"/>
        <item x="140"/>
        <item x="503"/>
        <item x="282"/>
        <item x="286"/>
        <item x="341"/>
        <item x="144"/>
        <item x="221"/>
        <item x="483"/>
        <item x="295"/>
        <item x="202"/>
        <item x="215"/>
        <item x="304"/>
        <item x="9"/>
        <item x="447"/>
        <item x="301"/>
        <item x="491"/>
        <item x="489"/>
        <item x="152"/>
        <item x="486"/>
        <item x="348"/>
        <item x="363"/>
        <item x="173"/>
        <item x="393"/>
        <item x="203"/>
        <item x="324"/>
        <item x="97"/>
        <item x="416"/>
        <item x="490"/>
        <item x="299"/>
        <item x="353"/>
        <item x="366"/>
        <item x="19"/>
        <item x="269"/>
        <item x="70"/>
        <item x="475"/>
        <item x="98"/>
        <item x="379"/>
        <item x="95"/>
        <item x="346"/>
        <item x="477"/>
        <item x="184"/>
        <item x="319"/>
        <item x="372"/>
        <item x="234"/>
        <item x="37"/>
        <item x="102"/>
        <item x="322"/>
        <item x="494"/>
        <item x="380"/>
        <item x="177"/>
        <item x="398"/>
        <item x="499"/>
        <item x="40"/>
        <item x="377"/>
        <item x="373"/>
        <item x="462"/>
        <item x="45"/>
        <item x="331"/>
        <item x="291"/>
        <item x="217"/>
        <item x="213"/>
        <item x="442"/>
        <item x="254"/>
        <item x="155"/>
        <item x="327"/>
        <item x="478"/>
        <item x="465"/>
        <item x="57"/>
        <item x="302"/>
        <item x="193"/>
        <item x="233"/>
        <item x="448"/>
        <item x="167"/>
        <item x="292"/>
        <item x="318"/>
        <item x="266"/>
        <item x="316"/>
        <item x="205"/>
        <item x="198"/>
        <item x="159"/>
        <item x="56"/>
        <item x="181"/>
        <item x="459"/>
        <item x="421"/>
        <item x="321"/>
        <item x="34"/>
        <item x="385"/>
        <item x="313"/>
        <item x="83"/>
        <item x="113"/>
        <item x="306"/>
        <item x="259"/>
        <item x="422"/>
        <item x="300"/>
        <item x="320"/>
        <item x="65"/>
        <item x="191"/>
        <item x="396"/>
        <item x="386"/>
        <item x="189"/>
        <item x="323"/>
        <item x="231"/>
        <item x="409"/>
        <item x="311"/>
        <item x="271"/>
        <item x="455"/>
        <item x="132"/>
        <item x="456"/>
        <item x="130"/>
        <item x="260"/>
        <item x="182"/>
        <item x="18"/>
        <item x="335"/>
        <item x="449"/>
        <item x="228"/>
        <item x="84"/>
        <item x="329"/>
        <item x="470"/>
        <item x="54"/>
        <item x="312"/>
        <item x="429"/>
        <item x="497"/>
        <item x="275"/>
        <item x="474"/>
        <item x="384"/>
        <item x="427"/>
        <item x="60"/>
        <item x="492"/>
        <item x="317"/>
        <item x="212"/>
        <item x="338"/>
        <item x="111"/>
        <item x="464"/>
        <item x="444"/>
        <item x="344"/>
        <item x="252"/>
        <item x="485"/>
        <item x="440"/>
        <item x="219"/>
        <item x="187"/>
        <item x="361"/>
        <item x="230"/>
        <item x="162"/>
        <item x="93"/>
        <item x="400"/>
        <item x="214"/>
        <item x="501"/>
        <item x="114"/>
        <item x="146"/>
        <item x="356"/>
        <item x="406"/>
        <item x="443"/>
        <item x="402"/>
        <item x="185"/>
        <item x="263"/>
        <item x="209"/>
        <item x="481"/>
        <item x="364"/>
        <item x="117"/>
        <item x="23"/>
        <item x="395"/>
        <item x="22"/>
        <item x="59"/>
        <item x="258"/>
        <item x="307"/>
        <item x="504"/>
        <item x="239"/>
        <item x="467"/>
        <item t="default"/>
      </items>
    </pivotField>
    <pivotField compact="0" showAll="0">
      <items count="6">
        <item x="4"/>
        <item x="0"/>
        <item x="2"/>
        <item x="1"/>
        <item x="3"/>
        <item t="default"/>
      </items>
    </pivotField>
    <pivotField dataField="1" compact="0" showAll="0">
      <items count="881">
        <item x="441"/>
        <item x="125"/>
        <item x="51"/>
        <item x="691"/>
        <item x="100"/>
        <item x="769"/>
        <item x="298"/>
        <item x="335"/>
        <item x="114"/>
        <item x="323"/>
        <item x="148"/>
        <item x="33"/>
        <item x="472"/>
        <item x="417"/>
        <item x="180"/>
        <item x="175"/>
        <item x="668"/>
        <item x="243"/>
        <item x="379"/>
        <item x="393"/>
        <item x="366"/>
        <item x="248"/>
        <item x="468"/>
        <item x="113"/>
        <item x="704"/>
        <item x="96"/>
        <item x="241"/>
        <item x="99"/>
        <item x="159"/>
        <item x="778"/>
        <item x="545"/>
        <item x="801"/>
        <item x="117"/>
        <item x="802"/>
        <item x="549"/>
        <item x="120"/>
        <item x="130"/>
        <item x="300"/>
        <item x="434"/>
        <item x="770"/>
        <item x="753"/>
        <item x="484"/>
        <item x="724"/>
        <item x="356"/>
        <item x="693"/>
        <item x="792"/>
        <item x="703"/>
        <item x="145"/>
        <item x="82"/>
        <item x="178"/>
        <item x="520"/>
        <item x="378"/>
        <item x="521"/>
        <item x="643"/>
        <item x="599"/>
        <item x="794"/>
        <item x="627"/>
        <item x="509"/>
        <item x="784"/>
        <item x="589"/>
        <item x="22"/>
        <item x="447"/>
        <item x="606"/>
        <item x="213"/>
        <item x="620"/>
        <item x="754"/>
        <item x="11"/>
        <item x="132"/>
        <item x="409"/>
        <item x="696"/>
        <item x="546"/>
        <item x="77"/>
        <item x="236"/>
        <item x="481"/>
        <item x="227"/>
        <item x="726"/>
        <item x="329"/>
        <item x="250"/>
        <item x="110"/>
        <item x="200"/>
        <item x="798"/>
        <item x="443"/>
        <item x="168"/>
        <item x="267"/>
        <item x="713"/>
        <item x="718"/>
        <item x="687"/>
        <item x="716"/>
        <item x="499"/>
        <item x="147"/>
        <item x="425"/>
        <item x="667"/>
        <item x="740"/>
        <item x="420"/>
        <item x="863"/>
        <item x="115"/>
        <item x="220"/>
        <item x="8"/>
        <item x="680"/>
        <item x="249"/>
        <item x="287"/>
        <item x="601"/>
        <item x="654"/>
        <item x="741"/>
        <item x="35"/>
        <item x="757"/>
        <item x="442"/>
        <item x="762"/>
        <item x="46"/>
        <item x="684"/>
        <item x="649"/>
        <item x="252"/>
        <item x="81"/>
        <item x="429"/>
        <item x="333"/>
        <item x="358"/>
        <item x="773"/>
        <item x="372"/>
        <item x="832"/>
        <item x="392"/>
        <item x="783"/>
        <item x="495"/>
        <item x="52"/>
        <item x="660"/>
        <item x="502"/>
        <item x="836"/>
        <item x="40"/>
        <item x="334"/>
        <item x="386"/>
        <item x="126"/>
        <item x="184"/>
        <item x="431"/>
        <item x="108"/>
        <item x="570"/>
        <item x="596"/>
        <item x="224"/>
        <item x="848"/>
        <item x="683"/>
        <item x="782"/>
        <item x="722"/>
        <item x="530"/>
        <item x="542"/>
        <item x="686"/>
        <item x="195"/>
        <item x="18"/>
        <item x="749"/>
        <item x="341"/>
        <item x="712"/>
        <item x="304"/>
        <item x="210"/>
        <item x="526"/>
        <item x="294"/>
        <item x="841"/>
        <item x="316"/>
        <item x="357"/>
        <item x="506"/>
        <item x="411"/>
        <item x="516"/>
        <item x="440"/>
        <item x="330"/>
        <item x="226"/>
        <item x="515"/>
        <item x="310"/>
        <item x="860"/>
        <item x="296"/>
        <item x="32"/>
        <item x="633"/>
        <item x="153"/>
        <item x="349"/>
        <item x="208"/>
        <item x="471"/>
        <item x="803"/>
        <item x="513"/>
        <item x="619"/>
        <item x="351"/>
        <item x="95"/>
        <item x="34"/>
        <item x="365"/>
        <item x="462"/>
        <item x="291"/>
        <item x="112"/>
        <item x="647"/>
        <item x="707"/>
        <item x="187"/>
        <item x="825"/>
        <item x="91"/>
        <item x="43"/>
        <item x="202"/>
        <item x="185"/>
        <item x="856"/>
        <item x="739"/>
        <item x="139"/>
        <item x="280"/>
        <item x="380"/>
        <item x="593"/>
        <item x="849"/>
        <item x="851"/>
        <item x="448"/>
        <item x="656"/>
        <item x="735"/>
        <item x="14"/>
        <item x="655"/>
        <item x="193"/>
        <item x="865"/>
        <item x="87"/>
        <item x="805"/>
        <item x="263"/>
        <item x="875"/>
        <item x="638"/>
        <item x="562"/>
        <item x="512"/>
        <item x="284"/>
        <item x="123"/>
        <item x="198"/>
        <item x="575"/>
        <item x="688"/>
        <item x="317"/>
        <item x="679"/>
        <item x="301"/>
        <item x="412"/>
        <item x="830"/>
        <item x="3"/>
        <item x="209"/>
        <item x="732"/>
        <item x="146"/>
        <item x="755"/>
        <item x="681"/>
        <item x="36"/>
        <item x="413"/>
        <item x="602"/>
        <item x="813"/>
        <item x="206"/>
        <item x="230"/>
        <item x="504"/>
        <item x="196"/>
        <item x="635"/>
        <item x="527"/>
        <item x="305"/>
        <item x="107"/>
        <item x="321"/>
        <item x="827"/>
        <item x="339"/>
        <item x="700"/>
        <item x="373"/>
        <item x="399"/>
        <item x="315"/>
        <item x="309"/>
        <item x="869"/>
        <item x="90"/>
        <item x="751"/>
        <item x="326"/>
        <item x="89"/>
        <item x="728"/>
        <item x="489"/>
        <item x="149"/>
        <item x="552"/>
        <item x="522"/>
        <item x="28"/>
        <item x="556"/>
        <item x="207"/>
        <item x="388"/>
        <item x="342"/>
        <item x="642"/>
        <item x="121"/>
        <item x="141"/>
        <item x="352"/>
        <item x="765"/>
        <item x="631"/>
        <item x="0"/>
        <item x="563"/>
        <item x="428"/>
        <item x="564"/>
        <item x="577"/>
        <item x="331"/>
        <item x="844"/>
        <item x="490"/>
        <item x="256"/>
        <item x="695"/>
        <item x="186"/>
        <item x="671"/>
        <item x="76"/>
        <item x="624"/>
        <item x="879"/>
        <item x="439"/>
        <item x="730"/>
        <item x="427"/>
        <item x="797"/>
        <item x="466"/>
        <item x="789"/>
        <item x="221"/>
        <item x="581"/>
        <item x="720"/>
        <item x="611"/>
        <item x="612"/>
        <item x="165"/>
        <item x="12"/>
        <item x="623"/>
        <item x="269"/>
        <item x="839"/>
        <item x="318"/>
        <item x="30"/>
        <item x="133"/>
        <item x="554"/>
        <item x="174"/>
        <item x="461"/>
        <item x="818"/>
        <item x="105"/>
        <item x="169"/>
        <item x="833"/>
        <item x="781"/>
        <item x="482"/>
        <item x="662"/>
        <item x="422"/>
        <item x="277"/>
        <item x="503"/>
        <item x="382"/>
        <item x="223"/>
        <item x="328"/>
        <item x="71"/>
        <item x="327"/>
        <item x="25"/>
        <item x="381"/>
        <item x="727"/>
        <item x="717"/>
        <item x="21"/>
        <item x="17"/>
        <item x="658"/>
        <item x="163"/>
        <item x="432"/>
        <item x="403"/>
        <item x="759"/>
        <item x="288"/>
        <item x="702"/>
        <item x="651"/>
        <item x="807"/>
        <item x="396"/>
        <item x="271"/>
        <item x="66"/>
        <item x="731"/>
        <item x="597"/>
        <item x="156"/>
        <item x="74"/>
        <item x="69"/>
        <item x="290"/>
        <item x="846"/>
        <item x="374"/>
        <item x="791"/>
        <item x="253"/>
        <item x="172"/>
        <item x="306"/>
        <item x="843"/>
        <item x="458"/>
        <item x="161"/>
        <item x="775"/>
        <item x="354"/>
        <item x="205"/>
        <item x="525"/>
        <item x="10"/>
        <item x="219"/>
        <item x="158"/>
        <item x="29"/>
        <item x="118"/>
        <item x="657"/>
        <item x="690"/>
        <item x="361"/>
        <item x="531"/>
        <item x="233"/>
        <item x="665"/>
        <item x="122"/>
        <item x="598"/>
        <item x="204"/>
        <item x="75"/>
        <item x="177"/>
        <item x="831"/>
        <item x="363"/>
        <item x="603"/>
        <item x="289"/>
        <item x="282"/>
        <item x="788"/>
        <item x="56"/>
        <item x="809"/>
        <item x="19"/>
        <item x="231"/>
        <item x="414"/>
        <item x="626"/>
        <item x="237"/>
        <item x="529"/>
        <item x="550"/>
        <item x="677"/>
        <item x="390"/>
        <item x="666"/>
        <item x="192"/>
        <item x="144"/>
        <item x="566"/>
        <item x="456"/>
        <item x="510"/>
        <item x="47"/>
        <item x="322"/>
        <item x="338"/>
        <item x="6"/>
        <item x="857"/>
        <item x="698"/>
        <item x="128"/>
        <item x="568"/>
        <item x="13"/>
        <item x="790"/>
        <item x="592"/>
        <item x="255"/>
        <item x="246"/>
        <item x="84"/>
        <item x="600"/>
        <item x="37"/>
        <item x="519"/>
        <item x="508"/>
        <item x="847"/>
        <item x="514"/>
        <item x="585"/>
        <item x="756"/>
        <item x="86"/>
        <item x="787"/>
        <item x="646"/>
        <item x="313"/>
        <item x="493"/>
        <item x="752"/>
        <item x="377"/>
        <item x="53"/>
        <item x="811"/>
        <item x="491"/>
        <item x="558"/>
        <item x="733"/>
        <item x="395"/>
        <item x="614"/>
        <item x="474"/>
        <item x="555"/>
        <item x="485"/>
        <item x="410"/>
        <item x="92"/>
        <item x="212"/>
        <item x="83"/>
        <item x="618"/>
        <item x="407"/>
        <item x="98"/>
        <item x="344"/>
        <item x="533"/>
        <item x="729"/>
        <item x="137"/>
        <item x="835"/>
        <item x="580"/>
        <item x="72"/>
        <item x="664"/>
        <item x="804"/>
        <item x="706"/>
        <item x="398"/>
        <item x="449"/>
        <item x="324"/>
        <item x="547"/>
        <item x="744"/>
        <item x="167"/>
        <item x="189"/>
        <item x="535"/>
        <item x="872"/>
        <item x="579"/>
        <item x="543"/>
        <item x="179"/>
        <item x="182"/>
        <item x="534"/>
        <item x="299"/>
        <item x="265"/>
        <item x="645"/>
        <item x="16"/>
        <item x="435"/>
        <item x="607"/>
        <item x="405"/>
        <item x="2"/>
        <item x="641"/>
        <item x="661"/>
        <item x="337"/>
        <item x="583"/>
        <item x="218"/>
        <item x="239"/>
        <item x="24"/>
        <item x="817"/>
        <item x="652"/>
        <item x="140"/>
        <item x="281"/>
        <item x="311"/>
        <item x="477"/>
        <item x="488"/>
        <item x="673"/>
        <item x="270"/>
        <item x="433"/>
        <item x="494"/>
        <item x="278"/>
        <item x="103"/>
        <item x="876"/>
        <item x="188"/>
        <item x="383"/>
        <item x="389"/>
        <item x="492"/>
        <item x="511"/>
        <item x="171"/>
        <item x="211"/>
        <item x="48"/>
        <item x="780"/>
        <item x="285"/>
        <item x="861"/>
        <item x="61"/>
        <item x="183"/>
        <item x="605"/>
        <item x="594"/>
        <item x="15"/>
        <item x="810"/>
        <item x="842"/>
        <item x="528"/>
        <item x="276"/>
        <item x="136"/>
        <item x="421"/>
        <item x="4"/>
        <item x="9"/>
        <item x="312"/>
        <item x="719"/>
        <item x="314"/>
        <item x="418"/>
        <item x="829"/>
        <item x="824"/>
        <item x="845"/>
        <item x="181"/>
        <item x="816"/>
        <item x="507"/>
        <item x="537"/>
        <item x="214"/>
        <item x="639"/>
        <item x="465"/>
        <item x="604"/>
        <item x="734"/>
        <item x="701"/>
        <item x="463"/>
        <item x="142"/>
        <item x="176"/>
        <item x="553"/>
        <item x="672"/>
        <item x="348"/>
        <item x="648"/>
        <item x="630"/>
        <item x="736"/>
        <item x="826"/>
        <item x="708"/>
        <item x="518"/>
        <item x="541"/>
        <item x="498"/>
        <item x="408"/>
        <item x="247"/>
        <item x="483"/>
        <item x="548"/>
        <item x="190"/>
        <item x="23"/>
        <item x="360"/>
        <item x="119"/>
        <item x="721"/>
        <item x="325"/>
        <item x="164"/>
        <item x="111"/>
        <item x="571"/>
        <item x="257"/>
        <item x="551"/>
        <item x="106"/>
        <item x="505"/>
        <item x="88"/>
        <item x="150"/>
        <item x="197"/>
        <item x="228"/>
        <item x="685"/>
        <item x="796"/>
        <item x="523"/>
        <item x="820"/>
        <item x="391"/>
        <item x="476"/>
        <item x="742"/>
        <item x="539"/>
        <item x="39"/>
        <item x="62"/>
        <item x="364"/>
        <item x="569"/>
        <item x="559"/>
        <item x="689"/>
        <item x="308"/>
        <item x="41"/>
        <item x="116"/>
        <item x="776"/>
        <item x="578"/>
        <item x="401"/>
        <item x="500"/>
        <item x="215"/>
        <item x="157"/>
        <item x="455"/>
        <item x="101"/>
        <item x="254"/>
        <item x="262"/>
        <item x="850"/>
        <item x="574"/>
        <item x="217"/>
        <item x="838"/>
        <item x="613"/>
        <item x="864"/>
        <item x="234"/>
        <item x="295"/>
        <item x="44"/>
        <item x="567"/>
        <item x="561"/>
        <item x="397"/>
        <item x="758"/>
        <item x="216"/>
        <item x="709"/>
        <item x="475"/>
        <item x="166"/>
        <item x="367"/>
        <item x="400"/>
        <item x="663"/>
        <item x="274"/>
        <item x="540"/>
        <item x="705"/>
        <item x="336"/>
        <item x="80"/>
        <item x="54"/>
        <item x="621"/>
        <item x="266"/>
        <item x="45"/>
        <item x="858"/>
        <item x="160"/>
        <item x="822"/>
        <item x="151"/>
        <item x="745"/>
        <item x="469"/>
        <item x="859"/>
        <item x="650"/>
        <item x="59"/>
        <item x="748"/>
        <item x="467"/>
        <item x="293"/>
        <item x="1"/>
        <item x="557"/>
        <item x="199"/>
        <item x="67"/>
        <item x="747"/>
        <item x="799"/>
        <item x="764"/>
        <item x="560"/>
        <item x="676"/>
        <item x="853"/>
        <item x="124"/>
        <item x="129"/>
        <item x="359"/>
        <item x="155"/>
        <item x="170"/>
        <item x="785"/>
        <item x="244"/>
        <item x="723"/>
        <item x="201"/>
        <item x="402"/>
        <item x="286"/>
        <item x="451"/>
        <item x="608"/>
        <item x="232"/>
        <item x="143"/>
        <item x="109"/>
        <item x="355"/>
        <item x="637"/>
        <item x="5"/>
        <item x="445"/>
        <item x="457"/>
        <item x="31"/>
        <item x="55"/>
        <item x="264"/>
        <item x="251"/>
        <item x="486"/>
        <item x="793"/>
        <item x="573"/>
        <item x="222"/>
        <item x="743"/>
        <item x="57"/>
        <item x="258"/>
        <item x="404"/>
        <item x="454"/>
        <item x="38"/>
        <item x="586"/>
        <item x="682"/>
        <item x="370"/>
        <item x="63"/>
        <item x="50"/>
        <item x="79"/>
        <item x="260"/>
        <item x="93"/>
        <item x="42"/>
        <item x="855"/>
        <item x="134"/>
        <item x="426"/>
        <item x="345"/>
        <item x="369"/>
        <item x="806"/>
        <item x="840"/>
        <item x="453"/>
        <item x="70"/>
        <item x="590"/>
        <item x="319"/>
        <item x="854"/>
        <item x="766"/>
        <item x="7"/>
        <item x="73"/>
        <item x="240"/>
        <item x="587"/>
        <item x="750"/>
        <item x="368"/>
        <item x="238"/>
        <item x="774"/>
        <item x="588"/>
        <item x="460"/>
        <item x="261"/>
        <item x="823"/>
        <item x="871"/>
        <item x="786"/>
        <item x="634"/>
        <item x="242"/>
        <item x="436"/>
        <item x="303"/>
        <item x="874"/>
        <item x="376"/>
        <item x="480"/>
        <item x="699"/>
        <item x="632"/>
        <item x="437"/>
        <item x="678"/>
        <item x="292"/>
        <item x="362"/>
        <item x="737"/>
        <item x="154"/>
        <item x="738"/>
        <item x="58"/>
        <item x="669"/>
        <item x="517"/>
        <item x="152"/>
        <item x="761"/>
        <item x="821"/>
        <item x="878"/>
        <item x="225"/>
        <item x="424"/>
        <item x="375"/>
        <item x="444"/>
        <item x="625"/>
        <item x="710"/>
        <item x="653"/>
        <item x="725"/>
        <item x="279"/>
        <item x="464"/>
        <item x="473"/>
        <item x="867"/>
        <item x="616"/>
        <item x="297"/>
        <item x="94"/>
        <item x="49"/>
        <item x="470"/>
        <item x="772"/>
        <item x="60"/>
        <item x="340"/>
        <item x="203"/>
        <item x="595"/>
        <item x="615"/>
        <item x="610"/>
        <item x="837"/>
        <item x="438"/>
        <item x="162"/>
        <item x="674"/>
        <item x="862"/>
        <item x="371"/>
        <item x="777"/>
        <item x="423"/>
        <item x="714"/>
        <item x="692"/>
        <item x="78"/>
        <item x="584"/>
        <item x="670"/>
        <item x="68"/>
        <item x="353"/>
        <item x="711"/>
        <item x="346"/>
        <item x="273"/>
        <item x="536"/>
        <item x="406"/>
        <item x="272"/>
        <item x="834"/>
        <item x="819"/>
        <item x="102"/>
        <item x="487"/>
        <item x="131"/>
        <item x="496"/>
        <item x="760"/>
        <item x="387"/>
        <item x="385"/>
        <item x="715"/>
        <item x="501"/>
        <item x="332"/>
        <item x="815"/>
        <item x="697"/>
        <item x="85"/>
        <item x="283"/>
        <item x="235"/>
        <item x="628"/>
        <item x="746"/>
        <item x="532"/>
        <item x="302"/>
        <item x="640"/>
        <item x="419"/>
        <item x="194"/>
        <item x="104"/>
        <item x="275"/>
        <item x="544"/>
        <item x="572"/>
        <item x="675"/>
        <item x="873"/>
        <item x="452"/>
        <item x="771"/>
        <item x="135"/>
        <item x="65"/>
        <item x="416"/>
        <item x="767"/>
        <item x="868"/>
        <item x="173"/>
        <item x="524"/>
        <item x="497"/>
        <item x="622"/>
        <item x="347"/>
        <item x="591"/>
        <item x="97"/>
        <item x="852"/>
        <item x="870"/>
        <item x="644"/>
        <item x="800"/>
        <item x="617"/>
        <item x="229"/>
        <item x="779"/>
        <item x="478"/>
        <item x="245"/>
        <item x="446"/>
        <item x="866"/>
        <item x="629"/>
        <item x="415"/>
        <item x="350"/>
        <item x="320"/>
        <item x="814"/>
        <item x="268"/>
        <item x="659"/>
        <item x="808"/>
        <item x="694"/>
        <item x="565"/>
        <item x="20"/>
        <item x="64"/>
        <item x="538"/>
        <item x="812"/>
        <item x="127"/>
        <item x="138"/>
        <item x="384"/>
        <item x="394"/>
        <item x="459"/>
        <item x="27"/>
        <item x="609"/>
        <item x="450"/>
        <item x="26"/>
        <item x="582"/>
        <item x="828"/>
        <item x="479"/>
        <item x="343"/>
        <item x="259"/>
        <item x="307"/>
        <item x="795"/>
        <item x="430"/>
        <item x="576"/>
        <item x="763"/>
        <item x="636"/>
        <item x="191"/>
        <item x="877"/>
        <item x="768"/>
        <item t="default"/>
      </items>
    </pivotField>
    <pivotField compact="0" showAll="0">
      <items count="1001">
        <item x="473"/>
        <item x="129"/>
        <item x="573"/>
        <item x="772"/>
        <item x="102"/>
        <item x="866"/>
        <item x="314"/>
        <item x="354"/>
        <item x="118"/>
        <item x="342"/>
        <item x="153"/>
        <item x="33"/>
        <item x="510"/>
        <item x="445"/>
        <item x="187"/>
        <item x="181"/>
        <item x="742"/>
        <item x="254"/>
        <item x="401"/>
        <item x="415"/>
        <item x="387"/>
        <item x="259"/>
        <item x="506"/>
        <item x="117"/>
        <item x="788"/>
        <item x="97"/>
        <item x="252"/>
        <item x="101"/>
        <item x="165"/>
        <item x="877"/>
        <item x="592"/>
        <item x="907"/>
        <item x="121"/>
        <item x="908"/>
        <item x="596"/>
        <item x="421"/>
        <item x="134"/>
        <item x="316"/>
        <item x="464"/>
        <item x="867"/>
        <item x="850"/>
        <item x="522"/>
        <item x="813"/>
        <item x="376"/>
        <item x="774"/>
        <item x="895"/>
        <item x="786"/>
        <item x="149"/>
        <item x="648"/>
        <item x="184"/>
        <item x="562"/>
        <item x="400"/>
        <item x="563"/>
        <item x="707"/>
        <item x="654"/>
        <item x="898"/>
        <item x="690"/>
        <item x="550"/>
        <item x="884"/>
        <item x="640"/>
        <item x="22"/>
        <item x="868"/>
        <item x="661"/>
        <item x="223"/>
        <item x="680"/>
        <item x="851"/>
        <item x="11"/>
        <item x="136"/>
        <item x="436"/>
        <item x="778"/>
        <item x="593"/>
        <item x="78"/>
        <item x="753"/>
        <item x="519"/>
        <item x="238"/>
        <item x="818"/>
        <item x="348"/>
        <item x="261"/>
        <item x="114"/>
        <item x="209"/>
        <item x="903"/>
        <item x="476"/>
        <item x="174"/>
        <item x="278"/>
        <item x="800"/>
        <item x="806"/>
        <item x="767"/>
        <item x="804"/>
        <item x="539"/>
        <item x="152"/>
        <item x="453"/>
        <item x="741"/>
        <item x="835"/>
        <item x="448"/>
        <item x="979"/>
        <item x="307"/>
        <item x="119"/>
        <item x="231"/>
        <item x="227"/>
        <item x="757"/>
        <item x="260"/>
        <item x="300"/>
        <item x="656"/>
        <item x="720"/>
        <item x="836"/>
        <item x="35"/>
        <item x="854"/>
        <item x="474"/>
        <item x="859"/>
        <item x="46"/>
        <item x="762"/>
        <item x="713"/>
        <item x="263"/>
        <item x="82"/>
        <item x="458"/>
        <item x="725"/>
        <item x="378"/>
        <item x="872"/>
        <item x="394"/>
        <item x="941"/>
        <item x="414"/>
        <item x="883"/>
        <item x="534"/>
        <item x="52"/>
        <item x="733"/>
        <item x="542"/>
        <item x="945"/>
        <item x="40"/>
        <item x="353"/>
        <item x="408"/>
        <item x="130"/>
        <item x="191"/>
        <item x="461"/>
        <item x="112"/>
        <item x="621"/>
        <item x="651"/>
        <item x="235"/>
        <item x="961"/>
        <item x="761"/>
        <item x="882"/>
        <item x="810"/>
        <item x="572"/>
        <item x="588"/>
        <item x="766"/>
        <item x="204"/>
        <item x="18"/>
        <item x="845"/>
        <item x="718"/>
        <item x="336"/>
        <item x="797"/>
        <item x="320"/>
        <item x="220"/>
        <item x="568"/>
        <item x="310"/>
        <item x="953"/>
        <item x="682"/>
        <item x="377"/>
        <item x="124"/>
        <item x="546"/>
        <item x="438"/>
        <item x="557"/>
        <item x="472"/>
        <item x="349"/>
        <item x="237"/>
        <item x="556"/>
        <item x="727"/>
        <item x="974"/>
        <item x="312"/>
        <item x="32"/>
        <item x="696"/>
        <item x="158"/>
        <item x="369"/>
        <item x="948"/>
        <item x="509"/>
        <item x="911"/>
        <item x="554"/>
        <item x="679"/>
        <item x="371"/>
        <item x="96"/>
        <item x="196"/>
        <item x="386"/>
        <item x="499"/>
        <item x="532"/>
        <item x="116"/>
        <item x="711"/>
        <item x="791"/>
        <item x="194"/>
        <item x="934"/>
        <item x="92"/>
        <item x="586"/>
        <item x="212"/>
        <item x="192"/>
        <item x="970"/>
        <item x="832"/>
        <item x="687"/>
        <item x="143"/>
        <item x="352"/>
        <item x="292"/>
        <item x="402"/>
        <item x="645"/>
        <item x="962"/>
        <item x="964"/>
        <item x="483"/>
        <item x="724"/>
        <item x="828"/>
        <item x="14"/>
        <item x="721"/>
        <item x="202"/>
        <item x="983"/>
        <item x="88"/>
        <item x="815"/>
        <item x="913"/>
        <item x="460"/>
        <item x="994"/>
        <item x="701"/>
        <item x="611"/>
        <item x="553"/>
        <item x="297"/>
        <item x="162"/>
        <item x="207"/>
        <item x="626"/>
        <item x="768"/>
        <item x="335"/>
        <item x="755"/>
        <item x="871"/>
        <item x="439"/>
        <item x="939"/>
        <item x="3"/>
        <item x="219"/>
        <item x="825"/>
        <item x="151"/>
        <item x="852"/>
        <item x="758"/>
        <item x="36"/>
        <item x="440"/>
        <item x="657"/>
        <item x="921"/>
        <item x="216"/>
        <item x="241"/>
        <item x="544"/>
        <item x="205"/>
        <item x="698"/>
        <item x="569"/>
        <item x="321"/>
        <item x="798"/>
        <item x="340"/>
        <item x="936"/>
        <item x="358"/>
        <item x="783"/>
        <item x="395"/>
        <item x="423"/>
        <item x="332"/>
        <item x="325"/>
        <item x="988"/>
        <item x="91"/>
        <item x="847"/>
        <item x="345"/>
        <item x="8"/>
        <item x="108"/>
        <item x="821"/>
        <item x="527"/>
        <item x="154"/>
        <item x="601"/>
        <item x="564"/>
        <item x="482"/>
        <item x="28"/>
        <item x="605"/>
        <item x="217"/>
        <item x="410"/>
        <item x="361"/>
        <item x="706"/>
        <item x="125"/>
        <item x="145"/>
        <item x="372"/>
        <item x="862"/>
        <item x="694"/>
        <item x="0"/>
        <item x="613"/>
        <item x="456"/>
        <item x="614"/>
        <item x="628"/>
        <item x="350"/>
        <item x="957"/>
        <item x="528"/>
        <item x="267"/>
        <item x="777"/>
        <item x="547"/>
        <item x="745"/>
        <item x="77"/>
        <item x="686"/>
        <item x="998"/>
        <item x="756"/>
        <item x="823"/>
        <item x="455"/>
        <item x="901"/>
        <item x="503"/>
        <item x="892"/>
        <item x="619"/>
        <item x="632"/>
        <item x="808"/>
        <item x="670"/>
        <item x="671"/>
        <item x="90"/>
        <item x="171"/>
        <item x="12"/>
        <item x="685"/>
        <item x="280"/>
        <item x="950"/>
        <item x="481"/>
        <item x="30"/>
        <item x="137"/>
        <item x="603"/>
        <item x="53"/>
        <item x="180"/>
        <item x="498"/>
        <item x="926"/>
        <item x="109"/>
        <item x="175"/>
        <item x="942"/>
        <item x="881"/>
        <item x="984"/>
        <item x="735"/>
        <item x="450"/>
        <item x="289"/>
        <item x="543"/>
        <item x="404"/>
        <item x="906"/>
        <item x="347"/>
        <item x="72"/>
        <item x="346"/>
        <item x="25"/>
        <item x="403"/>
        <item x="819"/>
        <item x="805"/>
        <item x="21"/>
        <item x="17"/>
        <item x="728"/>
        <item x="169"/>
        <item x="462"/>
        <item x="475"/>
        <item x="856"/>
        <item x="955"/>
        <item x="785"/>
        <item x="716"/>
        <item x="915"/>
        <item x="43"/>
        <item x="419"/>
        <item x="282"/>
        <item x="67"/>
        <item x="824"/>
        <item x="981"/>
        <item x="161"/>
        <item x="75"/>
        <item x="70"/>
        <item x="303"/>
        <item x="959"/>
        <item x="396"/>
        <item x="894"/>
        <item x="264"/>
        <item x="178"/>
        <item x="322"/>
        <item x="956"/>
        <item x="493"/>
        <item x="167"/>
        <item x="874"/>
        <item x="723"/>
        <item x="374"/>
        <item x="215"/>
        <item x="567"/>
        <item x="10"/>
        <item x="230"/>
        <item x="164"/>
        <item x="29"/>
        <item x="122"/>
        <item x="726"/>
        <item x="771"/>
        <item x="382"/>
        <item x="432"/>
        <item x="574"/>
        <item x="244"/>
        <item x="738"/>
        <item x="126"/>
        <item x="653"/>
        <item x="214"/>
        <item x="76"/>
        <item x="183"/>
        <item x="703"/>
        <item x="940"/>
        <item x="384"/>
        <item x="658"/>
        <item x="302"/>
        <item x="294"/>
        <item x="891"/>
        <item x="57"/>
        <item x="917"/>
        <item x="19"/>
        <item x="242"/>
        <item x="442"/>
        <item x="689"/>
        <item x="248"/>
        <item x="643"/>
        <item x="597"/>
        <item x="752"/>
        <item x="412"/>
        <item x="740"/>
        <item x="200"/>
        <item x="148"/>
        <item x="616"/>
        <item x="491"/>
        <item x="551"/>
        <item x="47"/>
        <item x="341"/>
        <item x="357"/>
        <item x="6"/>
        <item x="971"/>
        <item x="781"/>
        <item x="132"/>
        <item x="765"/>
        <item x="13"/>
        <item x="34"/>
        <item x="715"/>
        <item x="893"/>
        <item x="644"/>
        <item x="266"/>
        <item x="257"/>
        <item x="85"/>
        <item x="571"/>
        <item x="655"/>
        <item x="618"/>
        <item x="37"/>
        <item x="561"/>
        <item x="549"/>
        <item x="960"/>
        <item x="555"/>
        <item x="636"/>
        <item x="853"/>
        <item x="87"/>
        <item x="888"/>
        <item x="710"/>
        <item x="457"/>
        <item x="330"/>
        <item x="531"/>
        <item x="127"/>
        <item x="849"/>
        <item x="399"/>
        <item x="576"/>
        <item x="919"/>
        <item x="529"/>
        <item x="607"/>
        <item x="536"/>
        <item x="826"/>
        <item x="418"/>
        <item x="673"/>
        <item x="305"/>
        <item x="512"/>
        <item x="760"/>
        <item x="604"/>
        <item x="523"/>
        <item x="234"/>
        <item x="426"/>
        <item x="437"/>
        <item x="93"/>
        <item x="222"/>
        <item x="84"/>
        <item x="678"/>
        <item x="434"/>
        <item x="578"/>
        <item x="100"/>
        <item x="111"/>
        <item x="363"/>
        <item x="577"/>
        <item x="822"/>
        <item x="141"/>
        <item x="834"/>
        <item x="944"/>
        <item x="631"/>
        <item x="73"/>
        <item x="737"/>
        <item x="912"/>
        <item x="790"/>
        <item x="422"/>
        <item x="484"/>
        <item x="343"/>
        <item x="594"/>
        <item x="839"/>
        <item x="173"/>
        <item x="197"/>
        <item x="580"/>
        <item x="337"/>
        <item x="991"/>
        <item x="630"/>
        <item x="590"/>
        <item x="186"/>
        <item x="189"/>
        <item x="579"/>
        <item x="799"/>
        <item x="276"/>
        <item x="709"/>
        <item x="16"/>
        <item x="465"/>
        <item x="663"/>
        <item x="431"/>
        <item x="2"/>
        <item x="185"/>
        <item x="705"/>
        <item x="734"/>
        <item x="722"/>
        <item x="634"/>
        <item x="379"/>
        <item x="360"/>
        <item x="250"/>
        <item x="24"/>
        <item x="925"/>
        <item x="717"/>
        <item x="144"/>
        <item x="293"/>
        <item x="649"/>
        <item x="515"/>
        <item x="526"/>
        <item x="664"/>
        <item x="748"/>
        <item x="281"/>
        <item x="463"/>
        <item x="533"/>
        <item x="290"/>
        <item x="106"/>
        <item x="995"/>
        <item x="195"/>
        <item x="405"/>
        <item x="411"/>
        <item x="530"/>
        <item x="552"/>
        <item x="177"/>
        <item x="221"/>
        <item x="48"/>
        <item x="879"/>
        <item x="298"/>
        <item x="975"/>
        <item x="62"/>
        <item x="190"/>
        <item x="660"/>
        <item x="647"/>
        <item x="15"/>
        <item x="918"/>
        <item x="954"/>
        <item x="570"/>
        <item x="287"/>
        <item x="140"/>
        <item x="449"/>
        <item x="4"/>
        <item x="9"/>
        <item x="329"/>
        <item x="807"/>
        <item x="331"/>
        <item x="446"/>
        <item x="938"/>
        <item x="932"/>
        <item x="308"/>
        <item x="958"/>
        <item x="188"/>
        <item x="924"/>
        <item x="548"/>
        <item x="582"/>
        <item x="224"/>
        <item x="702"/>
        <item x="502"/>
        <item x="659"/>
        <item x="827"/>
        <item x="784"/>
        <item x="500"/>
        <item x="146"/>
        <item x="182"/>
        <item x="602"/>
        <item x="747"/>
        <item x="368"/>
        <item x="315"/>
        <item x="712"/>
        <item x="693"/>
        <item x="829"/>
        <item x="935"/>
        <item x="792"/>
        <item x="83"/>
        <item x="560"/>
        <item x="587"/>
        <item x="538"/>
        <item x="435"/>
        <item x="933"/>
        <item x="258"/>
        <item x="521"/>
        <item x="595"/>
        <item x="198"/>
        <item x="23"/>
        <item x="381"/>
        <item x="123"/>
        <item x="999"/>
        <item x="809"/>
        <item x="344"/>
        <item x="210"/>
        <item x="477"/>
        <item x="885"/>
        <item x="115"/>
        <item x="622"/>
        <item x="268"/>
        <item x="598"/>
        <item x="110"/>
        <item x="545"/>
        <item x="89"/>
        <item x="155"/>
        <item x="206"/>
        <item x="889"/>
        <item x="600"/>
        <item x="764"/>
        <item x="900"/>
        <item x="565"/>
        <item x="951"/>
        <item x="928"/>
        <item x="413"/>
        <item x="514"/>
        <item x="837"/>
        <item x="584"/>
        <item x="39"/>
        <item x="63"/>
        <item x="385"/>
        <item x="620"/>
        <item x="608"/>
        <item x="317"/>
        <item x="770"/>
        <item x="324"/>
        <item x="232"/>
        <item x="41"/>
        <item x="120"/>
        <item x="875"/>
        <item x="629"/>
        <item x="425"/>
        <item x="540"/>
        <item x="225"/>
        <item x="163"/>
        <item x="490"/>
        <item x="104"/>
        <item x="646"/>
        <item x="909"/>
        <item x="273"/>
        <item x="963"/>
        <item x="625"/>
        <item x="228"/>
        <item x="949"/>
        <item x="672"/>
        <item x="982"/>
        <item x="245"/>
        <item x="311"/>
        <item x="44"/>
        <item x="617"/>
        <item x="610"/>
        <item x="420"/>
        <item x="304"/>
        <item x="855"/>
        <item x="226"/>
        <item x="793"/>
        <item x="513"/>
        <item x="172"/>
        <item x="389"/>
        <item x="424"/>
        <item x="736"/>
        <item x="285"/>
        <item x="585"/>
        <item x="789"/>
        <item x="355"/>
        <item x="218"/>
        <item x="81"/>
        <item x="103"/>
        <item x="681"/>
        <item x="193"/>
        <item x="277"/>
        <item x="496"/>
        <item x="848"/>
        <item x="972"/>
        <item x="166"/>
        <item x="930"/>
        <item x="156"/>
        <item x="840"/>
        <item x="507"/>
        <item x="973"/>
        <item x="769"/>
        <item x="599"/>
        <item x="60"/>
        <item x="665"/>
        <item x="844"/>
        <item x="504"/>
        <item x="309"/>
        <item x="1"/>
        <item x="333"/>
        <item x="606"/>
        <item x="208"/>
        <item x="833"/>
        <item x="842"/>
        <item x="904"/>
        <item x="861"/>
        <item x="609"/>
        <item x="751"/>
        <item x="966"/>
        <item x="128"/>
        <item x="170"/>
        <item x="467"/>
        <item x="380"/>
        <item x="160"/>
        <item x="176"/>
        <item x="886"/>
        <item x="98"/>
        <item x="255"/>
        <item x="327"/>
        <item x="812"/>
        <item x="211"/>
        <item x="427"/>
        <item x="299"/>
        <item x="486"/>
        <item x="666"/>
        <item x="495"/>
        <item x="243"/>
        <item x="147"/>
        <item x="559"/>
        <item x="113"/>
        <item x="375"/>
        <item x="700"/>
        <item x="5"/>
        <item x="479"/>
        <item x="492"/>
        <item x="31"/>
        <item x="470"/>
        <item x="56"/>
        <item x="275"/>
        <item x="356"/>
        <item x="262"/>
        <item x="739"/>
        <item x="524"/>
        <item x="897"/>
        <item x="896"/>
        <item x="624"/>
        <item x="233"/>
        <item x="838"/>
        <item x="58"/>
        <item x="269"/>
        <item x="430"/>
        <item x="731"/>
        <item x="489"/>
        <item x="843"/>
        <item x="38"/>
        <item x="637"/>
        <item x="759"/>
        <item x="763"/>
        <item x="392"/>
        <item x="64"/>
        <item x="50"/>
        <item x="730"/>
        <item x="271"/>
        <item x="94"/>
        <item x="42"/>
        <item x="969"/>
        <item x="138"/>
        <item x="454"/>
        <item x="364"/>
        <item x="732"/>
        <item x="391"/>
        <item x="239"/>
        <item x="914"/>
        <item x="952"/>
        <item x="488"/>
        <item x="71"/>
        <item x="641"/>
        <item x="247"/>
        <item x="288"/>
        <item x="365"/>
        <item x="977"/>
        <item x="338"/>
        <item x="967"/>
        <item x="863"/>
        <item x="7"/>
        <item x="74"/>
        <item x="251"/>
        <item x="669"/>
        <item x="638"/>
        <item x="846"/>
        <item x="80"/>
        <item x="390"/>
        <item x="249"/>
        <item x="873"/>
        <item x="639"/>
        <item x="497"/>
        <item x="272"/>
        <item x="931"/>
        <item x="990"/>
        <item x="887"/>
        <item x="697"/>
        <item x="253"/>
        <item x="466"/>
        <item x="319"/>
        <item x="993"/>
        <item x="968"/>
        <item x="398"/>
        <item x="441"/>
        <item x="518"/>
        <item x="782"/>
        <item x="695"/>
        <item x="714"/>
        <item x="468"/>
        <item x="754"/>
        <item x="306"/>
        <item x="383"/>
        <item x="830"/>
        <item x="159"/>
        <item x="831"/>
        <item x="59"/>
        <item x="743"/>
        <item x="558"/>
        <item x="683"/>
        <item x="814"/>
        <item x="157"/>
        <item x="980"/>
        <item x="775"/>
        <item x="612"/>
        <item x="858"/>
        <item x="929"/>
        <item x="997"/>
        <item x="236"/>
        <item x="452"/>
        <item x="397"/>
        <item x="520"/>
        <item x="478"/>
        <item x="688"/>
        <item x="55"/>
        <item x="505"/>
        <item x="794"/>
        <item x="746"/>
        <item x="719"/>
        <item x="816"/>
        <item x="471"/>
        <item x="291"/>
        <item x="501"/>
        <item x="511"/>
        <item x="890"/>
        <item x="986"/>
        <item x="676"/>
        <item x="796"/>
        <item x="313"/>
        <item x="779"/>
        <item x="95"/>
        <item x="49"/>
        <item x="508"/>
        <item x="870"/>
        <item x="45"/>
        <item x="61"/>
        <item x="359"/>
        <item x="213"/>
        <item x="650"/>
        <item x="326"/>
        <item x="674"/>
        <item x="668"/>
        <item x="947"/>
        <item x="469"/>
        <item x="168"/>
        <item x="749"/>
        <item x="976"/>
        <item x="393"/>
        <item x="876"/>
        <item x="451"/>
        <item x="801"/>
        <item x="773"/>
        <item x="79"/>
        <item x="635"/>
        <item x="662"/>
        <item x="744"/>
        <item x="69"/>
        <item x="373"/>
        <item x="795"/>
        <item x="946"/>
        <item x="366"/>
        <item x="284"/>
        <item x="589"/>
        <item x="581"/>
        <item x="433"/>
        <item x="283"/>
        <item x="943"/>
        <item x="927"/>
        <item x="105"/>
        <item x="525"/>
        <item x="135"/>
        <item x="535"/>
        <item x="857"/>
        <item x="409"/>
        <item x="407"/>
        <item x="803"/>
        <item x="541"/>
        <item x="351"/>
        <item x="923"/>
        <item x="780"/>
        <item x="86"/>
        <item x="295"/>
        <item x="246"/>
        <item x="691"/>
        <item x="841"/>
        <item x="575"/>
        <item x="318"/>
        <item x="704"/>
        <item x="447"/>
        <item x="203"/>
        <item x="107"/>
        <item x="388"/>
        <item x="675"/>
        <item x="328"/>
        <item x="274"/>
        <item x="286"/>
        <item x="591"/>
        <item x="623"/>
        <item x="750"/>
        <item x="992"/>
        <item x="296"/>
        <item x="487"/>
        <item x="869"/>
        <item x="811"/>
        <item x="139"/>
        <item x="150"/>
        <item x="910"/>
        <item x="66"/>
        <item x="444"/>
        <item x="864"/>
        <item x="987"/>
        <item x="179"/>
        <item x="566"/>
        <item x="537"/>
        <item x="229"/>
        <item x="684"/>
        <item x="428"/>
        <item x="367"/>
        <item x="429"/>
        <item x="642"/>
        <item x="802"/>
        <item x="54"/>
        <item x="201"/>
        <item x="965"/>
        <item x="989"/>
        <item x="708"/>
        <item x="905"/>
        <item x="677"/>
        <item x="240"/>
        <item x="880"/>
        <item x="878"/>
        <item x="516"/>
        <item x="256"/>
        <item x="480"/>
        <item x="985"/>
        <item x="692"/>
        <item x="443"/>
        <item x="370"/>
        <item x="339"/>
        <item x="922"/>
        <item x="265"/>
        <item x="279"/>
        <item x="729"/>
        <item x="916"/>
        <item x="820"/>
        <item x="776"/>
        <item x="615"/>
        <item x="20"/>
        <item x="978"/>
        <item x="65"/>
        <item x="583"/>
        <item x="51"/>
        <item x="920"/>
        <item x="131"/>
        <item x="142"/>
        <item x="301"/>
        <item x="406"/>
        <item x="416"/>
        <item x="133"/>
        <item x="494"/>
        <item x="27"/>
        <item x="667"/>
        <item x="485"/>
        <item x="902"/>
        <item x="26"/>
        <item x="633"/>
        <item x="68"/>
        <item x="937"/>
        <item x="517"/>
        <item x="417"/>
        <item x="362"/>
        <item x="270"/>
        <item x="652"/>
        <item x="323"/>
        <item x="899"/>
        <item x="459"/>
        <item x="627"/>
        <item x="860"/>
        <item x="699"/>
        <item x="199"/>
        <item x="787"/>
        <item x="996"/>
        <item x="334"/>
        <item x="817"/>
        <item x="99"/>
        <item x="865"/>
        <item t="default"/>
      </items>
    </pivotField>
    <pivotField dataField="1" compact="0" showAll="0">
      <items count="1000">
        <item x="473"/>
        <item x="129"/>
        <item x="573"/>
        <item x="771"/>
        <item x="102"/>
        <item x="865"/>
        <item x="314"/>
        <item x="354"/>
        <item x="118"/>
        <item x="342"/>
        <item x="153"/>
        <item x="33"/>
        <item x="510"/>
        <item x="445"/>
        <item x="187"/>
        <item x="181"/>
        <item x="741"/>
        <item x="254"/>
        <item x="401"/>
        <item x="415"/>
        <item x="387"/>
        <item x="259"/>
        <item x="506"/>
        <item x="117"/>
        <item x="787"/>
        <item x="97"/>
        <item x="252"/>
        <item x="101"/>
        <item x="165"/>
        <item x="876"/>
        <item x="592"/>
        <item x="906"/>
        <item x="121"/>
        <item x="907"/>
        <item x="596"/>
        <item x="421"/>
        <item x="134"/>
        <item x="316"/>
        <item x="464"/>
        <item x="866"/>
        <item x="849"/>
        <item x="522"/>
        <item x="812"/>
        <item x="376"/>
        <item x="773"/>
        <item x="894"/>
        <item x="785"/>
        <item x="149"/>
        <item x="648"/>
        <item x="184"/>
        <item x="562"/>
        <item x="400"/>
        <item x="563"/>
        <item x="706"/>
        <item x="654"/>
        <item x="897"/>
        <item x="690"/>
        <item x="550"/>
        <item x="883"/>
        <item x="640"/>
        <item x="22"/>
        <item x="867"/>
        <item x="661"/>
        <item x="223"/>
        <item x="680"/>
        <item x="850"/>
        <item x="11"/>
        <item x="136"/>
        <item x="436"/>
        <item x="777"/>
        <item x="593"/>
        <item x="78"/>
        <item x="752"/>
        <item x="519"/>
        <item x="238"/>
        <item x="817"/>
        <item x="348"/>
        <item x="261"/>
        <item x="114"/>
        <item x="209"/>
        <item x="902"/>
        <item x="476"/>
        <item x="174"/>
        <item x="278"/>
        <item x="799"/>
        <item x="805"/>
        <item x="766"/>
        <item x="803"/>
        <item x="539"/>
        <item x="152"/>
        <item x="453"/>
        <item x="740"/>
        <item x="834"/>
        <item x="448"/>
        <item x="978"/>
        <item x="307"/>
        <item x="119"/>
        <item x="231"/>
        <item x="227"/>
        <item x="756"/>
        <item x="260"/>
        <item x="300"/>
        <item x="656"/>
        <item x="719"/>
        <item x="835"/>
        <item x="35"/>
        <item x="853"/>
        <item x="474"/>
        <item x="858"/>
        <item x="46"/>
        <item x="761"/>
        <item x="712"/>
        <item x="263"/>
        <item x="82"/>
        <item x="458"/>
        <item x="724"/>
        <item x="378"/>
        <item x="871"/>
        <item x="394"/>
        <item x="940"/>
        <item x="414"/>
        <item x="882"/>
        <item x="534"/>
        <item x="52"/>
        <item x="732"/>
        <item x="542"/>
        <item x="944"/>
        <item x="40"/>
        <item x="353"/>
        <item x="408"/>
        <item x="130"/>
        <item x="191"/>
        <item x="461"/>
        <item x="112"/>
        <item x="621"/>
        <item x="651"/>
        <item x="235"/>
        <item x="960"/>
        <item x="760"/>
        <item x="881"/>
        <item x="809"/>
        <item x="572"/>
        <item x="588"/>
        <item x="765"/>
        <item x="204"/>
        <item x="18"/>
        <item x="844"/>
        <item x="717"/>
        <item x="336"/>
        <item x="796"/>
        <item x="320"/>
        <item x="220"/>
        <item x="568"/>
        <item x="310"/>
        <item x="952"/>
        <item x="682"/>
        <item x="377"/>
        <item x="124"/>
        <item x="546"/>
        <item x="438"/>
        <item x="557"/>
        <item x="472"/>
        <item x="349"/>
        <item x="237"/>
        <item x="556"/>
        <item x="726"/>
        <item x="973"/>
        <item x="312"/>
        <item x="32"/>
        <item x="695"/>
        <item x="158"/>
        <item x="369"/>
        <item x="947"/>
        <item x="509"/>
        <item x="910"/>
        <item x="554"/>
        <item x="679"/>
        <item x="371"/>
        <item x="96"/>
        <item x="196"/>
        <item x="386"/>
        <item x="499"/>
        <item x="532"/>
        <item x="116"/>
        <item x="710"/>
        <item x="790"/>
        <item x="194"/>
        <item x="933"/>
        <item x="92"/>
        <item x="586"/>
        <item x="212"/>
        <item x="192"/>
        <item x="969"/>
        <item x="831"/>
        <item x="687"/>
        <item x="143"/>
        <item x="352"/>
        <item x="292"/>
        <item x="402"/>
        <item x="645"/>
        <item x="961"/>
        <item x="963"/>
        <item x="483"/>
        <item x="723"/>
        <item x="827"/>
        <item x="14"/>
        <item x="720"/>
        <item x="202"/>
        <item x="982"/>
        <item x="88"/>
        <item x="814"/>
        <item x="912"/>
        <item x="460"/>
        <item x="993"/>
        <item x="700"/>
        <item x="611"/>
        <item x="553"/>
        <item x="297"/>
        <item x="162"/>
        <item x="207"/>
        <item x="626"/>
        <item x="767"/>
        <item x="335"/>
        <item x="754"/>
        <item x="870"/>
        <item x="439"/>
        <item x="938"/>
        <item x="3"/>
        <item x="219"/>
        <item x="824"/>
        <item x="151"/>
        <item x="851"/>
        <item x="757"/>
        <item x="36"/>
        <item x="440"/>
        <item x="657"/>
        <item x="920"/>
        <item x="216"/>
        <item x="241"/>
        <item x="544"/>
        <item x="205"/>
        <item x="697"/>
        <item x="569"/>
        <item x="321"/>
        <item x="797"/>
        <item x="340"/>
        <item x="935"/>
        <item x="358"/>
        <item x="782"/>
        <item x="395"/>
        <item x="423"/>
        <item x="332"/>
        <item x="325"/>
        <item x="987"/>
        <item x="91"/>
        <item x="846"/>
        <item x="345"/>
        <item x="8"/>
        <item x="108"/>
        <item x="820"/>
        <item x="527"/>
        <item x="154"/>
        <item x="601"/>
        <item x="564"/>
        <item x="482"/>
        <item x="28"/>
        <item x="605"/>
        <item x="217"/>
        <item x="410"/>
        <item x="361"/>
        <item x="705"/>
        <item x="125"/>
        <item x="145"/>
        <item x="372"/>
        <item x="861"/>
        <item x="693"/>
        <item x="0"/>
        <item x="613"/>
        <item x="456"/>
        <item x="614"/>
        <item x="628"/>
        <item x="350"/>
        <item x="956"/>
        <item x="528"/>
        <item x="267"/>
        <item x="776"/>
        <item x="547"/>
        <item x="744"/>
        <item x="77"/>
        <item x="686"/>
        <item x="997"/>
        <item x="755"/>
        <item x="822"/>
        <item x="455"/>
        <item x="900"/>
        <item x="503"/>
        <item x="891"/>
        <item x="619"/>
        <item x="632"/>
        <item x="807"/>
        <item x="670"/>
        <item x="671"/>
        <item x="90"/>
        <item x="171"/>
        <item x="12"/>
        <item x="685"/>
        <item x="280"/>
        <item x="949"/>
        <item x="481"/>
        <item x="30"/>
        <item x="137"/>
        <item x="603"/>
        <item x="53"/>
        <item x="180"/>
        <item x="498"/>
        <item x="925"/>
        <item x="109"/>
        <item x="175"/>
        <item x="941"/>
        <item x="880"/>
        <item x="983"/>
        <item x="734"/>
        <item x="450"/>
        <item x="289"/>
        <item x="543"/>
        <item x="404"/>
        <item x="905"/>
        <item x="347"/>
        <item x="72"/>
        <item x="346"/>
        <item x="25"/>
        <item x="403"/>
        <item x="818"/>
        <item x="804"/>
        <item x="21"/>
        <item x="17"/>
        <item x="727"/>
        <item x="169"/>
        <item x="462"/>
        <item x="475"/>
        <item x="855"/>
        <item x="954"/>
        <item x="784"/>
        <item x="715"/>
        <item x="914"/>
        <item x="43"/>
        <item x="419"/>
        <item x="282"/>
        <item x="67"/>
        <item x="823"/>
        <item x="980"/>
        <item x="161"/>
        <item x="75"/>
        <item x="70"/>
        <item x="303"/>
        <item x="958"/>
        <item x="396"/>
        <item x="893"/>
        <item x="264"/>
        <item x="178"/>
        <item x="322"/>
        <item x="955"/>
        <item x="493"/>
        <item x="167"/>
        <item x="873"/>
        <item x="722"/>
        <item x="374"/>
        <item x="215"/>
        <item x="567"/>
        <item x="10"/>
        <item x="230"/>
        <item x="164"/>
        <item x="29"/>
        <item x="122"/>
        <item x="725"/>
        <item x="770"/>
        <item x="382"/>
        <item x="432"/>
        <item x="574"/>
        <item x="244"/>
        <item x="737"/>
        <item x="126"/>
        <item x="653"/>
        <item x="214"/>
        <item x="76"/>
        <item x="183"/>
        <item x="702"/>
        <item x="939"/>
        <item x="384"/>
        <item x="658"/>
        <item x="302"/>
        <item x="294"/>
        <item x="890"/>
        <item x="57"/>
        <item x="916"/>
        <item x="19"/>
        <item x="242"/>
        <item x="442"/>
        <item x="689"/>
        <item x="248"/>
        <item x="643"/>
        <item x="597"/>
        <item x="751"/>
        <item x="412"/>
        <item x="739"/>
        <item x="200"/>
        <item x="148"/>
        <item x="616"/>
        <item x="491"/>
        <item x="551"/>
        <item x="47"/>
        <item x="341"/>
        <item x="357"/>
        <item x="6"/>
        <item x="970"/>
        <item x="780"/>
        <item x="132"/>
        <item x="764"/>
        <item x="13"/>
        <item x="34"/>
        <item x="714"/>
        <item x="892"/>
        <item x="644"/>
        <item x="266"/>
        <item x="257"/>
        <item x="85"/>
        <item x="571"/>
        <item x="655"/>
        <item x="618"/>
        <item x="37"/>
        <item x="561"/>
        <item x="549"/>
        <item x="959"/>
        <item x="555"/>
        <item x="636"/>
        <item x="852"/>
        <item x="87"/>
        <item x="887"/>
        <item x="709"/>
        <item x="457"/>
        <item x="330"/>
        <item x="531"/>
        <item x="127"/>
        <item x="848"/>
        <item x="399"/>
        <item x="576"/>
        <item x="918"/>
        <item x="529"/>
        <item x="607"/>
        <item x="536"/>
        <item x="825"/>
        <item x="418"/>
        <item x="673"/>
        <item x="305"/>
        <item x="512"/>
        <item x="759"/>
        <item x="604"/>
        <item x="523"/>
        <item x="234"/>
        <item x="426"/>
        <item x="437"/>
        <item x="93"/>
        <item x="222"/>
        <item x="84"/>
        <item x="678"/>
        <item x="434"/>
        <item x="578"/>
        <item x="100"/>
        <item x="111"/>
        <item x="363"/>
        <item x="577"/>
        <item x="821"/>
        <item x="141"/>
        <item x="833"/>
        <item x="943"/>
        <item x="631"/>
        <item x="73"/>
        <item x="736"/>
        <item x="911"/>
        <item x="789"/>
        <item x="422"/>
        <item x="484"/>
        <item x="343"/>
        <item x="594"/>
        <item x="838"/>
        <item x="173"/>
        <item x="197"/>
        <item x="580"/>
        <item x="337"/>
        <item x="990"/>
        <item x="630"/>
        <item x="590"/>
        <item x="186"/>
        <item x="189"/>
        <item x="579"/>
        <item x="798"/>
        <item x="276"/>
        <item x="708"/>
        <item x="16"/>
        <item x="465"/>
        <item x="663"/>
        <item x="431"/>
        <item x="2"/>
        <item x="185"/>
        <item x="704"/>
        <item x="733"/>
        <item x="721"/>
        <item x="634"/>
        <item x="379"/>
        <item x="360"/>
        <item x="250"/>
        <item x="24"/>
        <item x="924"/>
        <item x="716"/>
        <item x="144"/>
        <item x="293"/>
        <item x="649"/>
        <item x="515"/>
        <item x="526"/>
        <item x="664"/>
        <item x="747"/>
        <item x="281"/>
        <item x="463"/>
        <item x="533"/>
        <item x="290"/>
        <item x="106"/>
        <item x="994"/>
        <item x="195"/>
        <item x="405"/>
        <item x="411"/>
        <item x="530"/>
        <item x="552"/>
        <item x="177"/>
        <item x="221"/>
        <item x="48"/>
        <item x="878"/>
        <item x="298"/>
        <item x="974"/>
        <item x="62"/>
        <item x="190"/>
        <item x="660"/>
        <item x="647"/>
        <item x="15"/>
        <item x="917"/>
        <item x="953"/>
        <item x="570"/>
        <item x="287"/>
        <item x="140"/>
        <item x="449"/>
        <item x="4"/>
        <item x="9"/>
        <item x="329"/>
        <item x="806"/>
        <item x="331"/>
        <item x="446"/>
        <item x="937"/>
        <item x="931"/>
        <item x="308"/>
        <item x="957"/>
        <item x="188"/>
        <item x="923"/>
        <item x="548"/>
        <item x="582"/>
        <item x="224"/>
        <item x="701"/>
        <item x="502"/>
        <item x="659"/>
        <item x="826"/>
        <item x="783"/>
        <item x="500"/>
        <item x="146"/>
        <item x="182"/>
        <item x="602"/>
        <item x="746"/>
        <item x="368"/>
        <item x="315"/>
        <item x="711"/>
        <item x="692"/>
        <item x="828"/>
        <item x="934"/>
        <item x="791"/>
        <item x="83"/>
        <item x="560"/>
        <item x="587"/>
        <item x="538"/>
        <item x="435"/>
        <item x="932"/>
        <item x="258"/>
        <item x="521"/>
        <item x="595"/>
        <item x="198"/>
        <item x="23"/>
        <item x="381"/>
        <item x="123"/>
        <item x="998"/>
        <item x="808"/>
        <item x="344"/>
        <item x="210"/>
        <item x="477"/>
        <item x="884"/>
        <item x="115"/>
        <item x="622"/>
        <item x="268"/>
        <item x="598"/>
        <item x="110"/>
        <item x="545"/>
        <item x="89"/>
        <item x="155"/>
        <item x="206"/>
        <item x="888"/>
        <item x="600"/>
        <item x="763"/>
        <item x="899"/>
        <item x="565"/>
        <item x="950"/>
        <item x="927"/>
        <item x="413"/>
        <item x="514"/>
        <item x="836"/>
        <item x="584"/>
        <item x="39"/>
        <item x="63"/>
        <item x="385"/>
        <item x="620"/>
        <item x="608"/>
        <item x="317"/>
        <item x="769"/>
        <item x="324"/>
        <item x="232"/>
        <item x="41"/>
        <item x="120"/>
        <item x="874"/>
        <item x="629"/>
        <item x="425"/>
        <item x="540"/>
        <item x="225"/>
        <item x="163"/>
        <item x="490"/>
        <item x="104"/>
        <item x="646"/>
        <item x="908"/>
        <item x="273"/>
        <item x="962"/>
        <item x="625"/>
        <item x="228"/>
        <item x="948"/>
        <item x="672"/>
        <item x="981"/>
        <item x="245"/>
        <item x="311"/>
        <item x="44"/>
        <item x="617"/>
        <item x="610"/>
        <item x="420"/>
        <item x="304"/>
        <item x="854"/>
        <item x="226"/>
        <item x="792"/>
        <item x="513"/>
        <item x="172"/>
        <item x="389"/>
        <item x="424"/>
        <item x="735"/>
        <item x="285"/>
        <item x="585"/>
        <item x="788"/>
        <item x="355"/>
        <item x="218"/>
        <item x="81"/>
        <item x="103"/>
        <item x="681"/>
        <item x="193"/>
        <item x="277"/>
        <item x="496"/>
        <item x="847"/>
        <item x="971"/>
        <item x="166"/>
        <item x="929"/>
        <item x="156"/>
        <item x="839"/>
        <item x="507"/>
        <item x="972"/>
        <item x="768"/>
        <item x="599"/>
        <item x="60"/>
        <item x="665"/>
        <item x="843"/>
        <item x="504"/>
        <item x="309"/>
        <item x="1"/>
        <item x="333"/>
        <item x="606"/>
        <item x="208"/>
        <item x="832"/>
        <item x="841"/>
        <item x="903"/>
        <item x="860"/>
        <item x="609"/>
        <item x="750"/>
        <item x="965"/>
        <item x="128"/>
        <item x="170"/>
        <item x="467"/>
        <item x="380"/>
        <item x="160"/>
        <item x="176"/>
        <item x="885"/>
        <item x="98"/>
        <item x="255"/>
        <item x="327"/>
        <item x="811"/>
        <item x="211"/>
        <item x="427"/>
        <item x="299"/>
        <item x="486"/>
        <item x="666"/>
        <item x="495"/>
        <item x="243"/>
        <item x="147"/>
        <item x="559"/>
        <item x="113"/>
        <item x="375"/>
        <item x="699"/>
        <item x="5"/>
        <item x="479"/>
        <item x="492"/>
        <item x="31"/>
        <item x="470"/>
        <item x="56"/>
        <item x="275"/>
        <item x="356"/>
        <item x="262"/>
        <item x="738"/>
        <item x="524"/>
        <item x="896"/>
        <item x="895"/>
        <item x="624"/>
        <item x="233"/>
        <item x="837"/>
        <item x="58"/>
        <item x="269"/>
        <item x="430"/>
        <item x="730"/>
        <item x="489"/>
        <item x="842"/>
        <item x="38"/>
        <item x="637"/>
        <item x="758"/>
        <item x="762"/>
        <item x="392"/>
        <item x="64"/>
        <item x="50"/>
        <item x="729"/>
        <item x="271"/>
        <item x="94"/>
        <item x="42"/>
        <item x="968"/>
        <item x="138"/>
        <item x="454"/>
        <item x="364"/>
        <item x="731"/>
        <item x="391"/>
        <item x="239"/>
        <item x="913"/>
        <item x="951"/>
        <item x="488"/>
        <item x="71"/>
        <item x="641"/>
        <item x="247"/>
        <item x="288"/>
        <item x="365"/>
        <item x="976"/>
        <item x="338"/>
        <item x="966"/>
        <item x="862"/>
        <item x="7"/>
        <item x="74"/>
        <item x="251"/>
        <item x="669"/>
        <item x="638"/>
        <item x="845"/>
        <item x="80"/>
        <item x="390"/>
        <item x="249"/>
        <item x="872"/>
        <item x="639"/>
        <item x="497"/>
        <item x="272"/>
        <item x="930"/>
        <item x="989"/>
        <item x="886"/>
        <item x="696"/>
        <item x="253"/>
        <item x="466"/>
        <item x="319"/>
        <item x="992"/>
        <item x="967"/>
        <item x="398"/>
        <item x="441"/>
        <item x="518"/>
        <item x="781"/>
        <item x="694"/>
        <item x="713"/>
        <item x="468"/>
        <item x="753"/>
        <item x="306"/>
        <item x="383"/>
        <item x="829"/>
        <item x="159"/>
        <item x="830"/>
        <item x="59"/>
        <item x="742"/>
        <item x="558"/>
        <item x="683"/>
        <item x="813"/>
        <item x="157"/>
        <item x="979"/>
        <item x="774"/>
        <item x="612"/>
        <item x="857"/>
        <item x="928"/>
        <item x="996"/>
        <item x="236"/>
        <item x="452"/>
        <item x="397"/>
        <item x="520"/>
        <item x="478"/>
        <item x="688"/>
        <item x="55"/>
        <item x="505"/>
        <item x="793"/>
        <item x="745"/>
        <item x="718"/>
        <item x="815"/>
        <item x="471"/>
        <item x="291"/>
        <item x="501"/>
        <item x="511"/>
        <item x="889"/>
        <item x="985"/>
        <item x="676"/>
        <item x="795"/>
        <item x="313"/>
        <item x="778"/>
        <item x="95"/>
        <item x="49"/>
        <item x="508"/>
        <item x="869"/>
        <item x="45"/>
        <item x="61"/>
        <item x="359"/>
        <item x="213"/>
        <item x="650"/>
        <item x="326"/>
        <item x="674"/>
        <item x="668"/>
        <item x="946"/>
        <item x="469"/>
        <item x="168"/>
        <item x="748"/>
        <item x="975"/>
        <item x="393"/>
        <item x="875"/>
        <item x="451"/>
        <item x="800"/>
        <item x="772"/>
        <item x="79"/>
        <item x="635"/>
        <item x="662"/>
        <item x="743"/>
        <item x="69"/>
        <item x="373"/>
        <item x="794"/>
        <item x="945"/>
        <item x="366"/>
        <item x="284"/>
        <item x="589"/>
        <item x="581"/>
        <item x="433"/>
        <item x="283"/>
        <item x="942"/>
        <item x="926"/>
        <item x="105"/>
        <item x="525"/>
        <item x="135"/>
        <item x="535"/>
        <item x="856"/>
        <item x="409"/>
        <item x="407"/>
        <item x="802"/>
        <item x="541"/>
        <item x="351"/>
        <item x="922"/>
        <item x="779"/>
        <item x="86"/>
        <item x="295"/>
        <item x="246"/>
        <item x="691"/>
        <item x="840"/>
        <item x="575"/>
        <item x="318"/>
        <item x="703"/>
        <item x="447"/>
        <item x="203"/>
        <item x="107"/>
        <item x="388"/>
        <item x="675"/>
        <item x="328"/>
        <item x="274"/>
        <item x="286"/>
        <item x="591"/>
        <item x="623"/>
        <item x="749"/>
        <item x="991"/>
        <item x="296"/>
        <item x="487"/>
        <item x="868"/>
        <item x="810"/>
        <item x="139"/>
        <item x="150"/>
        <item x="909"/>
        <item x="66"/>
        <item x="444"/>
        <item x="863"/>
        <item x="986"/>
        <item x="179"/>
        <item x="566"/>
        <item x="537"/>
        <item x="229"/>
        <item x="684"/>
        <item x="428"/>
        <item x="367"/>
        <item x="429"/>
        <item x="642"/>
        <item x="801"/>
        <item x="54"/>
        <item x="201"/>
        <item x="964"/>
        <item x="988"/>
        <item x="707"/>
        <item x="904"/>
        <item x="677"/>
        <item x="240"/>
        <item x="879"/>
        <item x="877"/>
        <item x="516"/>
        <item x="256"/>
        <item x="480"/>
        <item x="984"/>
        <item x="443"/>
        <item x="370"/>
        <item x="339"/>
        <item x="921"/>
        <item x="265"/>
        <item x="279"/>
        <item x="728"/>
        <item x="915"/>
        <item x="819"/>
        <item x="775"/>
        <item x="615"/>
        <item x="20"/>
        <item x="977"/>
        <item x="65"/>
        <item x="583"/>
        <item x="51"/>
        <item x="919"/>
        <item x="131"/>
        <item x="142"/>
        <item x="301"/>
        <item x="406"/>
        <item x="416"/>
        <item x="133"/>
        <item x="494"/>
        <item x="27"/>
        <item x="667"/>
        <item x="485"/>
        <item x="901"/>
        <item x="26"/>
        <item x="633"/>
        <item x="68"/>
        <item x="936"/>
        <item x="517"/>
        <item x="417"/>
        <item x="362"/>
        <item x="270"/>
        <item x="652"/>
        <item x="323"/>
        <item x="898"/>
        <item x="459"/>
        <item x="627"/>
        <item x="859"/>
        <item x="698"/>
        <item x="199"/>
        <item x="786"/>
        <item x="995"/>
        <item x="334"/>
        <item x="816"/>
        <item x="99"/>
        <item x="864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</pivotFields>
  <rowFields count="1">
    <field x="9"/>
  </rowFields>
  <rowItems count="13">
    <i>
      <x v="1"/>
    </i>
    <i>
      <x v="2"/>
    </i>
    <i>
      <x v="4"/>
    </i>
    <i>
      <x v="9"/>
    </i>
    <i>
      <x v="8"/>
    </i>
    <i>
      <x v="3"/>
    </i>
    <i>
      <x v="12"/>
    </i>
    <i>
      <x v="7"/>
    </i>
    <i>
      <x v="6"/>
    </i>
    <i>
      <x v="5"/>
    </i>
    <i>
      <x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s." fld="14" baseField="0" baseItem="0"/>
    <dataField name="Profit." fld="16" baseField="0" baseItem="0"/>
    <dataField name="Order " fld="0" subtotal="count" baseField="0" baseItem="0"/>
  </dataFields>
  <formats count="12">
    <format dxfId="91">
      <pivotArea collapsedLevelsAreSubtotals="1" fieldPosition="0"/>
    </format>
    <format dxfId="92">
      <pivotArea collapsedLevelsAreSubtotals="1" fieldPosition="0"/>
    </format>
    <format dxfId="93">
      <pivotArea collapsedLevelsAreSubtotals="1" fieldPosition="0"/>
    </format>
    <format dxfId="94">
      <pivotArea collapsedLevelsAreSubtotals="1" fieldPosition="0"/>
    </format>
    <format dxfId="95">
      <pivotArea collapsedLevelsAreSubtotals="1" fieldPosition="0"/>
    </format>
    <format dxfId="96">
      <pivotArea collapsedLevelsAreSubtotals="1" fieldPosition="0"/>
    </format>
    <format dxfId="97">
      <pivotArea collapsedLevelsAreSubtotals="1" fieldPosition="0"/>
    </format>
    <format dxfId="98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99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00">
      <pivotArea type="all" dataOnly="0" outline="0" fieldPosition="0"/>
    </format>
    <format dxfId="101">
      <pivotArea type="all" dataOnly="0" outline="0" fieldPosition="0"/>
    </format>
    <format dxfId="102">
      <pivotArea type="all" dataOnly="0" outline="0" fieldPosition="0"/>
    </format>
  </formats>
  <pivotTableStyleInfo name="PivotStyleLight16" showRowHeaders="1" showColHeaders="1" showLastColumn="1"/>
  <filters count="1">
    <filter evalOrder="-1" fld="-1" id="0" type="">
      <autoFilter ref="A1">
        <filterColumn colId="0">
          <customFilters>
            <customFilter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Date" sourceName="Order Date">
  <pivotTables>
    <pivotTable tabId="2" name="PivotTable7"/>
  </pivotTables>
  <data>
    <tabular pivotCacheId="1">
      <items count="869">
        <i x="463" s="1"/>
        <i x="846" s="1"/>
        <i x="681" s="1"/>
        <i x="535" s="1"/>
        <i x="60" s="1"/>
        <i x="593" s="1"/>
        <i x="740" s="1"/>
        <i x="460" s="1"/>
        <i x="294" s="1"/>
        <i x="1" s="1"/>
        <i x="314" s="1"/>
        <i x="541" s="1"/>
        <i x="202" s="1"/>
        <i x="730" s="1"/>
        <i x="738" s="1"/>
        <i x="788" s="1"/>
        <i x="753" s="1"/>
        <i x="544" s="1"/>
        <i x="668" s="1"/>
        <i x="839" s="1"/>
        <i x="127" s="1"/>
        <i x="167" s="1"/>
        <i x="426" s="1"/>
        <i x="353" s="1"/>
        <i x="157" s="1"/>
        <i x="173" s="1"/>
        <i x="770" s="1"/>
        <i x="98" s="1"/>
        <i x="244" s="1"/>
        <i x="309" s="1"/>
        <i x="713" s="1"/>
        <i x="205" s="1"/>
        <i x="394" s="1"/>
        <i x="284" s="1"/>
        <i x="443" s="1"/>
        <i x="594" s="1"/>
        <i x="452" s="1"/>
        <i x="233" s="1"/>
        <i x="145" s="1"/>
        <i x="503" s="1"/>
        <i x="112" s="1"/>
        <i x="349" s="1"/>
        <i x="623" s="1"/>
        <i x="5" s="1"/>
        <i x="436" s="1"/>
        <i x="449" s="1"/>
        <i x="31" s="1"/>
        <i x="429" s="1"/>
        <i x="56" s="1"/>
        <i x="263" s="1"/>
        <i x="332" s="1"/>
        <i x="250" s="1"/>
        <i x="658" s="1"/>
        <i x="478" s="1"/>
        <i x="781" s="1"/>
        <i x="780" s="1"/>
        <i x="558" s="1"/>
        <i x="225" s="1"/>
        <i x="734" s="1"/>
        <i x="58" s="1"/>
        <i x="257" s="1"/>
        <i x="397" s="1"/>
        <i x="651" s="1"/>
        <i x="446" s="1"/>
        <i x="739" s="1"/>
        <i x="38" s="1"/>
        <i x="570" s="1"/>
        <i x="674" s="1"/>
        <i x="678" s="1"/>
        <i x="363" s="1"/>
        <i x="64" s="1"/>
        <i x="50" s="1"/>
        <i x="650" s="1"/>
        <i x="259" s="1"/>
        <i x="94" s="1"/>
        <i x="42" s="1"/>
        <i x="842" s="1"/>
        <i x="136" s="1"/>
        <i x="416" s="1"/>
        <i x="340" s="1"/>
        <i x="652" s="1"/>
        <i x="362" s="1"/>
        <i x="230" s="1"/>
        <i x="796" s="1"/>
        <i x="827" s="1"/>
        <i x="445" s="1"/>
        <i x="71" s="1"/>
        <i x="573" s="1"/>
        <i x="237" s="1"/>
        <i x="274" s="1"/>
        <i x="341" s="1"/>
        <i x="849" s="1"/>
        <i x="319" s="1"/>
        <i x="840" s="1"/>
        <i x="755" s="1"/>
        <i x="7" s="1"/>
        <i x="74" s="1"/>
        <i x="241" s="1"/>
        <i x="597" s="1"/>
        <i x="571" s="1"/>
        <i x="741" s="1"/>
        <i x="80" s="1"/>
        <i x="361" s="1"/>
        <i x="239" s="1"/>
        <i x="763" s="1"/>
        <i x="572" s="1"/>
        <i x="454" s="1"/>
        <i x="260" s="1"/>
        <i x="812" s="1"/>
        <i x="860" s="1"/>
        <i x="771" s="1"/>
        <i x="621" s="1"/>
        <i x="243" s="1"/>
        <i x="425" s="1"/>
        <i x="302" s="1"/>
        <i x="862" s="1"/>
        <i x="841" s="1"/>
        <i x="369" s="1"/>
        <i x="404" s="1"/>
        <i x="473" s="1"/>
        <i x="692" s="1"/>
        <i x="620" s="1"/>
        <i x="635" s="1"/>
        <i x="427" s="1"/>
        <i x="670" s="1"/>
        <i x="291" s="1"/>
        <i x="356" s="1"/>
        <i x="727" s="1"/>
        <i x="156" s="1"/>
        <i x="728" s="1"/>
        <i x="59" s="1"/>
        <i x="660" s="1"/>
        <i x="502" s="1"/>
        <i x="608" s="1"/>
        <i x="715" s="1"/>
        <i x="154" s="1"/>
        <i x="851" s="1"/>
        <i x="686" s="1"/>
        <i x="547" s="1"/>
        <i x="750" s="1"/>
        <i x="810" s="1"/>
        <i x="866" s="1"/>
        <i x="227" s="1"/>
        <i x="415" s="1"/>
        <i x="368" s="1"/>
        <i x="474" s="1"/>
        <i x="435" s="1"/>
        <i x="613" s="1"/>
        <i x="55" s="1"/>
        <i x="461" s="1"/>
        <i x="702" s="1"/>
        <i x="663" s="1"/>
        <i x="639" s="1"/>
        <i x="717" s="1"/>
        <i x="430" s="1"/>
        <i x="277" s="1"/>
        <i x="457" s="1"/>
        <i x="467" s="1"/>
        <i x="774" s="1"/>
        <i x="856" s="1"/>
        <i x="604" s="1"/>
        <i x="704" s="1"/>
        <i x="297" s="1"/>
        <i x="689" s="1"/>
        <i x="95" s="1"/>
        <i x="49" s="1"/>
        <i x="464" s="1"/>
        <i x="761" s="1"/>
        <i x="45" s="1"/>
        <i x="61" s="1"/>
        <i x="335" s="1"/>
        <i x="207" s="1"/>
        <i x="582" s="1"/>
        <i x="308" s="1"/>
        <i x="602" s="1"/>
        <i x="596" s="1"/>
        <i x="823" s="1"/>
        <i x="428" s="1"/>
        <i x="165" s="1"/>
        <i x="666" s="1"/>
        <i x="848" s="1"/>
        <i x="364" s="1"/>
        <i x="766" s="1"/>
        <i x="414" s="1"/>
        <i x="705" s="1"/>
        <i x="684" s="1"/>
        <i x="79" s="1"/>
        <i x="568" s="1"/>
        <i x="591" s="1"/>
        <i x="661" s="1"/>
        <i x="69" s="1"/>
        <i x="347" s="1"/>
        <i x="703" s="1"/>
        <i x="822" s="1"/>
        <i x="342" s="1"/>
        <i x="270" s="1"/>
        <i x="527" s="1"/>
        <i x="521" s="1"/>
        <i x="399" s="1"/>
        <i x="269" s="1"/>
        <i x="820" s="1"/>
        <i x="808" s="1"/>
        <i x="105" s="1"/>
        <i x="479" s="1"/>
        <i x="134" s="1"/>
        <i x="486" s="1"/>
        <i x="749" s="1"/>
        <i x="378" s="1"/>
        <i x="376" s="1"/>
        <i x="707" s="1"/>
        <i x="492" s="1"/>
        <i x="328" s="1"/>
        <i x="804" s="1"/>
        <i x="690" s="1"/>
        <i x="86" s="1"/>
        <i x="281" s="1"/>
        <i x="236" s="1"/>
        <i x="616" s="1"/>
        <i x="737" s="1"/>
        <i x="516" s="1"/>
        <i x="301" s="1"/>
        <i x="627" s="1"/>
        <i x="410" s="1"/>
        <i x="197" s="1"/>
        <i x="107" s="1"/>
        <i x="359" s="1"/>
        <i x="603" s="1"/>
        <i x="310" s="1"/>
        <i x="262" s="1"/>
        <i x="272" s="1"/>
        <i x="529" s="1"/>
        <i x="557" s="1"/>
        <i x="667" s="1"/>
        <i x="861" s="1"/>
        <i x="282" s="1"/>
        <i x="444" s="1"/>
        <i x="760" s="1"/>
        <i x="712" s="1"/>
        <i x="137" s="1"/>
        <i x="148" s="1"/>
        <i x="792" s="1"/>
        <i x="66" s="1"/>
        <i x="407" s="1"/>
        <i x="756" s="1"/>
        <i x="857" s="1"/>
        <i x="176" s="1"/>
        <i x="510" s="1"/>
        <i x="488" s="1"/>
        <i x="221" s="1"/>
        <i x="609" s="1"/>
        <i x="395" s="1"/>
        <i x="343" s="1"/>
        <i x="396" s="1"/>
        <i x="574" s="1"/>
        <i x="706" s="1"/>
        <i x="54" s="1"/>
        <i x="195" s="1"/>
        <i x="838" s="1"/>
        <i x="859" s="1"/>
        <i x="631" s="1"/>
        <i x="789" s="1"/>
        <i x="605" s="1"/>
        <i x="231" s="1"/>
        <i x="182" s="1"/>
        <i x="628" s="1"/>
        <i x="653" s="1"/>
        <i x="642" s="1"/>
        <i x="567" s="1"/>
        <i x="352" s="1"/>
        <i x="336" s="1"/>
        <i x="240" s="1"/>
        <i x="24" s="1"/>
        <i x="806" s="1"/>
        <i x="638" s="1"/>
        <i x="142" s="1"/>
        <i x="279" s="1"/>
        <i x="581" s="1"/>
        <i x="471" s="1"/>
        <i x="480" s="1"/>
        <i x="592" s="1"/>
        <i x="665" s="1"/>
        <i x="267" s="1"/>
        <i x="424" s="1"/>
        <i x="485" s="1"/>
        <i x="276" s="1"/>
        <i x="106" s="1"/>
        <i x="864" s="1"/>
        <i x="190" s="1"/>
        <i x="374" s="1"/>
        <i x="380" s="1"/>
        <i x="483" s="1"/>
        <i x="500" s="1"/>
        <i x="174" s="1"/>
        <i x="214" s="1"/>
        <i x="48" s="1"/>
        <i x="767" s="1"/>
        <i x="283" s="1"/>
        <i x="847" s="1"/>
        <i x="62" s="1"/>
        <i x="186" s="1"/>
        <i x="590" s="1"/>
        <i x="579" s="1"/>
        <i x="15" s="1"/>
        <i x="800" s="1"/>
        <i x="828" s="1"/>
        <i x="512" s="1"/>
        <i x="273" s="1"/>
        <i x="138" s="1"/>
        <i x="412" s="1"/>
        <i x="4" s="1"/>
        <i x="9" s="1"/>
        <i x="311" s="1"/>
        <i x="709" s="1"/>
        <i x="313" s="1"/>
        <i x="409" s="1"/>
        <i x="817" s="1"/>
        <i x="813" s="1"/>
        <i x="293" s="1"/>
        <i x="832" s="1"/>
        <i x="185" s="1"/>
        <i x="805" s="1"/>
        <i x="496" s="1"/>
        <i x="522" s="1"/>
        <i x="216" s="1"/>
        <i x="625" s="1"/>
        <i x="458" s="1"/>
        <i x="589" s="1"/>
        <i x="724" s="1"/>
        <i x="693" s="1"/>
        <i x="456" s="1"/>
        <i x="144" s="1"/>
        <i x="179" s="1"/>
        <i x="537" s="1"/>
        <i x="664" s="1"/>
        <i x="344" s="1"/>
        <i x="299" s="1"/>
        <i x="633" s="1"/>
        <i x="618" s="1"/>
        <i x="726" s="1"/>
        <i x="815" s="1"/>
        <i x="700" s="1"/>
        <i x="83" s="1"/>
        <i x="504" s="1"/>
        <i x="526" s="1"/>
        <i x="489" s="1"/>
        <i x="401" s="1"/>
        <i x="814" s="1"/>
        <i x="247" s="1"/>
        <i x="475" s="1"/>
        <i x="531" s="1"/>
        <i x="192" s="1"/>
        <i x="23" s="1"/>
        <i x="354" s="1"/>
        <i x="122" s="1"/>
        <i x="868" s="1"/>
        <i x="711" s="1"/>
        <i x="324" s="1"/>
        <i x="204" s="1"/>
        <i x="434" s="1"/>
        <i x="769" s="1"/>
        <i x="114" s="1"/>
        <i x="556" s="1"/>
        <i x="256" s="1"/>
        <i x="534" s="1"/>
        <i x="109" s="1"/>
        <i x="494" s="1"/>
        <i x="89" s="1"/>
        <i x="152" s="1"/>
        <i x="200" s="1"/>
        <i x="773" s="1"/>
        <i x="536" s="1"/>
        <i x="679" s="1"/>
        <i x="784" s="1"/>
        <i x="509" s="1"/>
        <i x="826" s="1"/>
        <i x="809" s="1"/>
        <i x="382" s="1"/>
        <i x="470" s="1"/>
        <i x="733" s="1"/>
        <i x="524" s="1"/>
        <i x="39" s="1"/>
        <i x="63" s="1"/>
        <i x="358" s="1"/>
        <i x="555" s="1"/>
        <i x="543" s="1"/>
        <i x="300" s="1"/>
        <i x="682" s="1"/>
        <i x="306" s="1"/>
        <i x="224" s="1"/>
        <i x="41" s="1"/>
        <i x="119" s="1"/>
        <i x="765" s="1"/>
        <i x="562" s="1"/>
        <i x="392" s="1"/>
        <i x="491" s="1"/>
        <i x="217" s="1"/>
        <i x="160" s="1"/>
        <i x="447" s="1"/>
        <i x="104" s="1"/>
        <i x="578" s="1"/>
        <i x="791" s="1"/>
        <i x="261" s="1"/>
        <i x="836" s="1"/>
        <i x="559" s="1"/>
        <i x="220" s="1"/>
        <i x="824" s="1"/>
        <i x="600" s="1"/>
        <i x="853" s="1"/>
        <i x="235" s="1"/>
        <i x="296" s="1"/>
        <i x="44" s="1"/>
        <i x="552" s="1"/>
        <i x="545" s="1"/>
        <i x="388" s="1"/>
        <i x="289" s="1"/>
        <i x="747" s="1"/>
        <i x="218" s="1"/>
        <i x="701" s="1"/>
        <i x="469" s="1"/>
        <i x="169" s="1"/>
        <i x="360" s="1"/>
        <i x="391" s="1"/>
        <i x="655" s="1"/>
        <i x="271" s="1"/>
        <i x="525" s="1"/>
        <i x="698" s="1"/>
        <i x="331" s="1"/>
        <i x="212" s="1"/>
        <i x="81" s="1"/>
        <i x="103" s="1"/>
        <i x="607" s="1"/>
        <i x="188" s="1"/>
        <i x="264" s="1"/>
        <i x="453" s="1"/>
        <i x="742" s="1"/>
        <i x="845" s="1"/>
        <i x="163" s="1"/>
        <i x="811" s="1"/>
        <i x="153" s="1"/>
        <i x="736" s="1"/>
        <i x="708" s="1"/>
        <i x="21" s="1"/>
        <i x="17" s="1"/>
        <i x="648" s="1"/>
        <i x="166" s="1"/>
        <i x="423" s="1"/>
        <i x="433" s="1"/>
        <i x="748" s="1"/>
        <i x="829" s="1"/>
        <i x="694" s="1"/>
        <i x="637" s="1"/>
        <i x="797" s="1"/>
        <i x="43" s="1"/>
        <i x="387" s="1"/>
        <i x="268" s="1"/>
        <i x="67" s="1"/>
        <i x="722" s="1"/>
        <i x="852" s="1"/>
        <i x="158" s="1"/>
        <i x="75" s="1"/>
        <i x="70" s="1"/>
        <i x="288" s="1"/>
        <i x="833" s="1"/>
        <i x="367" s="1"/>
        <i x="778" s="1"/>
        <i x="252" s="1"/>
        <i x="175" s="1"/>
        <i x="304" s="1"/>
        <i x="830" s="1"/>
        <i x="450" s="1"/>
        <i x="164" s="1"/>
        <i x="764" s="1"/>
        <i x="643" s="1"/>
        <i x="348" s="1"/>
        <i x="209" s="1"/>
        <i x="511" s="1"/>
        <i x="10" s="1"/>
        <i x="222" s="1"/>
        <i x="161" s="1"/>
        <i x="29" s="1"/>
        <i x="121" s="1"/>
        <i x="646" s="1"/>
        <i x="683" s="1"/>
        <i x="355" s="1"/>
        <i x="398" s="1"/>
        <i x="515" s="1"/>
        <i x="234" s="1"/>
        <i x="657" s="1"/>
        <i x="125" s="1"/>
        <i x="584" s="1"/>
        <i x="208" s="1"/>
        <i x="76" s="1"/>
        <i x="180" s="1"/>
        <i x="626" s="1"/>
        <i x="818" s="1"/>
        <i x="357" s="1"/>
        <i x="588" s="1"/>
        <i x="287" s="1"/>
        <i x="280" s="1"/>
        <i x="775" s="1"/>
        <i x="57" s="1"/>
        <i x="799" s="1"/>
        <i x="19" s="1"/>
        <i x="232" s="1"/>
        <i x="405" s="1"/>
        <i x="614" s="1"/>
        <i x="238" s="1"/>
        <i x="575" s="1"/>
        <i x="533" s="1"/>
        <i x="669" s="1"/>
        <i x="381" s="1"/>
        <i x="659" s="1"/>
        <i x="194" s="1"/>
        <i x="146" s="1"/>
        <i x="551" s="1"/>
        <i x="448" s="1"/>
        <i x="499" s="1"/>
        <i x="47" s="1"/>
        <i x="321" s="1"/>
        <i x="333" s="1"/>
        <i x="6" s="1"/>
        <i x="844" s="1"/>
        <i x="691" s="1"/>
        <i x="131" s="1"/>
        <i x="680" s="1"/>
        <i x="13" s="1"/>
        <i x="34" s="1"/>
        <i x="636" s="1"/>
        <i x="777" s="1"/>
        <i x="576" s="1"/>
        <i x="254" s="1"/>
        <i x="246" s="1"/>
        <i x="85" s="1"/>
        <i x="513" s="1"/>
        <i x="586" s="1"/>
        <i x="553" s="1"/>
        <i x="37" s="1"/>
        <i x="505" s="1"/>
        <i x="497" s="1"/>
        <i x="834" s="1"/>
        <i x="501" s="1"/>
        <i x="569" s="1"/>
        <i x="745" s="1"/>
        <i x="87" s="1"/>
        <i x="772" s="1"/>
        <i x="632" s="1"/>
        <i x="419" s="1"/>
        <i x="312" s="1"/>
        <i x="484" s="1"/>
        <i x="126" s="1"/>
        <i x="743" s="1"/>
        <i x="370" s="1"/>
        <i x="517" s="1"/>
        <i x="801" s="1"/>
        <i x="482" s="1"/>
        <i x="542" s="1"/>
        <i x="487" s="1"/>
        <i x="723" s="1"/>
        <i x="386" s="1"/>
        <i x="601" s="1"/>
        <i x="290" s="1"/>
        <i x="468" s="1"/>
        <i x="675" s="1"/>
        <i x="539" s="1"/>
        <i x="477" s="1"/>
        <i x="226" s="1"/>
        <i x="393" s="1"/>
        <i x="402" s="1"/>
        <i x="93" s="1"/>
        <i x="215" s="1"/>
        <i x="84" s="1"/>
        <i x="606" s="1"/>
        <i x="400" s="1"/>
        <i x="519" s="1"/>
        <i x="100" s="1"/>
        <i x="110" s="1"/>
        <i x="339" s="1"/>
        <i x="518" s="1"/>
        <i x="720" s="1"/>
        <i x="139" s="1"/>
        <i x="731" s="1"/>
        <i x="821" s="1"/>
        <i x="564" s="1"/>
        <i x="73" s="1"/>
        <i x="656" s="1"/>
        <i x="794" s="1"/>
        <i x="699" s="1"/>
        <i x="390" s="1"/>
        <i x="441" s="1"/>
        <i x="323" s="1"/>
        <i x="530" s="1"/>
        <i x="735" s="1"/>
        <i x="170" s="1"/>
        <i x="191" s="1"/>
        <i x="520" s="1"/>
        <i x="617" s="1"/>
        <i x="406" s="1"/>
        <i x="345" s="1"/>
        <i x="320" s="1"/>
        <i x="803" s="1"/>
        <i x="253" s="1"/>
        <i x="265" s="1"/>
        <i x="649" s="1"/>
        <i x="798" s="1"/>
        <i x="719" s="1"/>
        <i x="687" s="1"/>
        <i x="550" s="1"/>
        <i x="20" s="1"/>
        <i x="850" s="1"/>
        <i x="65" s="1"/>
        <i x="523" s="1"/>
        <i x="51" s="1"/>
        <i x="802" s="1"/>
        <i x="130" s="1"/>
        <i x="140" s="1"/>
        <i x="286" s="1"/>
        <i x="375" s="1"/>
        <i x="384" s="1"/>
        <i x="132" s="1"/>
        <i x="451" s="1"/>
        <i x="27" s="1"/>
        <i x="595" s="1"/>
        <i x="442" s="1"/>
        <i x="786" s="1"/>
        <i x="26" s="1"/>
        <i x="566" s="1"/>
        <i x="68" s="1"/>
        <i x="816" s="1"/>
        <i x="472" s="1"/>
        <i x="385" s="1"/>
        <i x="338" s="1"/>
        <i x="258" s="1"/>
        <i x="583" s="1"/>
        <i x="305" s="1"/>
        <i x="783" s="1"/>
        <i x="421" s="1"/>
        <i x="560" s="1"/>
        <i x="752" s="1"/>
        <i x="622" s="1"/>
        <i x="193" s="1"/>
        <i x="696" s="1"/>
        <i x="865" s="1"/>
        <i x="315" s="1"/>
        <i x="718" s="1"/>
        <i x="99" s="1"/>
        <i x="757" s="1"/>
        <i x="508" s="1"/>
        <i x="439" s="1"/>
        <i x="28" s="1"/>
        <i x="540" s="1"/>
        <i x="211" s="1"/>
        <i x="379" s="1"/>
        <i x="337" s="1"/>
        <i x="629" s="1"/>
        <i x="124" s="1"/>
        <i x="143" s="1"/>
        <i x="346" s="1"/>
        <i x="754" s="1"/>
        <i x="619" s="1"/>
        <i x="0" s="1"/>
        <i x="548" s="1"/>
        <i x="418" s="1"/>
        <i x="549" s="1"/>
        <i x="561" s="1"/>
        <i x="327" s="1"/>
        <i x="831" s="1"/>
        <i x="481" s="1"/>
        <i x="255" s="1"/>
        <i x="688" s="1"/>
        <i x="495" s="1"/>
        <i x="662" s="1"/>
        <i x="77" s="1"/>
        <i x="611" s="1"/>
        <i x="867" s="1"/>
        <i x="672" s="1"/>
        <i x="721" s="1"/>
        <i x="417" s="1"/>
        <i x="785" s="1"/>
        <i x="459" s="1"/>
        <i x="776" s="1"/>
        <i x="554" s="1"/>
        <i x="565" s="1"/>
        <i x="710" s="1"/>
        <i x="598" s="1"/>
        <i x="599" s="1"/>
        <i x="90" s="1"/>
        <i x="168" s="1"/>
        <i x="12" s="1"/>
        <i x="610" s="1"/>
        <i x="266" s="1"/>
        <i x="825" s="1"/>
        <i x="438" s="1"/>
        <i x="30" s="1"/>
        <i x="135" s="1"/>
        <i x="538" s="1"/>
        <i x="53" s="1"/>
        <i x="177" s="1"/>
        <i x="455" s="1"/>
        <i x="807" s="1"/>
        <i x="108" s="1"/>
        <i x="744" s="1"/>
        <i x="476" s="1"/>
        <i x="714" s="1"/>
        <i x="350" s="1"/>
        <i x="685" s="1"/>
        <i x="779" s="1"/>
        <i x="695" s="1"/>
        <i x="147" s="1"/>
        <i x="580" s="1"/>
        <i x="181" s="1"/>
        <i x="506" s="1"/>
        <i x="371" s="1"/>
        <i x="507" s="1"/>
        <i x="630" s="1"/>
        <i x="585" s="1"/>
        <i x="782" s="1"/>
        <i x="615" s="1"/>
        <i x="206" s="1"/>
        <i x="187" s="1"/>
        <i x="843" s="1"/>
        <i x="729" s="1"/>
        <i x="612" s="1"/>
        <i x="141" s="1"/>
        <i x="329" s="1"/>
        <i x="278" s="1"/>
        <i x="372" s="1"/>
        <i x="577" s="1"/>
        <i x="835" s="1"/>
        <i x="837" s="1"/>
        <i x="440" s="1"/>
        <i x="644" s="1"/>
        <i x="725" s="1"/>
        <i x="14" s="1"/>
        <i x="641" s="1"/>
        <i x="196" s="1"/>
        <i x="854" s="1"/>
        <i x="88" s="1"/>
        <i x="716" s="1"/>
        <i x="795" s="1"/>
        <i x="422" s="1"/>
        <i x="863" s="1"/>
        <i x="624" s="1"/>
        <i x="546" s="1"/>
        <i x="462" s="1"/>
        <i x="116" s="1"/>
        <i x="697" s="1"/>
        <i x="97" s="1"/>
        <i x="242" s="1"/>
        <i x="101" s="1"/>
        <i x="162" s="1"/>
        <i x="330" s="1"/>
        <i x="117" s="1"/>
        <i x="322" s="1"/>
        <i x="150" s="1"/>
        <i x="33" s="1"/>
        <i x="466" s="1"/>
        <i x="408" s="1"/>
        <i x="184" s="1"/>
        <i x="431" s="1"/>
        <i x="128" s="1"/>
        <i x="102" s="1"/>
        <i x="758" s="1"/>
        <i x="298" s="1"/>
        <i x="178" s="1"/>
        <i x="248" s="1"/>
        <i x="120" s="1"/>
        <i x="532" s="1"/>
        <i x="389" s="1"/>
        <i x="133" s="1"/>
        <i x="759" s="1"/>
        <i x="498" s="1"/>
        <i x="22" s="1"/>
        <i x="11" s="1"/>
        <i x="78" s="1"/>
        <i x="229" s="1"/>
        <i x="113" s="1"/>
        <i x="203" s="1"/>
        <i x="787" s="1"/>
        <i x="171" s="1"/>
        <i x="490" s="1"/>
        <i x="149" s="1"/>
        <i x="411" s="1"/>
        <i x="292" s="1"/>
        <i x="52" s="1"/>
        <i x="493" s="1"/>
        <i x="40" s="1"/>
        <i x="377" s="1"/>
        <i x="129" s="1"/>
        <i x="111" s="1"/>
        <i x="676" s="1"/>
        <i x="514" s="1"/>
        <i x="198" s="1"/>
        <i x="18" s="1"/>
        <i x="317" s="1"/>
        <i x="213" s="1"/>
        <i x="295" s="1"/>
        <i x="123" s="1"/>
        <i x="326" s="1"/>
        <i x="228" s="1"/>
        <i x="647" s="1"/>
        <i x="32" s="1"/>
        <i x="155" s="1"/>
        <i x="465" s="1"/>
        <i x="793" s="1"/>
        <i x="96" s="1"/>
        <i x="115" s="1"/>
        <i x="189" s="1"/>
        <i x="92" s="1"/>
        <i x="159" s="1"/>
        <i x="201" s="1"/>
        <i x="316" s="1"/>
        <i x="671" s="1"/>
        <i x="403" s="1"/>
        <i x="3" s="1"/>
        <i x="36" s="1"/>
        <i x="210" s="1"/>
        <i x="199" s="1"/>
        <i x="303" s="1"/>
        <i x="334" s="1"/>
        <i x="366" s="1"/>
        <i x="307" s="1"/>
        <i x="858" s="1"/>
        <i x="91" s="1"/>
        <i x="8" s="1"/>
        <i x="151" s="1"/>
        <i x="172" s="1"/>
        <i x="654" s="1"/>
        <i x="413" s="1"/>
        <i x="275" s="1"/>
        <i x="790" s="1"/>
        <i x="72" s="1"/>
        <i x="325" s="1"/>
        <i x="25" s="1"/>
        <i x="373" s="1"/>
        <i x="318" s="1"/>
        <i x="563" s="1"/>
        <i x="528" s="1"/>
        <i x="183" s="1"/>
        <i x="16" s="1"/>
        <i x="2" s="1"/>
        <i x="245" s="1"/>
        <i x="437" s="1"/>
        <i x="855" s="1"/>
        <i x="118" s="1"/>
        <i x="223" s="1"/>
        <i x="219" s="1"/>
        <i x="673" s="1"/>
        <i x="249" s="1"/>
        <i x="285" s="1"/>
        <i x="587" s="1"/>
        <i x="640" s="1"/>
        <i x="732" s="1"/>
        <i x="35" s="1"/>
        <i x="746" s="1"/>
        <i x="432" s="1"/>
        <i x="751" s="1"/>
        <i x="46" s="1"/>
        <i x="677" s="1"/>
        <i x="634" s="1"/>
        <i x="251" s="1"/>
        <i x="82" s="1"/>
        <i x="420" s="1"/>
        <i x="645" s="1"/>
        <i x="351" s="1"/>
        <i x="762" s="1"/>
        <i x="365" s="1"/>
        <i x="819" s="1"/>
        <i x="383" s="1"/>
        <i x="768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2" name="PivotTable7"/>
    <pivotTable tabId="3" name="PivotTable1"/>
    <pivotTable tabId="2" name="PivotTable1"/>
    <pivotTable tabId="2" name="PivotTable2"/>
    <pivotTable tabId="2" name="PivotTable3"/>
    <pivotTable tabId="2" name="PivotTable4"/>
    <pivotTable tabId="2" name="PivotTable5"/>
    <pivotTable tabId="2" name="PivotTable8"/>
    <pivotTable tabId="2" name="PivotTable9"/>
    <pivotTable tabId="2" name="PivotTable10"/>
    <pivotTable tabId="2" name="PivotTable11"/>
    <pivotTable tabId="2" name="PivotTable13"/>
    <pivotTable tabId="2" name="PivotTable6"/>
  </pivotTables>
  <data>
    <tabular pivotCacheId="1">
      <items count="13">
        <i x="3" s="1"/>
        <i x="1" s="1"/>
        <i x="8" s="1"/>
        <i x="11" s="1"/>
        <i x="2" s="1"/>
        <i x="4" s="1"/>
        <i x="5" s="1"/>
        <i x="0" s="1"/>
        <i x="7" s="1"/>
        <i x="12" s="1"/>
        <i x="6" s="1"/>
        <i x="9" s="1"/>
        <i x="1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2" name="PivotTable7"/>
    <pivotTable tabId="3" name="PivotTable1"/>
    <pivotTable tabId="2" name="PivotTable1"/>
    <pivotTable tabId="2" name="PivotTable2"/>
    <pivotTable tabId="2" name="PivotTable3"/>
    <pivotTable tabId="2" name="PivotTable4"/>
    <pivotTable tabId="2" name="PivotTable5"/>
    <pivotTable tabId="2" name="PivotTable8"/>
    <pivotTable tabId="2" name="PivotTable9"/>
    <pivotTable tabId="2" name="PivotTable10"/>
    <pivotTable tabId="2" name="PivotTable11"/>
    <pivotTable tabId="2" name="PivotTable13"/>
    <pivotTable tabId="2" name="PivotTable6"/>
  </pivotTables>
  <data>
    <tabular pivotCacheId="1">
      <items count="6">
        <i x="1" s="1"/>
        <i x="5" s="1"/>
        <i x="2" s="1"/>
        <i x="3" s="1"/>
        <i x="0" s="1"/>
        <i x="4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7"/>
    <pivotTable tabId="3" name="PivotTable1"/>
    <pivotTable tabId="2" name="PivotTable1"/>
    <pivotTable tabId="2" name="PivotTable2"/>
    <pivotTable tabId="2" name="PivotTable3"/>
    <pivotTable tabId="2" name="PivotTable4"/>
    <pivotTable tabId="2" name="PivotTable5"/>
    <pivotTable tabId="2" name="PivotTable8"/>
    <pivotTable tabId="2" name="PivotTable9"/>
    <pivotTable tabId="2" name="PivotTable10"/>
    <pivotTable tabId="2" name="PivotTable11"/>
    <pivotTable tabId="2" name="PivotTable13"/>
    <pivotTable tabId="2" name="PivotTable6"/>
  </pivotTables>
  <data>
    <tabular pivotCacheId="1">
      <items count="5">
        <i x="4" s="1"/>
        <i x="0" s="1"/>
        <i x="3" s="1"/>
        <i x="1" s="1"/>
        <i x="2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Segment" sourceName="Customer Segment">
  <pivotTables>
    <pivotTable tabId="2" name="PivotTable7"/>
    <pivotTable tabId="3" name="PivotTable1"/>
    <pivotTable tabId="2" name="PivotTable1"/>
    <pivotTable tabId="2" name="PivotTable2"/>
    <pivotTable tabId="2" name="PivotTable3"/>
    <pivotTable tabId="2" name="PivotTable4"/>
    <pivotTable tabId="2" name="PivotTable5"/>
    <pivotTable tabId="2" name="PivotTable8"/>
    <pivotTable tabId="2" name="PivotTable9"/>
    <pivotTable tabId="2" name="PivotTable10"/>
    <pivotTable tabId="2" name="PivotTable11"/>
    <pivotTable tabId="2" name="PivotTable13"/>
    <pivotTable tabId="2" name="PivotTable6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person" sourceName="Salesperson">
  <pivotTables>
    <pivotTable tabId="2" name="PivotTable7"/>
    <pivotTable tabId="3" name="PivotTable1"/>
    <pivotTable tabId="2" name="PivotTable1"/>
    <pivotTable tabId="2" name="PivotTable2"/>
    <pivotTable tabId="2" name="PivotTable3"/>
    <pivotTable tabId="2" name="PivotTable4"/>
    <pivotTable tabId="2" name="PivotTable5"/>
    <pivotTable tabId="2" name="PivotTable8"/>
    <pivotTable tabId="2" name="PivotTable9"/>
    <pivotTable tabId="2" name="PivotTable10"/>
    <pivotTable tabId="2" name="PivotTable11"/>
    <pivotTable tabId="2" name="PivotTable13"/>
    <pivotTable tabId="2" name="PivotTable6"/>
  </pivotTables>
  <data>
    <tabular pivotCacheId="1">
      <items count="13">
        <i x="7" s="1"/>
        <i x="5" s="1"/>
        <i x="8" s="1"/>
        <i x="9" s="1"/>
        <i x="2" s="1"/>
        <i x="3" s="1"/>
        <i x="4" s="1"/>
        <i x="1" s="1"/>
        <i x="10" s="1"/>
        <i x="6" s="1"/>
        <i x="0" s="1"/>
        <i x="11" s="1"/>
        <i x="12" s="1" nd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_Channel" sourceName="Sales Channel">
  <pivotTables>
    <pivotTable tabId="2" name="PivotTable7"/>
    <pivotTable tabId="3" name="PivotTable1"/>
    <pivotTable tabId="2" name="PivotTable1"/>
    <pivotTable tabId="2" name="PivotTable2"/>
    <pivotTable tabId="2" name="PivotTable3"/>
    <pivotTable tabId="2" name="PivotTable4"/>
    <pivotTable tabId="2" name="PivotTable5"/>
    <pivotTable tabId="2" name="PivotTable8"/>
    <pivotTable tabId="2" name="PivotTable9"/>
    <pivotTable tabId="2" name="PivotTable10"/>
    <pivotTable tabId="2" name="PivotTable11"/>
    <pivotTable tabId="2" name="PivotTable13"/>
    <pivotTable tabId="2" name="PivotTable6"/>
  </pivotTables>
  <data>
    <tabular pivotCacheId="1">
      <items count="3">
        <i x="0" s="1"/>
        <i x="1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 Date" cache="Slicer_Order_Date" caption="Order Date" startItem="12" style="SlicerStyleOther2" rowHeight="182880"/>
  <slicer name="Region" cache="Slicer_Region" caption="Region" columnCount="3" style="SlicerStyleOther2" rowHeight="182880"/>
  <slicer name="Category" cache="Slicer_Category" caption="Category" columnCount="3" style="SlicerStyleOther2" rowHeight="182880"/>
  <slicer name="Product" cache="Slicer_Product" caption="Product" columnCount="3" style="SlicerStyleOther2" rowHeight="182880"/>
  <slicer name="Customer Segment" cache="Slicer_Customer_Segment" caption="Customer Segment" columnCount="3" style="SlicerStyleOther2" rowHeight="182880"/>
  <slicer name="Sales Channel" cache="Slicer_Sales_Channel" caption="Sales Channel" columnCount="3" style="SlicerStyleOther2" rowHeight="182880"/>
  <slicer name="Salesperson" cache="Slicer_Salesperson" caption="Salesperson" columnCount="3" style="SlicerStyleOther2" rowHeight="18288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3" Type="http://schemas.openxmlformats.org/officeDocument/2006/relationships/drawing" Target="../drawings/drawing1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1001"/>
  <sheetViews>
    <sheetView topLeftCell="H1" workbookViewId="0">
      <selection activeCell="T1" sqref="T1"/>
    </sheetView>
  </sheetViews>
  <sheetFormatPr defaultColWidth="9" defaultRowHeight="15"/>
  <cols>
    <col min="2" max="2" width="11.4285714285714" style="18" customWidth="1"/>
    <col min="3" max="3" width="12.2857142857143" customWidth="1"/>
    <col min="4" max="4" width="13" customWidth="1"/>
    <col min="5" max="5" width="18" customWidth="1"/>
    <col min="6" max="6" width="8" customWidth="1"/>
    <col min="7" max="7" width="16.8571428571429" customWidth="1"/>
    <col min="8" max="8" width="21.2857142857143" customWidth="1"/>
    <col min="9" max="9" width="19.4285714285714" customWidth="1"/>
    <col min="10" max="10" width="12.5714285714286" customWidth="1"/>
    <col min="11" max="11" width="14.2857142857143" customWidth="1"/>
    <col min="12" max="12" width="9.28571428571429" customWidth="1"/>
    <col min="13" max="13" width="10.2857142857143" customWidth="1"/>
    <col min="14" max="14" width="9.28571428571429" customWidth="1"/>
    <col min="15" max="15" width="8.57142857142857" customWidth="1"/>
    <col min="16" max="17" width="10.5714285714286" customWidth="1"/>
    <col min="18" max="18" width="17.8571428571429" customWidth="1"/>
    <col min="20" max="20" width="11.1428571428571"/>
  </cols>
  <sheetData>
    <row r="1" spans="1:20">
      <c r="A1" s="19" t="s">
        <v>0</v>
      </c>
      <c r="B1" s="20" t="s">
        <v>1</v>
      </c>
      <c r="C1" s="21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</row>
    <row r="2" hidden="1" spans="1:20">
      <c r="A2" s="22" t="s">
        <v>18</v>
      </c>
      <c r="B2" s="23">
        <v>44310</v>
      </c>
      <c r="C2" s="24">
        <f t="shared" ref="C2:C65" si="0">MONTH(B2)</f>
        <v>4</v>
      </c>
      <c r="D2" s="22" t="s">
        <v>19</v>
      </c>
      <c r="E2" s="22" t="s">
        <v>20</v>
      </c>
      <c r="F2" s="22" t="s">
        <v>21</v>
      </c>
      <c r="G2" s="22" t="s">
        <v>22</v>
      </c>
      <c r="H2" s="22" t="s">
        <v>23</v>
      </c>
      <c r="I2" s="22" t="s">
        <v>24</v>
      </c>
      <c r="J2" s="22" t="s">
        <v>25</v>
      </c>
      <c r="K2" s="22" t="s">
        <v>26</v>
      </c>
      <c r="L2" s="22">
        <v>5</v>
      </c>
      <c r="M2" s="22">
        <v>9400</v>
      </c>
      <c r="N2" s="22">
        <v>0</v>
      </c>
      <c r="O2" s="22">
        <v>47000</v>
      </c>
      <c r="P2" s="22">
        <v>29740.58</v>
      </c>
      <c r="Q2" s="22">
        <v>17259.42</v>
      </c>
      <c r="R2" s="22" t="s">
        <v>27</v>
      </c>
      <c r="T2" s="18"/>
    </row>
    <row r="3" hidden="1" spans="1:20">
      <c r="A3" s="22" t="s">
        <v>28</v>
      </c>
      <c r="B3" s="23">
        <v>43110</v>
      </c>
      <c r="C3" s="24">
        <f t="shared" si="0"/>
        <v>1</v>
      </c>
      <c r="D3" s="22" t="s">
        <v>29</v>
      </c>
      <c r="E3" s="22" t="s">
        <v>30</v>
      </c>
      <c r="F3" s="22" t="s">
        <v>31</v>
      </c>
      <c r="G3" s="22" t="s">
        <v>32</v>
      </c>
      <c r="H3" s="22" t="s">
        <v>33</v>
      </c>
      <c r="I3" s="22" t="s">
        <v>24</v>
      </c>
      <c r="J3" s="22" t="s">
        <v>34</v>
      </c>
      <c r="K3" s="22" t="s">
        <v>26</v>
      </c>
      <c r="L3" s="22">
        <v>1</v>
      </c>
      <c r="M3" s="22">
        <v>4300</v>
      </c>
      <c r="N3" s="22">
        <v>0.1</v>
      </c>
      <c r="O3" s="22">
        <v>3870</v>
      </c>
      <c r="P3" s="22">
        <v>2767.16</v>
      </c>
      <c r="Q3" s="22">
        <v>1102.84</v>
      </c>
      <c r="R3" s="22" t="s">
        <v>35</v>
      </c>
    </row>
    <row r="4" spans="1:20">
      <c r="A4" s="22" t="s">
        <v>36</v>
      </c>
      <c r="B4" s="23">
        <v>45845</v>
      </c>
      <c r="C4" s="24">
        <f t="shared" si="0"/>
        <v>7</v>
      </c>
      <c r="D4" s="22" t="s">
        <v>37</v>
      </c>
      <c r="E4" s="22" t="s">
        <v>38</v>
      </c>
      <c r="F4" s="22" t="s">
        <v>21</v>
      </c>
      <c r="G4" s="22" t="s">
        <v>22</v>
      </c>
      <c r="H4" s="22" t="s">
        <v>39</v>
      </c>
      <c r="I4" s="22" t="s">
        <v>24</v>
      </c>
      <c r="J4" s="22" t="s">
        <v>40</v>
      </c>
      <c r="K4" s="22" t="s">
        <v>26</v>
      </c>
      <c r="L4" s="22">
        <v>4</v>
      </c>
      <c r="M4" s="22">
        <v>24400</v>
      </c>
      <c r="N4" s="22">
        <v>0</v>
      </c>
      <c r="O4" s="22">
        <v>97600</v>
      </c>
      <c r="P4" s="22">
        <v>73557.2</v>
      </c>
      <c r="Q4" s="22">
        <v>24042.8</v>
      </c>
      <c r="R4" s="22" t="s">
        <v>35</v>
      </c>
    </row>
    <row r="5" spans="1:20">
      <c r="A5" s="22" t="s">
        <v>41</v>
      </c>
      <c r="B5" s="23">
        <v>45746</v>
      </c>
      <c r="C5" s="24">
        <f t="shared" si="0"/>
        <v>3</v>
      </c>
      <c r="D5" s="22" t="s">
        <v>42</v>
      </c>
      <c r="E5" s="22" t="s">
        <v>38</v>
      </c>
      <c r="F5" s="22" t="s">
        <v>31</v>
      </c>
      <c r="G5" s="22" t="s">
        <v>43</v>
      </c>
      <c r="H5" s="22" t="s">
        <v>44</v>
      </c>
      <c r="I5" s="22" t="s">
        <v>45</v>
      </c>
      <c r="J5" s="22" t="s">
        <v>46</v>
      </c>
      <c r="K5" s="22" t="s">
        <v>47</v>
      </c>
      <c r="L5" s="22">
        <v>10</v>
      </c>
      <c r="M5" s="22">
        <v>34300</v>
      </c>
      <c r="N5" s="22">
        <v>0.1</v>
      </c>
      <c r="O5" s="22">
        <v>308700</v>
      </c>
      <c r="P5" s="22">
        <v>221286.52</v>
      </c>
      <c r="Q5" s="22">
        <v>87413.48</v>
      </c>
      <c r="R5" s="22" t="s">
        <v>48</v>
      </c>
    </row>
    <row r="6" spans="1:20">
      <c r="A6" s="22" t="s">
        <v>49</v>
      </c>
      <c r="B6" s="23">
        <v>43700</v>
      </c>
      <c r="C6" s="24">
        <f t="shared" si="0"/>
        <v>8</v>
      </c>
      <c r="D6" s="22" t="s">
        <v>37</v>
      </c>
      <c r="E6" s="22" t="s">
        <v>38</v>
      </c>
      <c r="F6" s="22" t="s">
        <v>31</v>
      </c>
      <c r="G6" s="22" t="s">
        <v>32</v>
      </c>
      <c r="H6" s="22" t="s">
        <v>50</v>
      </c>
      <c r="I6" s="22" t="s">
        <v>51</v>
      </c>
      <c r="J6" s="22" t="s">
        <v>52</v>
      </c>
      <c r="K6" s="22" t="s">
        <v>53</v>
      </c>
      <c r="L6" s="22">
        <v>6</v>
      </c>
      <c r="M6" s="22">
        <v>14400</v>
      </c>
      <c r="N6" s="22">
        <v>0.1</v>
      </c>
      <c r="O6" s="22">
        <v>77760</v>
      </c>
      <c r="P6" s="22">
        <v>48746.88</v>
      </c>
      <c r="Q6" s="22">
        <v>29013.12</v>
      </c>
      <c r="R6" s="22" t="s">
        <v>35</v>
      </c>
    </row>
    <row r="7" hidden="1" spans="1:20">
      <c r="A7" s="22" t="s">
        <v>54</v>
      </c>
      <c r="B7" s="23">
        <v>43144</v>
      </c>
      <c r="C7" s="24">
        <f t="shared" si="0"/>
        <v>2</v>
      </c>
      <c r="D7" s="22" t="s">
        <v>29</v>
      </c>
      <c r="E7" s="22" t="s">
        <v>30</v>
      </c>
      <c r="F7" s="22" t="s">
        <v>55</v>
      </c>
      <c r="G7" s="22" t="s">
        <v>56</v>
      </c>
      <c r="H7" s="22" t="s">
        <v>57</v>
      </c>
      <c r="I7" s="22" t="s">
        <v>51</v>
      </c>
      <c r="J7" s="22" t="s">
        <v>40</v>
      </c>
      <c r="K7" s="22" t="s">
        <v>47</v>
      </c>
      <c r="L7" s="22">
        <v>8</v>
      </c>
      <c r="M7" s="22">
        <v>10300</v>
      </c>
      <c r="N7" s="22">
        <v>0.1</v>
      </c>
      <c r="O7" s="22">
        <v>74160</v>
      </c>
      <c r="P7" s="22">
        <v>54784.39</v>
      </c>
      <c r="Q7" s="22">
        <v>19375.61</v>
      </c>
      <c r="R7" s="22" t="s">
        <v>58</v>
      </c>
    </row>
    <row r="8" hidden="1" spans="1:20">
      <c r="A8" s="22" t="s">
        <v>59</v>
      </c>
      <c r="B8" s="23">
        <v>44039</v>
      </c>
      <c r="C8" s="24">
        <f t="shared" si="0"/>
        <v>7</v>
      </c>
      <c r="D8" s="22" t="s">
        <v>19</v>
      </c>
      <c r="E8" s="22" t="s">
        <v>20</v>
      </c>
      <c r="F8" s="22" t="s">
        <v>60</v>
      </c>
      <c r="G8" s="22" t="s">
        <v>61</v>
      </c>
      <c r="H8" s="22" t="s">
        <v>62</v>
      </c>
      <c r="I8" s="22" t="s">
        <v>45</v>
      </c>
      <c r="J8" s="22" t="s">
        <v>63</v>
      </c>
      <c r="K8" s="22" t="s">
        <v>47</v>
      </c>
      <c r="L8" s="22">
        <v>9</v>
      </c>
      <c r="M8" s="22">
        <v>23000</v>
      </c>
      <c r="N8" s="22">
        <v>0</v>
      </c>
      <c r="O8" s="22">
        <v>207000</v>
      </c>
      <c r="P8" s="22">
        <v>128591.48</v>
      </c>
      <c r="Q8" s="22">
        <v>78408.52</v>
      </c>
      <c r="R8" s="22" t="s">
        <v>48</v>
      </c>
    </row>
    <row r="9" hidden="1" spans="1:20">
      <c r="A9" s="22" t="s">
        <v>64</v>
      </c>
      <c r="B9" s="23">
        <v>43196</v>
      </c>
      <c r="C9" s="24">
        <f t="shared" si="0"/>
        <v>4</v>
      </c>
      <c r="D9" s="22" t="s">
        <v>65</v>
      </c>
      <c r="E9" s="22" t="s">
        <v>30</v>
      </c>
      <c r="F9" s="22" t="s">
        <v>31</v>
      </c>
      <c r="G9" s="22" t="s">
        <v>66</v>
      </c>
      <c r="H9" s="22" t="s">
        <v>67</v>
      </c>
      <c r="I9" s="22" t="s">
        <v>24</v>
      </c>
      <c r="J9" s="22" t="s">
        <v>25</v>
      </c>
      <c r="K9" s="22" t="s">
        <v>26</v>
      </c>
      <c r="L9" s="22">
        <v>9</v>
      </c>
      <c r="M9" s="22">
        <v>2800</v>
      </c>
      <c r="N9" s="22">
        <v>0.15</v>
      </c>
      <c r="O9" s="22">
        <v>21420</v>
      </c>
      <c r="P9" s="22">
        <v>15398.39</v>
      </c>
      <c r="Q9" s="22">
        <v>6021.61</v>
      </c>
      <c r="R9" s="22" t="s">
        <v>27</v>
      </c>
    </row>
    <row r="10" hidden="1" spans="1:20">
      <c r="A10" s="22" t="s">
        <v>68</v>
      </c>
      <c r="B10" s="23">
        <v>45756</v>
      </c>
      <c r="C10" s="24">
        <f t="shared" si="0"/>
        <v>4</v>
      </c>
      <c r="D10" s="22" t="s">
        <v>69</v>
      </c>
      <c r="E10" s="22" t="s">
        <v>30</v>
      </c>
      <c r="F10" s="22" t="s">
        <v>21</v>
      </c>
      <c r="G10" s="22" t="s">
        <v>70</v>
      </c>
      <c r="H10" s="22" t="s">
        <v>71</v>
      </c>
      <c r="I10" s="22" t="s">
        <v>51</v>
      </c>
      <c r="J10" s="22" t="s">
        <v>25</v>
      </c>
      <c r="K10" s="22" t="s">
        <v>26</v>
      </c>
      <c r="L10" s="22">
        <v>3</v>
      </c>
      <c r="M10" s="22">
        <v>800</v>
      </c>
      <c r="N10" s="22">
        <v>0.1</v>
      </c>
      <c r="O10" s="22">
        <v>2160</v>
      </c>
      <c r="P10" s="22">
        <v>1700.73</v>
      </c>
      <c r="Q10" s="22">
        <v>459.27</v>
      </c>
      <c r="R10" s="22" t="s">
        <v>48</v>
      </c>
    </row>
    <row r="11" spans="1:20">
      <c r="A11" s="22" t="s">
        <v>72</v>
      </c>
      <c r="B11" s="23">
        <v>43701</v>
      </c>
      <c r="C11" s="24">
        <f t="shared" si="0"/>
        <v>8</v>
      </c>
      <c r="D11" s="22" t="s">
        <v>37</v>
      </c>
      <c r="E11" s="22" t="s">
        <v>38</v>
      </c>
      <c r="F11" s="22" t="s">
        <v>31</v>
      </c>
      <c r="G11" s="22" t="s">
        <v>32</v>
      </c>
      <c r="H11" s="22" t="s">
        <v>33</v>
      </c>
      <c r="I11" s="22" t="s">
        <v>51</v>
      </c>
      <c r="J11" s="22" t="s">
        <v>73</v>
      </c>
      <c r="K11" s="22" t="s">
        <v>26</v>
      </c>
      <c r="L11" s="22">
        <v>3</v>
      </c>
      <c r="M11" s="22">
        <v>9800</v>
      </c>
      <c r="N11" s="22">
        <v>0.1</v>
      </c>
      <c r="O11" s="22">
        <v>26460</v>
      </c>
      <c r="P11" s="22">
        <v>18235.13</v>
      </c>
      <c r="Q11" s="22">
        <v>8224.87</v>
      </c>
      <c r="R11" s="22" t="s">
        <v>27</v>
      </c>
    </row>
    <row r="12" hidden="1" spans="1:20">
      <c r="A12" s="22" t="s">
        <v>74</v>
      </c>
      <c r="B12" s="23">
        <v>43995</v>
      </c>
      <c r="C12" s="24">
        <f t="shared" si="0"/>
        <v>6</v>
      </c>
      <c r="D12" s="22" t="s">
        <v>75</v>
      </c>
      <c r="E12" s="22" t="s">
        <v>30</v>
      </c>
      <c r="F12" s="22" t="s">
        <v>55</v>
      </c>
      <c r="G12" s="22" t="s">
        <v>56</v>
      </c>
      <c r="H12" s="22" t="s">
        <v>76</v>
      </c>
      <c r="I12" s="22" t="s">
        <v>24</v>
      </c>
      <c r="J12" s="22" t="s">
        <v>73</v>
      </c>
      <c r="K12" s="22" t="s">
        <v>53</v>
      </c>
      <c r="L12" s="22">
        <v>3</v>
      </c>
      <c r="M12" s="22">
        <v>2800</v>
      </c>
      <c r="N12" s="22">
        <v>0.2</v>
      </c>
      <c r="O12" s="22">
        <v>6720</v>
      </c>
      <c r="P12" s="22">
        <v>5361.13</v>
      </c>
      <c r="Q12" s="22">
        <v>1358.87</v>
      </c>
      <c r="R12" s="22" t="s">
        <v>77</v>
      </c>
    </row>
    <row r="13" spans="1:20">
      <c r="A13" s="22" t="s">
        <v>78</v>
      </c>
      <c r="B13" s="23">
        <v>45685</v>
      </c>
      <c r="C13" s="24">
        <f t="shared" si="0"/>
        <v>1</v>
      </c>
      <c r="D13" s="22" t="s">
        <v>79</v>
      </c>
      <c r="E13" s="22" t="s">
        <v>38</v>
      </c>
      <c r="F13" s="22" t="s">
        <v>55</v>
      </c>
      <c r="G13" s="22" t="s">
        <v>80</v>
      </c>
      <c r="H13" s="22" t="s">
        <v>81</v>
      </c>
      <c r="I13" s="22" t="s">
        <v>24</v>
      </c>
      <c r="J13" s="22" t="s">
        <v>40</v>
      </c>
      <c r="K13" s="22" t="s">
        <v>26</v>
      </c>
      <c r="L13" s="22">
        <v>10</v>
      </c>
      <c r="M13" s="22">
        <v>22300</v>
      </c>
      <c r="N13" s="22">
        <v>0.05</v>
      </c>
      <c r="O13" s="22">
        <v>211850</v>
      </c>
      <c r="P13" s="22">
        <v>173611.55</v>
      </c>
      <c r="Q13" s="22">
        <v>38238.45</v>
      </c>
      <c r="R13" s="22" t="s">
        <v>58</v>
      </c>
    </row>
    <row r="14" spans="1:20">
      <c r="A14" s="22" t="s">
        <v>82</v>
      </c>
      <c r="B14" s="23">
        <v>44338</v>
      </c>
      <c r="C14" s="24">
        <f t="shared" si="0"/>
        <v>5</v>
      </c>
      <c r="D14" s="22" t="s">
        <v>37</v>
      </c>
      <c r="E14" s="22" t="s">
        <v>38</v>
      </c>
      <c r="F14" s="22" t="s">
        <v>21</v>
      </c>
      <c r="G14" s="22" t="s">
        <v>70</v>
      </c>
      <c r="H14" s="22" t="s">
        <v>83</v>
      </c>
      <c r="I14" s="22" t="s">
        <v>51</v>
      </c>
      <c r="J14" s="22" t="s">
        <v>46</v>
      </c>
      <c r="K14" s="22" t="s">
        <v>26</v>
      </c>
      <c r="L14" s="22">
        <v>8</v>
      </c>
      <c r="M14" s="22">
        <v>22900</v>
      </c>
      <c r="N14" s="22">
        <v>0.05</v>
      </c>
      <c r="O14" s="22">
        <v>174040</v>
      </c>
      <c r="P14" s="22">
        <v>134417.34</v>
      </c>
      <c r="Q14" s="22">
        <v>39622.66</v>
      </c>
      <c r="R14" s="22" t="s">
        <v>48</v>
      </c>
    </row>
    <row r="15" hidden="1" spans="1:20">
      <c r="A15" s="22" t="s">
        <v>84</v>
      </c>
      <c r="B15" s="23">
        <v>44044</v>
      </c>
      <c r="C15" s="24">
        <f t="shared" si="0"/>
        <v>8</v>
      </c>
      <c r="D15" s="22" t="s">
        <v>85</v>
      </c>
      <c r="E15" s="22" t="s">
        <v>30</v>
      </c>
      <c r="F15" s="22" t="s">
        <v>60</v>
      </c>
      <c r="G15" s="22" t="s">
        <v>86</v>
      </c>
      <c r="H15" s="22" t="s">
        <v>87</v>
      </c>
      <c r="I15" s="22" t="s">
        <v>45</v>
      </c>
      <c r="J15" s="22" t="s">
        <v>88</v>
      </c>
      <c r="K15" s="22" t="s">
        <v>47</v>
      </c>
      <c r="L15" s="22">
        <v>1</v>
      </c>
      <c r="M15" s="22">
        <v>1900</v>
      </c>
      <c r="N15" s="22">
        <v>0</v>
      </c>
      <c r="O15" s="22">
        <v>1900</v>
      </c>
      <c r="P15" s="22">
        <v>1469.06</v>
      </c>
      <c r="Q15" s="22">
        <v>430.94</v>
      </c>
      <c r="R15" s="22" t="s">
        <v>58</v>
      </c>
    </row>
    <row r="16" spans="1:20">
      <c r="A16" s="22" t="s">
        <v>89</v>
      </c>
      <c r="B16" s="23">
        <v>44652</v>
      </c>
      <c r="C16" s="24">
        <f t="shared" si="0"/>
        <v>4</v>
      </c>
      <c r="D16" s="22" t="s">
        <v>90</v>
      </c>
      <c r="E16" s="22" t="s">
        <v>38</v>
      </c>
      <c r="F16" s="22" t="s">
        <v>31</v>
      </c>
      <c r="G16" s="22" t="s">
        <v>43</v>
      </c>
      <c r="H16" s="22" t="s">
        <v>91</v>
      </c>
      <c r="I16" s="22" t="s">
        <v>51</v>
      </c>
      <c r="J16" s="22" t="s">
        <v>73</v>
      </c>
      <c r="K16" s="22" t="s">
        <v>53</v>
      </c>
      <c r="L16" s="22">
        <v>7</v>
      </c>
      <c r="M16" s="22">
        <v>21200</v>
      </c>
      <c r="N16" s="22">
        <v>0.2</v>
      </c>
      <c r="O16" s="22">
        <v>118720</v>
      </c>
      <c r="P16" s="22">
        <v>79863.37</v>
      </c>
      <c r="Q16" s="22">
        <v>38856.63</v>
      </c>
      <c r="R16" s="22" t="s">
        <v>77</v>
      </c>
    </row>
    <row r="17" spans="1:18">
      <c r="A17" s="22" t="s">
        <v>92</v>
      </c>
      <c r="B17" s="23">
        <v>43693</v>
      </c>
      <c r="C17" s="24">
        <f t="shared" si="0"/>
        <v>8</v>
      </c>
      <c r="D17" s="22" t="s">
        <v>37</v>
      </c>
      <c r="E17" s="22" t="s">
        <v>38</v>
      </c>
      <c r="F17" s="22" t="s">
        <v>60</v>
      </c>
      <c r="G17" s="22" t="s">
        <v>93</v>
      </c>
      <c r="H17" s="22" t="s">
        <v>94</v>
      </c>
      <c r="I17" s="22" t="s">
        <v>45</v>
      </c>
      <c r="J17" s="22" t="s">
        <v>88</v>
      </c>
      <c r="K17" s="22" t="s">
        <v>47</v>
      </c>
      <c r="L17" s="22">
        <v>8</v>
      </c>
      <c r="M17" s="22">
        <v>21200</v>
      </c>
      <c r="N17" s="22">
        <v>0.2</v>
      </c>
      <c r="O17" s="22">
        <v>135680</v>
      </c>
      <c r="P17" s="22">
        <v>96026.35</v>
      </c>
      <c r="Q17" s="22">
        <v>39653.65</v>
      </c>
      <c r="R17" s="22" t="s">
        <v>77</v>
      </c>
    </row>
    <row r="18" spans="1:18">
      <c r="A18" s="22" t="s">
        <v>95</v>
      </c>
      <c r="B18" s="23">
        <v>45844</v>
      </c>
      <c r="C18" s="24">
        <f t="shared" si="0"/>
        <v>7</v>
      </c>
      <c r="D18" s="22" t="s">
        <v>79</v>
      </c>
      <c r="E18" s="22" t="s">
        <v>38</v>
      </c>
      <c r="F18" s="22" t="s">
        <v>96</v>
      </c>
      <c r="G18" s="22" t="s">
        <v>97</v>
      </c>
      <c r="H18" s="22" t="s">
        <v>98</v>
      </c>
      <c r="I18" s="22" t="s">
        <v>45</v>
      </c>
      <c r="J18" s="22" t="s">
        <v>99</v>
      </c>
      <c r="K18" s="22" t="s">
        <v>47</v>
      </c>
      <c r="L18" s="22">
        <v>4</v>
      </c>
      <c r="M18" s="22">
        <v>16000</v>
      </c>
      <c r="N18" s="22">
        <v>0.1</v>
      </c>
      <c r="O18" s="22">
        <v>57600</v>
      </c>
      <c r="P18" s="22">
        <v>38582.15</v>
      </c>
      <c r="Q18" s="22">
        <v>19017.85</v>
      </c>
      <c r="R18" s="22" t="s">
        <v>58</v>
      </c>
    </row>
    <row r="19" hidden="1" spans="1:18">
      <c r="A19" s="22" t="s">
        <v>100</v>
      </c>
      <c r="B19" s="23">
        <v>43961</v>
      </c>
      <c r="C19" s="24">
        <f t="shared" si="0"/>
        <v>5</v>
      </c>
      <c r="D19" s="22" t="s">
        <v>75</v>
      </c>
      <c r="E19" s="22" t="s">
        <v>30</v>
      </c>
      <c r="F19" s="22" t="s">
        <v>60</v>
      </c>
      <c r="G19" s="22" t="s">
        <v>93</v>
      </c>
      <c r="H19" s="22" t="s">
        <v>101</v>
      </c>
      <c r="I19" s="22" t="s">
        <v>45</v>
      </c>
      <c r="J19" s="22" t="s">
        <v>46</v>
      </c>
      <c r="K19" s="22" t="s">
        <v>53</v>
      </c>
      <c r="L19" s="22">
        <v>9</v>
      </c>
      <c r="M19" s="22">
        <v>1700</v>
      </c>
      <c r="N19" s="22">
        <v>0.1</v>
      </c>
      <c r="O19" s="22">
        <v>13770</v>
      </c>
      <c r="P19" s="22">
        <v>10645.21</v>
      </c>
      <c r="Q19" s="22">
        <v>3124.79</v>
      </c>
      <c r="R19" s="22" t="s">
        <v>58</v>
      </c>
    </row>
    <row r="20" spans="1:18">
      <c r="A20" s="22" t="s">
        <v>102</v>
      </c>
      <c r="B20" s="23">
        <v>45717</v>
      </c>
      <c r="C20" s="24">
        <f t="shared" si="0"/>
        <v>3</v>
      </c>
      <c r="D20" s="22" t="s">
        <v>103</v>
      </c>
      <c r="E20" s="22" t="s">
        <v>38</v>
      </c>
      <c r="F20" s="22" t="s">
        <v>60</v>
      </c>
      <c r="G20" s="22" t="s">
        <v>86</v>
      </c>
      <c r="H20" s="22" t="s">
        <v>104</v>
      </c>
      <c r="I20" s="22" t="s">
        <v>45</v>
      </c>
      <c r="J20" s="22" t="s">
        <v>25</v>
      </c>
      <c r="K20" s="22" t="s">
        <v>26</v>
      </c>
      <c r="L20" s="22">
        <v>5</v>
      </c>
      <c r="M20" s="22">
        <v>41700</v>
      </c>
      <c r="N20" s="22">
        <v>0.1</v>
      </c>
      <c r="O20" s="22">
        <v>187650</v>
      </c>
      <c r="P20" s="22">
        <v>130339.17</v>
      </c>
      <c r="Q20" s="22">
        <v>57310.83</v>
      </c>
      <c r="R20" s="22" t="s">
        <v>77</v>
      </c>
    </row>
    <row r="21" spans="1:18">
      <c r="A21" s="22" t="s">
        <v>105</v>
      </c>
      <c r="B21" s="23">
        <v>44021</v>
      </c>
      <c r="C21" s="24">
        <f t="shared" si="0"/>
        <v>7</v>
      </c>
      <c r="D21" s="22" t="s">
        <v>37</v>
      </c>
      <c r="E21" s="22" t="s">
        <v>38</v>
      </c>
      <c r="F21" s="22" t="s">
        <v>60</v>
      </c>
      <c r="G21" s="22" t="s">
        <v>86</v>
      </c>
      <c r="H21" s="22" t="s">
        <v>106</v>
      </c>
      <c r="I21" s="22" t="s">
        <v>45</v>
      </c>
      <c r="J21" s="22" t="s">
        <v>40</v>
      </c>
      <c r="K21" s="22" t="s">
        <v>26</v>
      </c>
      <c r="L21" s="22">
        <v>1</v>
      </c>
      <c r="M21" s="22">
        <v>13200</v>
      </c>
      <c r="N21" s="22">
        <v>0.15</v>
      </c>
      <c r="O21" s="22">
        <v>11220</v>
      </c>
      <c r="P21" s="22">
        <v>8453.31</v>
      </c>
      <c r="Q21" s="22">
        <v>2766.69</v>
      </c>
      <c r="R21" s="22" t="s">
        <v>58</v>
      </c>
    </row>
    <row r="22" spans="1:18">
      <c r="A22" s="22" t="s">
        <v>107</v>
      </c>
      <c r="B22" s="23">
        <v>44188</v>
      </c>
      <c r="C22" s="24">
        <f t="shared" si="0"/>
        <v>12</v>
      </c>
      <c r="D22" s="22" t="s">
        <v>90</v>
      </c>
      <c r="E22" s="22" t="s">
        <v>38</v>
      </c>
      <c r="F22" s="22" t="s">
        <v>31</v>
      </c>
      <c r="G22" s="22" t="s">
        <v>43</v>
      </c>
      <c r="H22" s="22" t="s">
        <v>91</v>
      </c>
      <c r="I22" s="22" t="s">
        <v>24</v>
      </c>
      <c r="J22" s="22" t="s">
        <v>73</v>
      </c>
      <c r="K22" s="22" t="s">
        <v>26</v>
      </c>
      <c r="L22" s="22">
        <v>3</v>
      </c>
      <c r="M22" s="22">
        <v>33500</v>
      </c>
      <c r="N22" s="22">
        <v>0</v>
      </c>
      <c r="O22" s="22">
        <v>100500</v>
      </c>
      <c r="P22" s="22">
        <v>78056.28</v>
      </c>
      <c r="Q22" s="22">
        <v>22443.72</v>
      </c>
      <c r="R22" s="22" t="s">
        <v>48</v>
      </c>
    </row>
    <row r="23" hidden="1" spans="1:18">
      <c r="A23" s="22" t="s">
        <v>108</v>
      </c>
      <c r="B23" s="23">
        <v>43960</v>
      </c>
      <c r="C23" s="24">
        <f t="shared" si="0"/>
        <v>5</v>
      </c>
      <c r="D23" s="22" t="s">
        <v>75</v>
      </c>
      <c r="E23" s="22" t="s">
        <v>30</v>
      </c>
      <c r="F23" s="22" t="s">
        <v>55</v>
      </c>
      <c r="G23" s="22" t="s">
        <v>109</v>
      </c>
      <c r="H23" s="22" t="s">
        <v>110</v>
      </c>
      <c r="I23" s="22" t="s">
        <v>24</v>
      </c>
      <c r="J23" s="22" t="s">
        <v>25</v>
      </c>
      <c r="K23" s="22" t="s">
        <v>53</v>
      </c>
      <c r="L23" s="22">
        <v>6</v>
      </c>
      <c r="M23" s="22">
        <v>1900</v>
      </c>
      <c r="N23" s="22">
        <v>0</v>
      </c>
      <c r="O23" s="22">
        <v>11400</v>
      </c>
      <c r="P23" s="22">
        <v>9508.31</v>
      </c>
      <c r="Q23" s="22">
        <v>1891.69</v>
      </c>
      <c r="R23" s="22" t="s">
        <v>48</v>
      </c>
    </row>
    <row r="24" hidden="1" spans="1:18">
      <c r="A24" s="22" t="s">
        <v>111</v>
      </c>
      <c r="B24" s="23">
        <v>45684</v>
      </c>
      <c r="C24" s="24">
        <f t="shared" si="0"/>
        <v>1</v>
      </c>
      <c r="D24" s="22" t="s">
        <v>69</v>
      </c>
      <c r="E24" s="22" t="s">
        <v>20</v>
      </c>
      <c r="F24" s="22" t="s">
        <v>60</v>
      </c>
      <c r="G24" s="22" t="s">
        <v>86</v>
      </c>
      <c r="H24" s="22" t="s">
        <v>106</v>
      </c>
      <c r="I24" s="22" t="s">
        <v>45</v>
      </c>
      <c r="J24" s="22" t="s">
        <v>88</v>
      </c>
      <c r="K24" s="22" t="s">
        <v>47</v>
      </c>
      <c r="L24" s="22">
        <v>1</v>
      </c>
      <c r="M24" s="22">
        <v>10300</v>
      </c>
      <c r="N24" s="22">
        <v>0.1</v>
      </c>
      <c r="O24" s="22">
        <v>9270</v>
      </c>
      <c r="P24" s="22">
        <v>6320.01</v>
      </c>
      <c r="Q24" s="22">
        <v>2949.99</v>
      </c>
      <c r="R24" s="22" t="s">
        <v>77</v>
      </c>
    </row>
    <row r="25" spans="1:18">
      <c r="A25" s="22" t="s">
        <v>112</v>
      </c>
      <c r="B25" s="23">
        <v>43742</v>
      </c>
      <c r="C25" s="24">
        <f t="shared" si="0"/>
        <v>10</v>
      </c>
      <c r="D25" s="22" t="s">
        <v>37</v>
      </c>
      <c r="E25" s="22" t="s">
        <v>38</v>
      </c>
      <c r="F25" s="22" t="s">
        <v>96</v>
      </c>
      <c r="G25" s="22" t="s">
        <v>113</v>
      </c>
      <c r="H25" s="22" t="s">
        <v>114</v>
      </c>
      <c r="I25" s="22" t="s">
        <v>45</v>
      </c>
      <c r="J25" s="22" t="s">
        <v>63</v>
      </c>
      <c r="K25" s="22" t="s">
        <v>47</v>
      </c>
      <c r="L25" s="22">
        <v>9</v>
      </c>
      <c r="M25" s="22">
        <v>33800</v>
      </c>
      <c r="N25" s="22">
        <v>0.05</v>
      </c>
      <c r="O25" s="22">
        <v>288990</v>
      </c>
      <c r="P25" s="22">
        <v>214317.38</v>
      </c>
      <c r="Q25" s="22">
        <v>74672.62</v>
      </c>
      <c r="R25" s="22" t="s">
        <v>77</v>
      </c>
    </row>
    <row r="26" spans="1:18">
      <c r="A26" s="22" t="s">
        <v>115</v>
      </c>
      <c r="B26" s="23">
        <v>43662</v>
      </c>
      <c r="C26" s="24">
        <f t="shared" si="0"/>
        <v>7</v>
      </c>
      <c r="D26" s="22" t="s">
        <v>90</v>
      </c>
      <c r="E26" s="22" t="s">
        <v>38</v>
      </c>
      <c r="F26" s="22" t="s">
        <v>60</v>
      </c>
      <c r="G26" s="22" t="s">
        <v>86</v>
      </c>
      <c r="H26" s="22" t="s">
        <v>106</v>
      </c>
      <c r="I26" s="22" t="s">
        <v>51</v>
      </c>
      <c r="J26" s="22" t="s">
        <v>116</v>
      </c>
      <c r="K26" s="22" t="s">
        <v>53</v>
      </c>
      <c r="L26" s="22">
        <v>2</v>
      </c>
      <c r="M26" s="22">
        <v>30400</v>
      </c>
      <c r="N26" s="22">
        <v>0.2</v>
      </c>
      <c r="O26" s="22">
        <v>48640</v>
      </c>
      <c r="P26" s="22">
        <v>37604.88</v>
      </c>
      <c r="Q26" s="22">
        <v>11035.12</v>
      </c>
      <c r="R26" s="22" t="s">
        <v>35</v>
      </c>
    </row>
    <row r="27" hidden="1" spans="1:18">
      <c r="A27" s="22" t="s">
        <v>117</v>
      </c>
      <c r="B27" s="23">
        <v>45784</v>
      </c>
      <c r="C27" s="24">
        <f t="shared" si="0"/>
        <v>5</v>
      </c>
      <c r="D27" s="22" t="s">
        <v>75</v>
      </c>
      <c r="E27" s="22" t="s">
        <v>30</v>
      </c>
      <c r="F27" s="22" t="s">
        <v>31</v>
      </c>
      <c r="G27" s="22" t="s">
        <v>43</v>
      </c>
      <c r="H27" s="22" t="s">
        <v>44</v>
      </c>
      <c r="I27" s="22" t="s">
        <v>24</v>
      </c>
      <c r="J27" s="22" t="s">
        <v>52</v>
      </c>
      <c r="K27" s="22" t="s">
        <v>26</v>
      </c>
      <c r="L27" s="22">
        <v>8</v>
      </c>
      <c r="M27" s="22">
        <v>3700</v>
      </c>
      <c r="N27" s="22">
        <v>0.1</v>
      </c>
      <c r="O27" s="22">
        <v>26640</v>
      </c>
      <c r="P27" s="22">
        <v>18623.71</v>
      </c>
      <c r="Q27" s="22">
        <v>8016.29</v>
      </c>
      <c r="R27" s="22" t="s">
        <v>35</v>
      </c>
    </row>
    <row r="28" spans="1:18">
      <c r="A28" s="22" t="s">
        <v>118</v>
      </c>
      <c r="B28" s="23">
        <v>44205</v>
      </c>
      <c r="C28" s="24">
        <f t="shared" si="0"/>
        <v>1</v>
      </c>
      <c r="D28" s="22" t="s">
        <v>90</v>
      </c>
      <c r="E28" s="22" t="s">
        <v>38</v>
      </c>
      <c r="F28" s="22" t="s">
        <v>96</v>
      </c>
      <c r="G28" s="22" t="s">
        <v>113</v>
      </c>
      <c r="H28" s="22" t="s">
        <v>119</v>
      </c>
      <c r="I28" s="22" t="s">
        <v>51</v>
      </c>
      <c r="J28" s="22" t="s">
        <v>46</v>
      </c>
      <c r="K28" s="22" t="s">
        <v>26</v>
      </c>
      <c r="L28" s="22">
        <v>7</v>
      </c>
      <c r="M28" s="22">
        <v>28600</v>
      </c>
      <c r="N28" s="22">
        <v>0.15</v>
      </c>
      <c r="O28" s="22">
        <v>170170</v>
      </c>
      <c r="P28" s="22">
        <v>129838.36</v>
      </c>
      <c r="Q28" s="22">
        <v>40331.64</v>
      </c>
      <c r="R28" s="22" t="s">
        <v>77</v>
      </c>
    </row>
    <row r="29" spans="1:18">
      <c r="A29" s="22" t="s">
        <v>120</v>
      </c>
      <c r="B29" s="23">
        <v>44201</v>
      </c>
      <c r="C29" s="24">
        <f t="shared" si="0"/>
        <v>1</v>
      </c>
      <c r="D29" s="22" t="s">
        <v>121</v>
      </c>
      <c r="E29" s="22" t="s">
        <v>38</v>
      </c>
      <c r="F29" s="22" t="s">
        <v>21</v>
      </c>
      <c r="G29" s="22" t="s">
        <v>122</v>
      </c>
      <c r="H29" s="22" t="s">
        <v>123</v>
      </c>
      <c r="I29" s="22" t="s">
        <v>51</v>
      </c>
      <c r="J29" s="22" t="s">
        <v>124</v>
      </c>
      <c r="K29" s="22" t="s">
        <v>26</v>
      </c>
      <c r="L29" s="22">
        <v>6</v>
      </c>
      <c r="M29" s="22">
        <v>78600</v>
      </c>
      <c r="N29" s="22">
        <v>0</v>
      </c>
      <c r="O29" s="22">
        <v>471600</v>
      </c>
      <c r="P29" s="22">
        <v>296266.95</v>
      </c>
      <c r="Q29" s="22">
        <v>175333.05</v>
      </c>
      <c r="R29" s="22" t="s">
        <v>77</v>
      </c>
    </row>
    <row r="30" hidden="1" spans="1:18">
      <c r="A30" s="22" t="s">
        <v>125</v>
      </c>
      <c r="B30" s="23">
        <v>44299</v>
      </c>
      <c r="C30" s="24">
        <f t="shared" si="0"/>
        <v>4</v>
      </c>
      <c r="D30" s="22" t="s">
        <v>85</v>
      </c>
      <c r="E30" s="22" t="s">
        <v>30</v>
      </c>
      <c r="F30" s="22" t="s">
        <v>96</v>
      </c>
      <c r="G30" s="22" t="s">
        <v>113</v>
      </c>
      <c r="H30" s="22" t="s">
        <v>126</v>
      </c>
      <c r="I30" s="22" t="s">
        <v>45</v>
      </c>
      <c r="J30" s="22" t="s">
        <v>25</v>
      </c>
      <c r="K30" s="22" t="s">
        <v>26</v>
      </c>
      <c r="L30" s="22">
        <v>7</v>
      </c>
      <c r="M30" s="22">
        <v>1200</v>
      </c>
      <c r="N30" s="22">
        <v>0</v>
      </c>
      <c r="O30" s="22">
        <v>8400</v>
      </c>
      <c r="P30" s="22">
        <v>6189.94</v>
      </c>
      <c r="Q30" s="22">
        <v>2210.06</v>
      </c>
      <c r="R30" s="22" t="s">
        <v>77</v>
      </c>
    </row>
    <row r="31" hidden="1" spans="1:18">
      <c r="A31" s="22" t="s">
        <v>127</v>
      </c>
      <c r="B31" s="23">
        <v>43998</v>
      </c>
      <c r="C31" s="24">
        <f t="shared" si="0"/>
        <v>6</v>
      </c>
      <c r="D31" s="22" t="s">
        <v>75</v>
      </c>
      <c r="E31" s="22" t="s">
        <v>128</v>
      </c>
      <c r="F31" s="22" t="s">
        <v>55</v>
      </c>
      <c r="G31" s="22" t="s">
        <v>80</v>
      </c>
      <c r="H31" s="22" t="s">
        <v>81</v>
      </c>
      <c r="I31" s="22" t="s">
        <v>45</v>
      </c>
      <c r="J31" s="22" t="s">
        <v>52</v>
      </c>
      <c r="K31" s="22" t="s">
        <v>47</v>
      </c>
      <c r="L31" s="22">
        <v>3</v>
      </c>
      <c r="M31" s="22">
        <v>100500</v>
      </c>
      <c r="N31" s="22">
        <v>0</v>
      </c>
      <c r="O31" s="22">
        <v>301500</v>
      </c>
      <c r="P31" s="22">
        <v>216046.97</v>
      </c>
      <c r="Q31" s="22">
        <v>85453.03</v>
      </c>
      <c r="R31" s="22" t="s">
        <v>35</v>
      </c>
    </row>
    <row r="32" hidden="1" spans="1:18">
      <c r="A32" s="22" t="s">
        <v>129</v>
      </c>
      <c r="B32" s="23">
        <v>44343</v>
      </c>
      <c r="C32" s="24">
        <f t="shared" si="0"/>
        <v>5</v>
      </c>
      <c r="D32" s="22" t="s">
        <v>75</v>
      </c>
      <c r="E32" s="22" t="s">
        <v>128</v>
      </c>
      <c r="F32" s="22" t="s">
        <v>60</v>
      </c>
      <c r="G32" s="22" t="s">
        <v>86</v>
      </c>
      <c r="H32" s="22" t="s">
        <v>87</v>
      </c>
      <c r="I32" s="22" t="s">
        <v>51</v>
      </c>
      <c r="J32" s="22" t="s">
        <v>124</v>
      </c>
      <c r="K32" s="22" t="s">
        <v>47</v>
      </c>
      <c r="L32" s="22">
        <v>1</v>
      </c>
      <c r="M32" s="22">
        <v>61900</v>
      </c>
      <c r="N32" s="22">
        <v>0</v>
      </c>
      <c r="O32" s="22">
        <v>61900</v>
      </c>
      <c r="P32" s="22">
        <v>41785.81</v>
      </c>
      <c r="Q32" s="22">
        <v>20114.19</v>
      </c>
      <c r="R32" s="22" t="s">
        <v>27</v>
      </c>
    </row>
    <row r="33" hidden="1" spans="1:18">
      <c r="A33" s="22" t="s">
        <v>130</v>
      </c>
      <c r="B33" s="23">
        <v>43147</v>
      </c>
      <c r="C33" s="24">
        <f t="shared" si="0"/>
        <v>2</v>
      </c>
      <c r="D33" s="22" t="s">
        <v>85</v>
      </c>
      <c r="E33" s="22" t="s">
        <v>128</v>
      </c>
      <c r="F33" s="22" t="s">
        <v>96</v>
      </c>
      <c r="G33" s="22" t="s">
        <v>113</v>
      </c>
      <c r="H33" s="22" t="s">
        <v>126</v>
      </c>
      <c r="I33" s="22" t="s">
        <v>51</v>
      </c>
      <c r="J33" s="22" t="s">
        <v>40</v>
      </c>
      <c r="K33" s="22" t="s">
        <v>47</v>
      </c>
      <c r="L33" s="22">
        <v>7</v>
      </c>
      <c r="M33" s="22">
        <v>1000</v>
      </c>
      <c r="N33" s="22">
        <v>0.1</v>
      </c>
      <c r="O33" s="22">
        <v>6300</v>
      </c>
      <c r="P33" s="22">
        <v>4125.88</v>
      </c>
      <c r="Q33" s="22">
        <v>2174.12</v>
      </c>
      <c r="R33" s="22" t="s">
        <v>77</v>
      </c>
    </row>
    <row r="34" hidden="1" spans="1:18">
      <c r="A34" s="22" t="s">
        <v>131</v>
      </c>
      <c r="B34" s="23">
        <v>45726</v>
      </c>
      <c r="C34" s="24">
        <f t="shared" si="0"/>
        <v>3</v>
      </c>
      <c r="D34" s="22" t="s">
        <v>103</v>
      </c>
      <c r="E34" s="22" t="s">
        <v>128</v>
      </c>
      <c r="F34" s="22" t="s">
        <v>55</v>
      </c>
      <c r="G34" s="22" t="s">
        <v>56</v>
      </c>
      <c r="H34" s="22" t="s">
        <v>57</v>
      </c>
      <c r="I34" s="22" t="s">
        <v>51</v>
      </c>
      <c r="J34" s="22" t="s">
        <v>73</v>
      </c>
      <c r="K34" s="22" t="s">
        <v>26</v>
      </c>
      <c r="L34" s="22">
        <v>10</v>
      </c>
      <c r="M34" s="22">
        <v>74700</v>
      </c>
      <c r="N34" s="22">
        <v>0.05</v>
      </c>
      <c r="O34" s="22">
        <v>709650</v>
      </c>
      <c r="P34" s="22">
        <v>467023.8</v>
      </c>
      <c r="Q34" s="22">
        <v>242626.2</v>
      </c>
      <c r="R34" s="22" t="s">
        <v>35</v>
      </c>
    </row>
    <row r="35" hidden="1" spans="1:18">
      <c r="A35" s="22" t="s">
        <v>132</v>
      </c>
      <c r="B35" s="23">
        <v>45301</v>
      </c>
      <c r="C35" s="24">
        <f t="shared" si="0"/>
        <v>1</v>
      </c>
      <c r="D35" s="22" t="s">
        <v>133</v>
      </c>
      <c r="E35" s="22" t="s">
        <v>128</v>
      </c>
      <c r="F35" s="22" t="s">
        <v>55</v>
      </c>
      <c r="G35" s="22" t="s">
        <v>80</v>
      </c>
      <c r="H35" s="22" t="s">
        <v>134</v>
      </c>
      <c r="I35" s="22" t="s">
        <v>24</v>
      </c>
      <c r="J35" s="22" t="s">
        <v>99</v>
      </c>
      <c r="K35" s="22" t="s">
        <v>26</v>
      </c>
      <c r="L35" s="22">
        <v>10</v>
      </c>
      <c r="M35" s="22">
        <v>16600</v>
      </c>
      <c r="N35" s="22">
        <v>0.1</v>
      </c>
      <c r="O35" s="22">
        <v>149400</v>
      </c>
      <c r="P35" s="22">
        <v>120779.11</v>
      </c>
      <c r="Q35" s="22">
        <v>28620.89</v>
      </c>
      <c r="R35" s="22" t="s">
        <v>35</v>
      </c>
    </row>
    <row r="36" hidden="1" spans="1:18">
      <c r="A36" s="22" t="s">
        <v>135</v>
      </c>
      <c r="B36" s="23">
        <v>44045</v>
      </c>
      <c r="C36" s="24">
        <f t="shared" si="0"/>
        <v>8</v>
      </c>
      <c r="D36" s="22" t="s">
        <v>133</v>
      </c>
      <c r="E36" s="22" t="s">
        <v>128</v>
      </c>
      <c r="F36" s="22" t="s">
        <v>55</v>
      </c>
      <c r="G36" s="22" t="s">
        <v>80</v>
      </c>
      <c r="H36" s="22" t="s">
        <v>134</v>
      </c>
      <c r="I36" s="22" t="s">
        <v>45</v>
      </c>
      <c r="J36" s="22" t="s">
        <v>88</v>
      </c>
      <c r="K36" s="22" t="s">
        <v>47</v>
      </c>
      <c r="L36" s="22">
        <v>1</v>
      </c>
      <c r="M36" s="22">
        <v>12800</v>
      </c>
      <c r="N36" s="22">
        <v>0.1</v>
      </c>
      <c r="O36" s="22">
        <v>11520</v>
      </c>
      <c r="P36" s="22">
        <v>9528.45</v>
      </c>
      <c r="Q36" s="22">
        <v>1991.55</v>
      </c>
      <c r="R36" s="22" t="s">
        <v>35</v>
      </c>
    </row>
    <row r="37" hidden="1" spans="1:18">
      <c r="A37" s="22" t="s">
        <v>136</v>
      </c>
      <c r="B37" s="23">
        <v>46070</v>
      </c>
      <c r="C37" s="24">
        <f t="shared" si="0"/>
        <v>2</v>
      </c>
      <c r="D37" s="22" t="s">
        <v>103</v>
      </c>
      <c r="E37" s="22" t="s">
        <v>128</v>
      </c>
      <c r="F37" s="22" t="s">
        <v>96</v>
      </c>
      <c r="G37" s="22" t="s">
        <v>113</v>
      </c>
      <c r="H37" s="22" t="s">
        <v>114</v>
      </c>
      <c r="I37" s="22" t="s">
        <v>51</v>
      </c>
      <c r="J37" s="22" t="s">
        <v>116</v>
      </c>
      <c r="K37" s="22" t="s">
        <v>47</v>
      </c>
      <c r="L37" s="22">
        <v>2</v>
      </c>
      <c r="M37" s="22">
        <v>17300</v>
      </c>
      <c r="N37" s="22">
        <v>0.1</v>
      </c>
      <c r="O37" s="22">
        <v>31140</v>
      </c>
      <c r="P37" s="22">
        <v>21612.47</v>
      </c>
      <c r="Q37" s="22">
        <v>9527.53</v>
      </c>
      <c r="R37" s="22" t="s">
        <v>35</v>
      </c>
    </row>
    <row r="38" hidden="1" spans="1:18">
      <c r="A38" s="22" t="s">
        <v>137</v>
      </c>
      <c r="B38" s="23">
        <v>45747</v>
      </c>
      <c r="C38" s="24">
        <f t="shared" si="0"/>
        <v>3</v>
      </c>
      <c r="D38" s="22" t="s">
        <v>90</v>
      </c>
      <c r="E38" s="22" t="s">
        <v>128</v>
      </c>
      <c r="F38" s="22" t="s">
        <v>21</v>
      </c>
      <c r="G38" s="22" t="s">
        <v>122</v>
      </c>
      <c r="H38" s="22" t="s">
        <v>138</v>
      </c>
      <c r="I38" s="22" t="s">
        <v>24</v>
      </c>
      <c r="J38" s="22" t="s">
        <v>73</v>
      </c>
      <c r="K38" s="22" t="s">
        <v>47</v>
      </c>
      <c r="L38" s="22">
        <v>4</v>
      </c>
      <c r="M38" s="22">
        <v>34900</v>
      </c>
      <c r="N38" s="22">
        <v>0.05</v>
      </c>
      <c r="O38" s="22">
        <v>132620</v>
      </c>
      <c r="P38" s="22">
        <v>109552.42</v>
      </c>
      <c r="Q38" s="22">
        <v>23067.58</v>
      </c>
      <c r="R38" s="22" t="s">
        <v>58</v>
      </c>
    </row>
    <row r="39" hidden="1" spans="1:18">
      <c r="A39" s="22" t="s">
        <v>139</v>
      </c>
      <c r="B39" s="23">
        <v>44055</v>
      </c>
      <c r="C39" s="24">
        <f t="shared" si="0"/>
        <v>8</v>
      </c>
      <c r="D39" s="22" t="s">
        <v>79</v>
      </c>
      <c r="E39" s="22" t="s">
        <v>128</v>
      </c>
      <c r="F39" s="22" t="s">
        <v>60</v>
      </c>
      <c r="G39" s="22" t="s">
        <v>86</v>
      </c>
      <c r="H39" s="22" t="s">
        <v>106</v>
      </c>
      <c r="I39" s="22" t="s">
        <v>45</v>
      </c>
      <c r="J39" s="22" t="s">
        <v>73</v>
      </c>
      <c r="K39" s="22" t="s">
        <v>47</v>
      </c>
      <c r="L39" s="22">
        <v>1</v>
      </c>
      <c r="M39" s="22">
        <v>58900</v>
      </c>
      <c r="N39" s="22">
        <v>0</v>
      </c>
      <c r="O39" s="22">
        <v>58900</v>
      </c>
      <c r="P39" s="22">
        <v>39757.71</v>
      </c>
      <c r="Q39" s="22">
        <v>19142.29</v>
      </c>
      <c r="R39" s="22" t="s">
        <v>27</v>
      </c>
    </row>
    <row r="40" hidden="1" spans="1:18">
      <c r="A40" s="22" t="s">
        <v>140</v>
      </c>
      <c r="B40" s="23">
        <v>43166</v>
      </c>
      <c r="C40" s="24">
        <f t="shared" si="0"/>
        <v>3</v>
      </c>
      <c r="D40" s="22" t="s">
        <v>29</v>
      </c>
      <c r="E40" s="22" t="s">
        <v>128</v>
      </c>
      <c r="F40" s="22" t="s">
        <v>60</v>
      </c>
      <c r="G40" s="22" t="s">
        <v>141</v>
      </c>
      <c r="H40" s="22" t="s">
        <v>142</v>
      </c>
      <c r="I40" s="22" t="s">
        <v>45</v>
      </c>
      <c r="J40" s="22" t="s">
        <v>63</v>
      </c>
      <c r="K40" s="22" t="s">
        <v>47</v>
      </c>
      <c r="L40" s="22">
        <v>1</v>
      </c>
      <c r="M40" s="22">
        <v>6600</v>
      </c>
      <c r="N40" s="22">
        <v>0.15</v>
      </c>
      <c r="O40" s="22">
        <v>5610</v>
      </c>
      <c r="P40" s="22">
        <v>3873.21</v>
      </c>
      <c r="Q40" s="22">
        <v>1736.79</v>
      </c>
      <c r="R40" s="22" t="s">
        <v>77</v>
      </c>
    </row>
    <row r="41" hidden="1" spans="1:18">
      <c r="A41" s="22" t="s">
        <v>143</v>
      </c>
      <c r="B41" s="23">
        <v>43771</v>
      </c>
      <c r="C41" s="24">
        <f t="shared" si="0"/>
        <v>11</v>
      </c>
      <c r="D41" s="22" t="s">
        <v>19</v>
      </c>
      <c r="E41" s="22" t="s">
        <v>128</v>
      </c>
      <c r="F41" s="22" t="s">
        <v>60</v>
      </c>
      <c r="G41" s="22" t="s">
        <v>93</v>
      </c>
      <c r="H41" s="22" t="s">
        <v>94</v>
      </c>
      <c r="I41" s="22" t="s">
        <v>45</v>
      </c>
      <c r="J41" s="22" t="s">
        <v>46</v>
      </c>
      <c r="K41" s="22" t="s">
        <v>47</v>
      </c>
      <c r="L41" s="22">
        <v>4</v>
      </c>
      <c r="M41" s="22">
        <v>18600</v>
      </c>
      <c r="N41" s="22">
        <v>0.1</v>
      </c>
      <c r="O41" s="22">
        <v>66960</v>
      </c>
      <c r="P41" s="22">
        <v>48121.34</v>
      </c>
      <c r="Q41" s="22">
        <v>18838.66</v>
      </c>
      <c r="R41" s="22" t="s">
        <v>77</v>
      </c>
    </row>
    <row r="42" hidden="1" spans="1:18">
      <c r="A42" s="22" t="s">
        <v>144</v>
      </c>
      <c r="B42" s="23">
        <v>45710</v>
      </c>
      <c r="C42" s="24">
        <f t="shared" si="0"/>
        <v>2</v>
      </c>
      <c r="D42" s="22" t="s">
        <v>103</v>
      </c>
      <c r="E42" s="22" t="s">
        <v>128</v>
      </c>
      <c r="F42" s="22" t="s">
        <v>60</v>
      </c>
      <c r="G42" s="22" t="s">
        <v>93</v>
      </c>
      <c r="H42" s="22" t="s">
        <v>101</v>
      </c>
      <c r="I42" s="22" t="s">
        <v>24</v>
      </c>
      <c r="J42" s="22" t="s">
        <v>25</v>
      </c>
      <c r="K42" s="22" t="s">
        <v>26</v>
      </c>
      <c r="L42" s="22">
        <v>5</v>
      </c>
      <c r="M42" s="22">
        <v>16900</v>
      </c>
      <c r="N42" s="22">
        <v>0</v>
      </c>
      <c r="O42" s="22">
        <v>84500</v>
      </c>
      <c r="P42" s="22">
        <v>62605.74</v>
      </c>
      <c r="Q42" s="22">
        <v>21894.26</v>
      </c>
      <c r="R42" s="22" t="s">
        <v>27</v>
      </c>
    </row>
    <row r="43" hidden="1" spans="1:18">
      <c r="A43" s="22" t="s">
        <v>145</v>
      </c>
      <c r="B43" s="23">
        <v>43780</v>
      </c>
      <c r="C43" s="24">
        <f t="shared" si="0"/>
        <v>11</v>
      </c>
      <c r="D43" s="22" t="s">
        <v>29</v>
      </c>
      <c r="E43" s="22" t="s">
        <v>128</v>
      </c>
      <c r="F43" s="22" t="s">
        <v>55</v>
      </c>
      <c r="G43" s="22" t="s">
        <v>56</v>
      </c>
      <c r="H43" s="22" t="s">
        <v>57</v>
      </c>
      <c r="I43" s="22" t="s">
        <v>24</v>
      </c>
      <c r="J43" s="22" t="s">
        <v>116</v>
      </c>
      <c r="K43" s="22" t="s">
        <v>53</v>
      </c>
      <c r="L43" s="22">
        <v>10</v>
      </c>
      <c r="M43" s="22">
        <v>7800</v>
      </c>
      <c r="N43" s="22">
        <v>0</v>
      </c>
      <c r="O43" s="22">
        <v>78000</v>
      </c>
      <c r="P43" s="22">
        <v>49803.27</v>
      </c>
      <c r="Q43" s="22">
        <v>28196.73</v>
      </c>
      <c r="R43" s="22" t="s">
        <v>58</v>
      </c>
    </row>
    <row r="44" hidden="1" spans="1:18">
      <c r="A44" s="22" t="s">
        <v>146</v>
      </c>
      <c r="B44" s="23">
        <v>43176</v>
      </c>
      <c r="C44" s="24">
        <f t="shared" si="0"/>
        <v>3</v>
      </c>
      <c r="D44" s="22" t="s">
        <v>29</v>
      </c>
      <c r="E44" s="22" t="s">
        <v>128</v>
      </c>
      <c r="F44" s="22" t="s">
        <v>96</v>
      </c>
      <c r="G44" s="22" t="s">
        <v>97</v>
      </c>
      <c r="H44" s="22" t="s">
        <v>147</v>
      </c>
      <c r="I44" s="22" t="s">
        <v>24</v>
      </c>
      <c r="J44" s="22" t="s">
        <v>25</v>
      </c>
      <c r="K44" s="22" t="s">
        <v>47</v>
      </c>
      <c r="L44" s="22">
        <v>6</v>
      </c>
      <c r="M44" s="22">
        <v>11900</v>
      </c>
      <c r="N44" s="22">
        <v>0.05</v>
      </c>
      <c r="O44" s="22">
        <v>67830</v>
      </c>
      <c r="P44" s="22">
        <v>47585.54</v>
      </c>
      <c r="Q44" s="22">
        <v>20244.46</v>
      </c>
      <c r="R44" s="22" t="s">
        <v>27</v>
      </c>
    </row>
    <row r="45" hidden="1" spans="1:18">
      <c r="A45" s="22" t="s">
        <v>148</v>
      </c>
      <c r="B45" s="23">
        <v>43971</v>
      </c>
      <c r="C45" s="24">
        <f t="shared" si="0"/>
        <v>5</v>
      </c>
      <c r="D45" s="22" t="s">
        <v>75</v>
      </c>
      <c r="E45" s="22" t="s">
        <v>128</v>
      </c>
      <c r="F45" s="22" t="s">
        <v>55</v>
      </c>
      <c r="G45" s="22" t="s">
        <v>109</v>
      </c>
      <c r="H45" s="22" t="s">
        <v>110</v>
      </c>
      <c r="I45" s="22" t="s">
        <v>51</v>
      </c>
      <c r="J45" s="22" t="s">
        <v>25</v>
      </c>
      <c r="K45" s="22" t="s">
        <v>47</v>
      </c>
      <c r="L45" s="22">
        <v>6</v>
      </c>
      <c r="M45" s="22">
        <v>27300</v>
      </c>
      <c r="N45" s="22">
        <v>0</v>
      </c>
      <c r="O45" s="22">
        <v>163800</v>
      </c>
      <c r="P45" s="22">
        <v>113456.98</v>
      </c>
      <c r="Q45" s="22">
        <v>50343.02</v>
      </c>
      <c r="R45" s="22" t="s">
        <v>27</v>
      </c>
    </row>
    <row r="46" hidden="1" spans="1:18">
      <c r="A46" s="22" t="s">
        <v>149</v>
      </c>
      <c r="B46" s="23">
        <v>43801</v>
      </c>
      <c r="C46" s="24">
        <f t="shared" si="0"/>
        <v>12</v>
      </c>
      <c r="D46" s="22" t="s">
        <v>37</v>
      </c>
      <c r="E46" s="22" t="s">
        <v>128</v>
      </c>
      <c r="F46" s="22" t="s">
        <v>31</v>
      </c>
      <c r="G46" s="22" t="s">
        <v>32</v>
      </c>
      <c r="H46" s="22" t="s">
        <v>33</v>
      </c>
      <c r="I46" s="22" t="s">
        <v>24</v>
      </c>
      <c r="J46" s="22" t="s">
        <v>46</v>
      </c>
      <c r="K46" s="22" t="s">
        <v>47</v>
      </c>
      <c r="L46" s="22">
        <v>9</v>
      </c>
      <c r="M46" s="22">
        <v>28300</v>
      </c>
      <c r="N46" s="22">
        <v>0.1</v>
      </c>
      <c r="O46" s="22">
        <v>229230</v>
      </c>
      <c r="P46" s="22">
        <v>154100.19</v>
      </c>
      <c r="Q46" s="22">
        <v>75129.81</v>
      </c>
      <c r="R46" s="22" t="s">
        <v>58</v>
      </c>
    </row>
    <row r="47" hidden="1" spans="1:18">
      <c r="A47" s="22" t="s">
        <v>150</v>
      </c>
      <c r="B47" s="23">
        <v>43269</v>
      </c>
      <c r="C47" s="24">
        <f t="shared" si="0"/>
        <v>6</v>
      </c>
      <c r="D47" s="22" t="s">
        <v>85</v>
      </c>
      <c r="E47" s="22" t="s">
        <v>128</v>
      </c>
      <c r="F47" s="22" t="s">
        <v>96</v>
      </c>
      <c r="G47" s="22" t="s">
        <v>113</v>
      </c>
      <c r="H47" s="22" t="s">
        <v>119</v>
      </c>
      <c r="I47" s="22" t="s">
        <v>45</v>
      </c>
      <c r="J47" s="22" t="s">
        <v>63</v>
      </c>
      <c r="K47" s="22" t="s">
        <v>47</v>
      </c>
      <c r="L47" s="22">
        <v>5</v>
      </c>
      <c r="M47" s="22">
        <v>1000</v>
      </c>
      <c r="N47" s="22">
        <v>0.2</v>
      </c>
      <c r="O47" s="22">
        <v>4000</v>
      </c>
      <c r="P47" s="22">
        <v>3288.82</v>
      </c>
      <c r="Q47" s="22">
        <v>711.18</v>
      </c>
      <c r="R47" s="22" t="s">
        <v>35</v>
      </c>
    </row>
    <row r="48" hidden="1" spans="1:18">
      <c r="A48" s="22" t="s">
        <v>151</v>
      </c>
      <c r="B48" s="23">
        <v>46074</v>
      </c>
      <c r="C48" s="24">
        <f t="shared" si="0"/>
        <v>2</v>
      </c>
      <c r="D48" s="22" t="s">
        <v>103</v>
      </c>
      <c r="E48" s="22" t="s">
        <v>128</v>
      </c>
      <c r="F48" s="22" t="s">
        <v>60</v>
      </c>
      <c r="G48" s="22" t="s">
        <v>61</v>
      </c>
      <c r="H48" s="22" t="s">
        <v>101</v>
      </c>
      <c r="I48" s="22" t="s">
        <v>51</v>
      </c>
      <c r="J48" s="22" t="s">
        <v>116</v>
      </c>
      <c r="K48" s="22" t="s">
        <v>53</v>
      </c>
      <c r="L48" s="22">
        <v>6</v>
      </c>
      <c r="M48" s="22">
        <v>1500</v>
      </c>
      <c r="N48" s="22">
        <v>0.1</v>
      </c>
      <c r="O48" s="22">
        <v>8100</v>
      </c>
      <c r="P48" s="22">
        <v>6652.98</v>
      </c>
      <c r="Q48" s="22">
        <v>1447.02</v>
      </c>
      <c r="R48" s="22" t="s">
        <v>77</v>
      </c>
    </row>
    <row r="49" hidden="1" spans="1:18">
      <c r="A49" s="22" t="s">
        <v>152</v>
      </c>
      <c r="B49" s="23">
        <v>44036</v>
      </c>
      <c r="C49" s="24">
        <f t="shared" si="0"/>
        <v>7</v>
      </c>
      <c r="D49" s="22" t="s">
        <v>90</v>
      </c>
      <c r="E49" s="22" t="s">
        <v>128</v>
      </c>
      <c r="F49" s="22" t="s">
        <v>31</v>
      </c>
      <c r="G49" s="22" t="s">
        <v>32</v>
      </c>
      <c r="H49" s="22" t="s">
        <v>50</v>
      </c>
      <c r="I49" s="22" t="s">
        <v>24</v>
      </c>
      <c r="J49" s="22" t="s">
        <v>99</v>
      </c>
      <c r="K49" s="22" t="s">
        <v>26</v>
      </c>
      <c r="L49" s="22">
        <v>8</v>
      </c>
      <c r="M49" s="22">
        <v>23700</v>
      </c>
      <c r="N49" s="22">
        <v>0.1</v>
      </c>
      <c r="O49" s="22">
        <v>170640</v>
      </c>
      <c r="P49" s="22">
        <v>108715.02</v>
      </c>
      <c r="Q49" s="22">
        <v>61924.98</v>
      </c>
      <c r="R49" s="22" t="s">
        <v>58</v>
      </c>
    </row>
    <row r="50" hidden="1" spans="1:18">
      <c r="A50" s="22" t="s">
        <v>153</v>
      </c>
      <c r="B50" s="23">
        <v>43685</v>
      </c>
      <c r="C50" s="24">
        <f t="shared" si="0"/>
        <v>8</v>
      </c>
      <c r="D50" s="22" t="s">
        <v>90</v>
      </c>
      <c r="E50" s="22" t="s">
        <v>128</v>
      </c>
      <c r="F50" s="22" t="s">
        <v>55</v>
      </c>
      <c r="G50" s="22" t="s">
        <v>56</v>
      </c>
      <c r="H50" s="22" t="s">
        <v>154</v>
      </c>
      <c r="I50" s="22" t="s">
        <v>45</v>
      </c>
      <c r="J50" s="22" t="s">
        <v>40</v>
      </c>
      <c r="K50" s="22" t="s">
        <v>53</v>
      </c>
      <c r="L50" s="22">
        <v>3</v>
      </c>
      <c r="M50" s="22">
        <v>39100</v>
      </c>
      <c r="N50" s="22">
        <v>0.2</v>
      </c>
      <c r="O50" s="22">
        <v>93840</v>
      </c>
      <c r="P50" s="22">
        <v>73163.13</v>
      </c>
      <c r="Q50" s="22">
        <v>20676.87</v>
      </c>
      <c r="R50" s="22" t="s">
        <v>35</v>
      </c>
    </row>
    <row r="51" hidden="1" spans="1:18">
      <c r="A51" s="22" t="s">
        <v>155</v>
      </c>
      <c r="B51" s="23">
        <v>43266</v>
      </c>
      <c r="C51" s="24">
        <f t="shared" si="0"/>
        <v>6</v>
      </c>
      <c r="D51" s="22" t="s">
        <v>133</v>
      </c>
      <c r="E51" s="22" t="s">
        <v>128</v>
      </c>
      <c r="F51" s="22" t="s">
        <v>21</v>
      </c>
      <c r="G51" s="22" t="s">
        <v>122</v>
      </c>
      <c r="H51" s="22" t="s">
        <v>156</v>
      </c>
      <c r="I51" s="22" t="s">
        <v>45</v>
      </c>
      <c r="J51" s="22" t="s">
        <v>88</v>
      </c>
      <c r="K51" s="22" t="s">
        <v>26</v>
      </c>
      <c r="L51" s="22">
        <v>7</v>
      </c>
      <c r="M51" s="22">
        <v>11800</v>
      </c>
      <c r="N51" s="22">
        <v>0.15</v>
      </c>
      <c r="O51" s="22">
        <v>70210</v>
      </c>
      <c r="P51" s="22">
        <v>50950.09</v>
      </c>
      <c r="Q51" s="22">
        <v>19259.91</v>
      </c>
      <c r="R51" s="22" t="s">
        <v>27</v>
      </c>
    </row>
    <row r="52" hidden="1" spans="1:18">
      <c r="A52" s="22" t="s">
        <v>157</v>
      </c>
      <c r="B52" s="23">
        <v>43172</v>
      </c>
      <c r="C52" s="24">
        <f t="shared" si="0"/>
        <v>3</v>
      </c>
      <c r="D52" s="22" t="s">
        <v>37</v>
      </c>
      <c r="E52" s="22" t="s">
        <v>128</v>
      </c>
      <c r="F52" s="22" t="s">
        <v>21</v>
      </c>
      <c r="G52" s="22" t="s">
        <v>70</v>
      </c>
      <c r="H52" s="22" t="s">
        <v>71</v>
      </c>
      <c r="I52" s="22" t="s">
        <v>45</v>
      </c>
      <c r="J52" s="22" t="s">
        <v>124</v>
      </c>
      <c r="K52" s="22" t="s">
        <v>47</v>
      </c>
      <c r="L52" s="22">
        <v>1</v>
      </c>
      <c r="M52" s="22">
        <v>21200</v>
      </c>
      <c r="N52" s="22">
        <v>0.05</v>
      </c>
      <c r="O52" s="22">
        <v>20140</v>
      </c>
      <c r="P52" s="22">
        <v>13698.21</v>
      </c>
      <c r="Q52" s="22">
        <v>6441.79</v>
      </c>
      <c r="R52" s="22" t="s">
        <v>27</v>
      </c>
    </row>
    <row r="53" hidden="1" spans="1:18">
      <c r="A53" s="22" t="s">
        <v>158</v>
      </c>
      <c r="B53" s="23">
        <v>44192</v>
      </c>
      <c r="C53" s="24">
        <f t="shared" si="0"/>
        <v>12</v>
      </c>
      <c r="D53" s="22" t="s">
        <v>29</v>
      </c>
      <c r="E53" s="22" t="s">
        <v>128</v>
      </c>
      <c r="F53" s="22" t="s">
        <v>21</v>
      </c>
      <c r="G53" s="22" t="s">
        <v>122</v>
      </c>
      <c r="H53" s="22" t="s">
        <v>138</v>
      </c>
      <c r="I53" s="22" t="s">
        <v>24</v>
      </c>
      <c r="J53" s="22" t="s">
        <v>40</v>
      </c>
      <c r="K53" s="22" t="s">
        <v>53</v>
      </c>
      <c r="L53" s="22">
        <v>5</v>
      </c>
      <c r="M53" s="22">
        <v>9000</v>
      </c>
      <c r="N53" s="22">
        <v>0.15</v>
      </c>
      <c r="O53" s="22">
        <v>38250</v>
      </c>
      <c r="P53" s="22">
        <v>26894.61</v>
      </c>
      <c r="Q53" s="22">
        <v>11355.39</v>
      </c>
      <c r="R53" s="22" t="s">
        <v>58</v>
      </c>
    </row>
    <row r="54" hidden="1" spans="1:18">
      <c r="A54" s="22" t="s">
        <v>159</v>
      </c>
      <c r="B54" s="23">
        <v>45708</v>
      </c>
      <c r="C54" s="24">
        <f t="shared" si="0"/>
        <v>2</v>
      </c>
      <c r="D54" s="22" t="s">
        <v>103</v>
      </c>
      <c r="E54" s="22" t="s">
        <v>128</v>
      </c>
      <c r="F54" s="22" t="s">
        <v>55</v>
      </c>
      <c r="G54" s="22" t="s">
        <v>80</v>
      </c>
      <c r="H54" s="22" t="s">
        <v>160</v>
      </c>
      <c r="I54" s="22" t="s">
        <v>45</v>
      </c>
      <c r="J54" s="22" t="s">
        <v>52</v>
      </c>
      <c r="K54" s="22" t="s">
        <v>53</v>
      </c>
      <c r="L54" s="22">
        <v>1</v>
      </c>
      <c r="M54" s="22">
        <v>37000</v>
      </c>
      <c r="N54" s="22">
        <v>0</v>
      </c>
      <c r="O54" s="22">
        <v>37000</v>
      </c>
      <c r="P54" s="22">
        <v>25126.99</v>
      </c>
      <c r="Q54" s="22">
        <v>11873.01</v>
      </c>
      <c r="R54" s="22" t="s">
        <v>35</v>
      </c>
    </row>
    <row r="55" hidden="1" spans="1:18">
      <c r="A55" s="22" t="s">
        <v>161</v>
      </c>
      <c r="B55" s="23">
        <v>44346</v>
      </c>
      <c r="C55" s="24">
        <f t="shared" si="0"/>
        <v>5</v>
      </c>
      <c r="D55" s="22" t="s">
        <v>75</v>
      </c>
      <c r="E55" s="22" t="s">
        <v>128</v>
      </c>
      <c r="F55" s="22" t="s">
        <v>31</v>
      </c>
      <c r="G55" s="22" t="s">
        <v>32</v>
      </c>
      <c r="H55" s="22" t="s">
        <v>33</v>
      </c>
      <c r="I55" s="22" t="s">
        <v>24</v>
      </c>
      <c r="J55" s="22" t="s">
        <v>25</v>
      </c>
      <c r="K55" s="22" t="s">
        <v>26</v>
      </c>
      <c r="L55" s="22">
        <v>6</v>
      </c>
      <c r="M55" s="22">
        <v>27300</v>
      </c>
      <c r="N55" s="22">
        <v>0</v>
      </c>
      <c r="O55" s="22">
        <v>163800</v>
      </c>
      <c r="P55" s="22">
        <v>130089.95</v>
      </c>
      <c r="Q55" s="22">
        <v>33710.05</v>
      </c>
      <c r="R55" s="22" t="s">
        <v>27</v>
      </c>
    </row>
    <row r="56" hidden="1" spans="1:18">
      <c r="A56" s="22" t="s">
        <v>162</v>
      </c>
      <c r="B56" s="23">
        <v>43356</v>
      </c>
      <c r="C56" s="24">
        <f t="shared" si="0"/>
        <v>9</v>
      </c>
      <c r="D56" s="22" t="s">
        <v>65</v>
      </c>
      <c r="E56" s="22" t="s">
        <v>128</v>
      </c>
      <c r="F56" s="22" t="s">
        <v>21</v>
      </c>
      <c r="G56" s="22" t="s">
        <v>70</v>
      </c>
      <c r="H56" s="22" t="s">
        <v>163</v>
      </c>
      <c r="I56" s="22" t="s">
        <v>51</v>
      </c>
      <c r="J56" s="22" t="s">
        <v>34</v>
      </c>
      <c r="K56" s="22" t="s">
        <v>26</v>
      </c>
      <c r="L56" s="22">
        <v>6</v>
      </c>
      <c r="M56" s="22">
        <v>2000</v>
      </c>
      <c r="N56" s="22">
        <v>0.2</v>
      </c>
      <c r="O56" s="22">
        <v>9600</v>
      </c>
      <c r="P56" s="22">
        <v>7236.28</v>
      </c>
      <c r="Q56" s="22">
        <v>2363.72</v>
      </c>
      <c r="R56" s="22" t="s">
        <v>35</v>
      </c>
    </row>
    <row r="57" hidden="1" spans="1:18">
      <c r="A57" s="22" t="s">
        <v>164</v>
      </c>
      <c r="B57" s="23">
        <v>43249</v>
      </c>
      <c r="C57" s="24">
        <f t="shared" si="0"/>
        <v>5</v>
      </c>
      <c r="D57" s="22" t="s">
        <v>85</v>
      </c>
      <c r="E57" s="22" t="s">
        <v>128</v>
      </c>
      <c r="F57" s="22" t="s">
        <v>60</v>
      </c>
      <c r="G57" s="22" t="s">
        <v>86</v>
      </c>
      <c r="H57" s="22" t="s">
        <v>106</v>
      </c>
      <c r="I57" s="22" t="s">
        <v>51</v>
      </c>
      <c r="J57" s="22" t="s">
        <v>116</v>
      </c>
      <c r="K57" s="22" t="s">
        <v>47</v>
      </c>
      <c r="L57" s="22">
        <v>7</v>
      </c>
      <c r="M57" s="22">
        <v>3000</v>
      </c>
      <c r="N57" s="22">
        <v>0.1</v>
      </c>
      <c r="O57" s="22">
        <v>18900</v>
      </c>
      <c r="P57" s="22">
        <v>15029.73</v>
      </c>
      <c r="Q57" s="22">
        <v>3870.27</v>
      </c>
      <c r="R57" s="22" t="s">
        <v>35</v>
      </c>
    </row>
    <row r="58" hidden="1" spans="1:18">
      <c r="A58" s="22" t="s">
        <v>165</v>
      </c>
      <c r="B58" s="23">
        <v>43149</v>
      </c>
      <c r="C58" s="24">
        <f t="shared" si="0"/>
        <v>2</v>
      </c>
      <c r="D58" s="22" t="s">
        <v>90</v>
      </c>
      <c r="E58" s="22" t="s">
        <v>128</v>
      </c>
      <c r="F58" s="22" t="s">
        <v>96</v>
      </c>
      <c r="G58" s="22" t="s">
        <v>113</v>
      </c>
      <c r="H58" s="22" t="s">
        <v>119</v>
      </c>
      <c r="I58" s="22" t="s">
        <v>45</v>
      </c>
      <c r="J58" s="22" t="s">
        <v>63</v>
      </c>
      <c r="K58" s="22" t="s">
        <v>26</v>
      </c>
      <c r="L58" s="22">
        <v>5</v>
      </c>
      <c r="M58" s="22">
        <v>23500</v>
      </c>
      <c r="N58" s="22">
        <v>0</v>
      </c>
      <c r="O58" s="22">
        <v>117500</v>
      </c>
      <c r="P58" s="22">
        <v>87833.95</v>
      </c>
      <c r="Q58" s="22">
        <v>29666.05</v>
      </c>
      <c r="R58" s="22" t="s">
        <v>58</v>
      </c>
    </row>
    <row r="59" hidden="1" spans="1:18">
      <c r="A59" s="22" t="s">
        <v>166</v>
      </c>
      <c r="B59" s="23">
        <v>44019</v>
      </c>
      <c r="C59" s="24">
        <f t="shared" si="0"/>
        <v>7</v>
      </c>
      <c r="D59" s="22" t="s">
        <v>79</v>
      </c>
      <c r="E59" s="22" t="s">
        <v>128</v>
      </c>
      <c r="F59" s="22" t="s">
        <v>21</v>
      </c>
      <c r="G59" s="22" t="s">
        <v>167</v>
      </c>
      <c r="H59" s="22" t="s">
        <v>168</v>
      </c>
      <c r="I59" s="22" t="s">
        <v>24</v>
      </c>
      <c r="J59" s="22" t="s">
        <v>52</v>
      </c>
      <c r="K59" s="22" t="s">
        <v>26</v>
      </c>
      <c r="L59" s="22">
        <v>3</v>
      </c>
      <c r="M59" s="22">
        <v>67500</v>
      </c>
      <c r="N59" s="22">
        <v>0.1</v>
      </c>
      <c r="O59" s="22">
        <v>182250</v>
      </c>
      <c r="P59" s="22">
        <v>152011.86</v>
      </c>
      <c r="Q59" s="22">
        <v>30238.14</v>
      </c>
      <c r="R59" s="22" t="s">
        <v>48</v>
      </c>
    </row>
    <row r="60" hidden="1" spans="1:18">
      <c r="A60" s="22" t="s">
        <v>169</v>
      </c>
      <c r="B60" s="23">
        <v>43160</v>
      </c>
      <c r="C60" s="24">
        <f t="shared" si="0"/>
        <v>3</v>
      </c>
      <c r="D60" s="22" t="s">
        <v>79</v>
      </c>
      <c r="E60" s="22" t="s">
        <v>128</v>
      </c>
      <c r="F60" s="22" t="s">
        <v>55</v>
      </c>
      <c r="G60" s="22" t="s">
        <v>80</v>
      </c>
      <c r="H60" s="22" t="s">
        <v>160</v>
      </c>
      <c r="I60" s="22" t="s">
        <v>51</v>
      </c>
      <c r="J60" s="22" t="s">
        <v>170</v>
      </c>
      <c r="K60" s="22" t="s">
        <v>47</v>
      </c>
      <c r="L60" s="22">
        <v>6</v>
      </c>
      <c r="M60" s="22">
        <v>20300</v>
      </c>
      <c r="N60" s="22">
        <v>0</v>
      </c>
      <c r="O60" s="22">
        <v>121800</v>
      </c>
      <c r="P60" s="22">
        <v>87863.03</v>
      </c>
      <c r="Q60" s="22">
        <v>33936.97</v>
      </c>
      <c r="R60" s="22" t="s">
        <v>35</v>
      </c>
    </row>
    <row r="61" hidden="1" spans="1:18">
      <c r="A61" s="22" t="s">
        <v>171</v>
      </c>
      <c r="B61" s="23">
        <v>43231</v>
      </c>
      <c r="C61" s="24">
        <f t="shared" si="0"/>
        <v>5</v>
      </c>
      <c r="D61" s="22" t="s">
        <v>90</v>
      </c>
      <c r="E61" s="22" t="s">
        <v>128</v>
      </c>
      <c r="F61" s="22" t="s">
        <v>31</v>
      </c>
      <c r="G61" s="22" t="s">
        <v>172</v>
      </c>
      <c r="H61" s="22" t="s">
        <v>173</v>
      </c>
      <c r="I61" s="22" t="s">
        <v>24</v>
      </c>
      <c r="J61" s="22" t="s">
        <v>88</v>
      </c>
      <c r="K61" s="22" t="s">
        <v>53</v>
      </c>
      <c r="L61" s="22">
        <v>9</v>
      </c>
      <c r="M61" s="22">
        <v>34700</v>
      </c>
      <c r="N61" s="22">
        <v>0.1</v>
      </c>
      <c r="O61" s="22">
        <v>281070</v>
      </c>
      <c r="P61" s="22">
        <v>183970.18</v>
      </c>
      <c r="Q61" s="22">
        <v>97099.82</v>
      </c>
      <c r="R61" s="22" t="s">
        <v>77</v>
      </c>
    </row>
    <row r="62" hidden="1" spans="1:18">
      <c r="A62" s="22" t="s">
        <v>174</v>
      </c>
      <c r="B62" s="23">
        <v>43105</v>
      </c>
      <c r="C62" s="24">
        <f t="shared" si="0"/>
        <v>1</v>
      </c>
      <c r="D62" s="22" t="s">
        <v>121</v>
      </c>
      <c r="E62" s="22" t="s">
        <v>128</v>
      </c>
      <c r="F62" s="22" t="s">
        <v>21</v>
      </c>
      <c r="G62" s="22" t="s">
        <v>122</v>
      </c>
      <c r="H62" s="22" t="s">
        <v>138</v>
      </c>
      <c r="I62" s="22" t="s">
        <v>51</v>
      </c>
      <c r="J62" s="22" t="s">
        <v>52</v>
      </c>
      <c r="K62" s="22" t="s">
        <v>53</v>
      </c>
      <c r="L62" s="22">
        <v>8</v>
      </c>
      <c r="M62" s="22">
        <v>74400</v>
      </c>
      <c r="N62" s="22">
        <v>0.1</v>
      </c>
      <c r="O62" s="22">
        <v>535680</v>
      </c>
      <c r="P62" s="22">
        <v>375597.92</v>
      </c>
      <c r="Q62" s="22">
        <v>160082.08</v>
      </c>
      <c r="R62" s="22" t="s">
        <v>48</v>
      </c>
    </row>
    <row r="63" hidden="1" spans="1:18">
      <c r="A63" s="22" t="s">
        <v>175</v>
      </c>
      <c r="B63" s="23">
        <v>43270</v>
      </c>
      <c r="C63" s="24">
        <f t="shared" si="0"/>
        <v>6</v>
      </c>
      <c r="D63" s="22" t="s">
        <v>79</v>
      </c>
      <c r="E63" s="22" t="s">
        <v>128</v>
      </c>
      <c r="F63" s="22" t="s">
        <v>21</v>
      </c>
      <c r="G63" s="22" t="s">
        <v>70</v>
      </c>
      <c r="H63" s="22" t="s">
        <v>163</v>
      </c>
      <c r="I63" s="22" t="s">
        <v>24</v>
      </c>
      <c r="J63" s="22" t="s">
        <v>25</v>
      </c>
      <c r="K63" s="22" t="s">
        <v>47</v>
      </c>
      <c r="L63" s="22">
        <v>2</v>
      </c>
      <c r="M63" s="22">
        <v>41800</v>
      </c>
      <c r="N63" s="22">
        <v>0.1</v>
      </c>
      <c r="O63" s="22">
        <v>75240</v>
      </c>
      <c r="P63" s="22">
        <v>50662.37</v>
      </c>
      <c r="Q63" s="22">
        <v>24577.63</v>
      </c>
      <c r="R63" s="22" t="s">
        <v>77</v>
      </c>
    </row>
    <row r="64" hidden="1" spans="1:18">
      <c r="A64" s="22" t="s">
        <v>176</v>
      </c>
      <c r="B64" s="23">
        <v>43689</v>
      </c>
      <c r="C64" s="24">
        <f t="shared" si="0"/>
        <v>8</v>
      </c>
      <c r="D64" s="22" t="s">
        <v>85</v>
      </c>
      <c r="E64" s="22" t="s">
        <v>128</v>
      </c>
      <c r="F64" s="22" t="s">
        <v>60</v>
      </c>
      <c r="G64" s="22" t="s">
        <v>93</v>
      </c>
      <c r="H64" s="22" t="s">
        <v>94</v>
      </c>
      <c r="I64" s="22" t="s">
        <v>24</v>
      </c>
      <c r="J64" s="22" t="s">
        <v>99</v>
      </c>
      <c r="K64" s="22" t="s">
        <v>53</v>
      </c>
      <c r="L64" s="22">
        <v>10</v>
      </c>
      <c r="M64" s="22">
        <v>3000</v>
      </c>
      <c r="N64" s="22">
        <v>0</v>
      </c>
      <c r="O64" s="22">
        <v>30000</v>
      </c>
      <c r="P64" s="22">
        <v>20863.32</v>
      </c>
      <c r="Q64" s="22">
        <v>9136.68</v>
      </c>
      <c r="R64" s="22" t="s">
        <v>48</v>
      </c>
    </row>
    <row r="65" hidden="1" spans="1:18">
      <c r="A65" s="22" t="s">
        <v>177</v>
      </c>
      <c r="B65" s="23">
        <v>43772</v>
      </c>
      <c r="C65" s="24">
        <f t="shared" si="0"/>
        <v>11</v>
      </c>
      <c r="D65" s="22" t="s">
        <v>85</v>
      </c>
      <c r="E65" s="22" t="s">
        <v>128</v>
      </c>
      <c r="F65" s="22" t="s">
        <v>55</v>
      </c>
      <c r="G65" s="22" t="s">
        <v>109</v>
      </c>
      <c r="H65" s="22" t="s">
        <v>178</v>
      </c>
      <c r="I65" s="22" t="s">
        <v>51</v>
      </c>
      <c r="J65" s="22" t="s">
        <v>40</v>
      </c>
      <c r="K65" s="22" t="s">
        <v>47</v>
      </c>
      <c r="L65" s="22">
        <v>2</v>
      </c>
      <c r="M65" s="22">
        <v>3100</v>
      </c>
      <c r="N65" s="22">
        <v>0.1</v>
      </c>
      <c r="O65" s="22">
        <v>5580</v>
      </c>
      <c r="P65" s="22">
        <v>4152.53</v>
      </c>
      <c r="Q65" s="22">
        <v>1427.47</v>
      </c>
      <c r="R65" s="22" t="s">
        <v>77</v>
      </c>
    </row>
    <row r="66" hidden="1" spans="1:18">
      <c r="A66" s="22" t="s">
        <v>179</v>
      </c>
      <c r="B66" s="23">
        <v>43171</v>
      </c>
      <c r="C66" s="24">
        <f t="shared" ref="C66:C129" si="1">MONTH(B66)</f>
        <v>3</v>
      </c>
      <c r="D66" s="22" t="s">
        <v>65</v>
      </c>
      <c r="E66" s="22" t="s">
        <v>128</v>
      </c>
      <c r="F66" s="22" t="s">
        <v>21</v>
      </c>
      <c r="G66" s="22" t="s">
        <v>22</v>
      </c>
      <c r="H66" s="22" t="s">
        <v>39</v>
      </c>
      <c r="I66" s="22" t="s">
        <v>51</v>
      </c>
      <c r="J66" s="22" t="s">
        <v>124</v>
      </c>
      <c r="K66" s="22" t="s">
        <v>26</v>
      </c>
      <c r="L66" s="22">
        <v>6</v>
      </c>
      <c r="M66" s="22">
        <v>2000</v>
      </c>
      <c r="N66" s="22">
        <v>0</v>
      </c>
      <c r="O66" s="22">
        <v>12000</v>
      </c>
      <c r="P66" s="22">
        <v>7708.71</v>
      </c>
      <c r="Q66" s="22">
        <v>4291.29</v>
      </c>
      <c r="R66" s="22" t="s">
        <v>77</v>
      </c>
    </row>
    <row r="67" hidden="1" spans="1:18">
      <c r="A67" s="22" t="s">
        <v>180</v>
      </c>
      <c r="B67" s="23">
        <v>44190</v>
      </c>
      <c r="C67" s="24">
        <f t="shared" si="1"/>
        <v>12</v>
      </c>
      <c r="D67" s="22" t="s">
        <v>79</v>
      </c>
      <c r="E67" s="22" t="s">
        <v>128</v>
      </c>
      <c r="F67" s="22" t="s">
        <v>60</v>
      </c>
      <c r="G67" s="22" t="s">
        <v>93</v>
      </c>
      <c r="H67" s="22" t="s">
        <v>181</v>
      </c>
      <c r="I67" s="22" t="s">
        <v>51</v>
      </c>
      <c r="J67" s="22" t="s">
        <v>170</v>
      </c>
      <c r="K67" s="22" t="s">
        <v>26</v>
      </c>
      <c r="L67" s="22">
        <v>3</v>
      </c>
      <c r="M67" s="22">
        <v>16100</v>
      </c>
      <c r="N67" s="22">
        <v>0.1</v>
      </c>
      <c r="O67" s="22">
        <v>43470</v>
      </c>
      <c r="P67" s="22">
        <v>36488.55</v>
      </c>
      <c r="Q67" s="22">
        <v>6981.45</v>
      </c>
      <c r="R67" s="22" t="s">
        <v>77</v>
      </c>
    </row>
    <row r="68" hidden="1" spans="1:18">
      <c r="A68" s="22" t="s">
        <v>182</v>
      </c>
      <c r="B68" s="23">
        <v>43342</v>
      </c>
      <c r="C68" s="24">
        <f t="shared" si="1"/>
        <v>8</v>
      </c>
      <c r="D68" s="22" t="s">
        <v>19</v>
      </c>
      <c r="E68" s="22" t="s">
        <v>128</v>
      </c>
      <c r="F68" s="22" t="s">
        <v>60</v>
      </c>
      <c r="G68" s="22" t="s">
        <v>141</v>
      </c>
      <c r="H68" s="22" t="s">
        <v>183</v>
      </c>
      <c r="I68" s="22" t="s">
        <v>51</v>
      </c>
      <c r="J68" s="22" t="s">
        <v>63</v>
      </c>
      <c r="K68" s="22" t="s">
        <v>47</v>
      </c>
      <c r="L68" s="22">
        <v>3</v>
      </c>
      <c r="M68" s="22">
        <v>24100</v>
      </c>
      <c r="N68" s="22">
        <v>0.1</v>
      </c>
      <c r="O68" s="22">
        <v>65070</v>
      </c>
      <c r="P68" s="22">
        <v>48002.66</v>
      </c>
      <c r="Q68" s="22">
        <v>17067.34</v>
      </c>
      <c r="R68" s="22" t="s">
        <v>77</v>
      </c>
    </row>
    <row r="69" hidden="1" spans="1:18">
      <c r="A69" s="22" t="s">
        <v>184</v>
      </c>
      <c r="B69" s="23">
        <v>43974</v>
      </c>
      <c r="C69" s="24">
        <f t="shared" si="1"/>
        <v>5</v>
      </c>
      <c r="D69" s="22" t="s">
        <v>75</v>
      </c>
      <c r="E69" s="22" t="s">
        <v>128</v>
      </c>
      <c r="F69" s="22" t="s">
        <v>55</v>
      </c>
      <c r="G69" s="22" t="s">
        <v>109</v>
      </c>
      <c r="H69" s="22" t="s">
        <v>185</v>
      </c>
      <c r="I69" s="22" t="s">
        <v>51</v>
      </c>
      <c r="J69" s="22" t="s">
        <v>73</v>
      </c>
      <c r="K69" s="22" t="s">
        <v>53</v>
      </c>
      <c r="L69" s="22">
        <v>4</v>
      </c>
      <c r="M69" s="22">
        <v>29500</v>
      </c>
      <c r="N69" s="22">
        <v>0</v>
      </c>
      <c r="O69" s="22">
        <v>118000</v>
      </c>
      <c r="P69" s="22">
        <v>89011.7</v>
      </c>
      <c r="Q69" s="22">
        <v>28988.3</v>
      </c>
      <c r="R69" s="22" t="s">
        <v>48</v>
      </c>
    </row>
    <row r="70" hidden="1" spans="1:18">
      <c r="A70" s="22" t="s">
        <v>186</v>
      </c>
      <c r="B70" s="23">
        <v>44207</v>
      </c>
      <c r="C70" s="24">
        <f t="shared" si="1"/>
        <v>1</v>
      </c>
      <c r="D70" s="22" t="s">
        <v>90</v>
      </c>
      <c r="E70" s="22" t="s">
        <v>128</v>
      </c>
      <c r="F70" s="22" t="s">
        <v>21</v>
      </c>
      <c r="G70" s="22" t="s">
        <v>122</v>
      </c>
      <c r="H70" s="22" t="s">
        <v>123</v>
      </c>
      <c r="I70" s="22" t="s">
        <v>51</v>
      </c>
      <c r="J70" s="22" t="s">
        <v>116</v>
      </c>
      <c r="K70" s="22" t="s">
        <v>53</v>
      </c>
      <c r="L70" s="22">
        <v>2</v>
      </c>
      <c r="M70" s="22">
        <v>27000</v>
      </c>
      <c r="N70" s="22">
        <v>0.1</v>
      </c>
      <c r="O70" s="22">
        <v>48600</v>
      </c>
      <c r="P70" s="22">
        <v>36001.07</v>
      </c>
      <c r="Q70" s="22">
        <v>12598.93</v>
      </c>
      <c r="R70" s="22" t="s">
        <v>77</v>
      </c>
    </row>
    <row r="71" hidden="1" spans="1:18">
      <c r="A71" s="22" t="s">
        <v>187</v>
      </c>
      <c r="B71" s="23">
        <v>43291</v>
      </c>
      <c r="C71" s="24">
        <f t="shared" si="1"/>
        <v>7</v>
      </c>
      <c r="D71" s="22" t="s">
        <v>79</v>
      </c>
      <c r="E71" s="22" t="s">
        <v>128</v>
      </c>
      <c r="F71" s="22" t="s">
        <v>60</v>
      </c>
      <c r="G71" s="22" t="s">
        <v>61</v>
      </c>
      <c r="H71" s="22" t="s">
        <v>188</v>
      </c>
      <c r="I71" s="22" t="s">
        <v>24</v>
      </c>
      <c r="J71" s="22" t="s">
        <v>46</v>
      </c>
      <c r="K71" s="22" t="s">
        <v>53</v>
      </c>
      <c r="L71" s="22">
        <v>8</v>
      </c>
      <c r="M71" s="22">
        <v>51400</v>
      </c>
      <c r="N71" s="22">
        <v>0.15</v>
      </c>
      <c r="O71" s="22">
        <v>349520</v>
      </c>
      <c r="P71" s="22">
        <v>224906.97</v>
      </c>
      <c r="Q71" s="22">
        <v>124613.03</v>
      </c>
      <c r="R71" s="22" t="s">
        <v>27</v>
      </c>
    </row>
    <row r="72" hidden="1" spans="1:18">
      <c r="A72" s="22" t="s">
        <v>189</v>
      </c>
      <c r="B72" s="23">
        <v>43979</v>
      </c>
      <c r="C72" s="24">
        <f t="shared" si="1"/>
        <v>5</v>
      </c>
      <c r="D72" s="22" t="s">
        <v>75</v>
      </c>
      <c r="E72" s="22" t="s">
        <v>128</v>
      </c>
      <c r="F72" s="22" t="s">
        <v>21</v>
      </c>
      <c r="G72" s="22" t="s">
        <v>70</v>
      </c>
      <c r="H72" s="22" t="s">
        <v>71</v>
      </c>
      <c r="I72" s="22" t="s">
        <v>45</v>
      </c>
      <c r="J72" s="22" t="s">
        <v>40</v>
      </c>
      <c r="K72" s="22" t="s">
        <v>47</v>
      </c>
      <c r="L72" s="22">
        <v>8</v>
      </c>
      <c r="M72" s="22">
        <v>58300</v>
      </c>
      <c r="N72" s="22">
        <v>0</v>
      </c>
      <c r="O72" s="22">
        <v>466400</v>
      </c>
      <c r="P72" s="22">
        <v>369357.64</v>
      </c>
      <c r="Q72" s="22">
        <v>97042.36</v>
      </c>
      <c r="R72" s="22" t="s">
        <v>77</v>
      </c>
    </row>
    <row r="73" hidden="1" spans="1:18">
      <c r="A73" s="22" t="s">
        <v>190</v>
      </c>
      <c r="B73" s="23">
        <v>43187</v>
      </c>
      <c r="C73" s="24">
        <f t="shared" si="1"/>
        <v>3</v>
      </c>
      <c r="D73" s="22" t="s">
        <v>19</v>
      </c>
      <c r="E73" s="22" t="s">
        <v>20</v>
      </c>
      <c r="F73" s="22" t="s">
        <v>96</v>
      </c>
      <c r="G73" s="22" t="s">
        <v>97</v>
      </c>
      <c r="H73" s="22" t="s">
        <v>98</v>
      </c>
      <c r="I73" s="22" t="s">
        <v>51</v>
      </c>
      <c r="J73" s="22" t="s">
        <v>116</v>
      </c>
      <c r="K73" s="22" t="s">
        <v>26</v>
      </c>
      <c r="L73" s="22">
        <v>10</v>
      </c>
      <c r="M73" s="22">
        <v>26000</v>
      </c>
      <c r="N73" s="22">
        <v>0.05</v>
      </c>
      <c r="O73" s="22">
        <v>247000</v>
      </c>
      <c r="P73" s="22">
        <v>185108.58</v>
      </c>
      <c r="Q73" s="22">
        <v>61891.42</v>
      </c>
      <c r="R73" s="22" t="s">
        <v>48</v>
      </c>
    </row>
    <row r="74" spans="1:18">
      <c r="A74" s="22" t="s">
        <v>191</v>
      </c>
      <c r="B74" s="23">
        <v>45782</v>
      </c>
      <c r="C74" s="24">
        <f t="shared" si="1"/>
        <v>5</v>
      </c>
      <c r="D74" s="22" t="s">
        <v>75</v>
      </c>
      <c r="E74" s="22" t="s">
        <v>38</v>
      </c>
      <c r="F74" s="22" t="s">
        <v>60</v>
      </c>
      <c r="G74" s="22" t="s">
        <v>61</v>
      </c>
      <c r="H74" s="22" t="s">
        <v>188</v>
      </c>
      <c r="I74" s="22" t="s">
        <v>45</v>
      </c>
      <c r="J74" s="22" t="s">
        <v>25</v>
      </c>
      <c r="K74" s="22" t="s">
        <v>26</v>
      </c>
      <c r="L74" s="22">
        <v>1</v>
      </c>
      <c r="M74" s="22">
        <v>24900</v>
      </c>
      <c r="N74" s="22">
        <v>0.1</v>
      </c>
      <c r="O74" s="22">
        <v>22410</v>
      </c>
      <c r="P74" s="22">
        <v>14222.65</v>
      </c>
      <c r="Q74" s="22">
        <v>8187.35</v>
      </c>
      <c r="R74" s="22" t="s">
        <v>48</v>
      </c>
    </row>
    <row r="75" spans="1:18">
      <c r="A75" s="22" t="s">
        <v>192</v>
      </c>
      <c r="B75" s="23">
        <v>44102</v>
      </c>
      <c r="C75" s="24">
        <f t="shared" si="1"/>
        <v>9</v>
      </c>
      <c r="D75" s="22" t="s">
        <v>90</v>
      </c>
      <c r="E75" s="22" t="s">
        <v>38</v>
      </c>
      <c r="F75" s="22" t="s">
        <v>55</v>
      </c>
      <c r="G75" s="22" t="s">
        <v>109</v>
      </c>
      <c r="H75" s="22" t="s">
        <v>110</v>
      </c>
      <c r="I75" s="22" t="s">
        <v>51</v>
      </c>
      <c r="J75" s="22" t="s">
        <v>40</v>
      </c>
      <c r="K75" s="22" t="s">
        <v>47</v>
      </c>
      <c r="L75" s="22">
        <v>1</v>
      </c>
      <c r="M75" s="22">
        <v>29600</v>
      </c>
      <c r="N75" s="22">
        <v>0.15</v>
      </c>
      <c r="O75" s="22">
        <v>25160</v>
      </c>
      <c r="P75" s="22">
        <v>19964.24</v>
      </c>
      <c r="Q75" s="22">
        <v>5195.76</v>
      </c>
      <c r="R75" s="22" t="s">
        <v>27</v>
      </c>
    </row>
    <row r="76" spans="1:18">
      <c r="A76" s="22" t="s">
        <v>193</v>
      </c>
      <c r="B76" s="23">
        <v>43197</v>
      </c>
      <c r="C76" s="24">
        <f t="shared" si="1"/>
        <v>4</v>
      </c>
      <c r="D76" s="22" t="s">
        <v>121</v>
      </c>
      <c r="E76" s="22" t="s">
        <v>38</v>
      </c>
      <c r="F76" s="22" t="s">
        <v>31</v>
      </c>
      <c r="G76" s="22" t="s">
        <v>43</v>
      </c>
      <c r="H76" s="22" t="s">
        <v>44</v>
      </c>
      <c r="I76" s="22" t="s">
        <v>24</v>
      </c>
      <c r="J76" s="22" t="s">
        <v>116</v>
      </c>
      <c r="K76" s="22" t="s">
        <v>26</v>
      </c>
      <c r="L76" s="22">
        <v>10</v>
      </c>
      <c r="M76" s="22">
        <v>68700</v>
      </c>
      <c r="N76" s="22">
        <v>0.15</v>
      </c>
      <c r="O76" s="22">
        <v>583950</v>
      </c>
      <c r="P76" s="22">
        <v>376261.75</v>
      </c>
      <c r="Q76" s="22">
        <v>207688.25</v>
      </c>
      <c r="R76" s="22" t="s">
        <v>27</v>
      </c>
    </row>
    <row r="77" spans="1:18">
      <c r="A77" s="22" t="s">
        <v>194</v>
      </c>
      <c r="B77" s="23">
        <v>43978</v>
      </c>
      <c r="C77" s="24">
        <f t="shared" si="1"/>
        <v>5</v>
      </c>
      <c r="D77" s="22" t="s">
        <v>75</v>
      </c>
      <c r="E77" s="22" t="s">
        <v>38</v>
      </c>
      <c r="F77" s="22" t="s">
        <v>55</v>
      </c>
      <c r="G77" s="22" t="s">
        <v>195</v>
      </c>
      <c r="H77" s="22" t="s">
        <v>196</v>
      </c>
      <c r="I77" s="22" t="s">
        <v>51</v>
      </c>
      <c r="J77" s="22" t="s">
        <v>34</v>
      </c>
      <c r="K77" s="22" t="s">
        <v>26</v>
      </c>
      <c r="L77" s="22">
        <v>2</v>
      </c>
      <c r="M77" s="22">
        <v>15700</v>
      </c>
      <c r="N77" s="22">
        <v>0.1</v>
      </c>
      <c r="O77" s="22">
        <v>28260</v>
      </c>
      <c r="P77" s="22">
        <v>21037.08</v>
      </c>
      <c r="Q77" s="22">
        <v>7222.92</v>
      </c>
      <c r="R77" s="22" t="s">
        <v>27</v>
      </c>
    </row>
    <row r="78" spans="1:18">
      <c r="A78" s="22" t="s">
        <v>197</v>
      </c>
      <c r="B78" s="23">
        <v>44010</v>
      </c>
      <c r="C78" s="24">
        <f t="shared" si="1"/>
        <v>6</v>
      </c>
      <c r="D78" s="22" t="s">
        <v>79</v>
      </c>
      <c r="E78" s="22" t="s">
        <v>38</v>
      </c>
      <c r="F78" s="22" t="s">
        <v>31</v>
      </c>
      <c r="G78" s="22" t="s">
        <v>32</v>
      </c>
      <c r="H78" s="22" t="s">
        <v>50</v>
      </c>
      <c r="I78" s="22" t="s">
        <v>51</v>
      </c>
      <c r="J78" s="22" t="s">
        <v>116</v>
      </c>
      <c r="K78" s="22" t="s">
        <v>53</v>
      </c>
      <c r="L78" s="22">
        <v>6</v>
      </c>
      <c r="M78" s="22">
        <v>39100</v>
      </c>
      <c r="N78" s="22">
        <v>0.05</v>
      </c>
      <c r="O78" s="22">
        <v>222870</v>
      </c>
      <c r="P78" s="22">
        <v>184626.03</v>
      </c>
      <c r="Q78" s="22">
        <v>38243.97</v>
      </c>
      <c r="R78" s="22" t="s">
        <v>35</v>
      </c>
    </row>
    <row r="79" hidden="1" spans="1:18">
      <c r="A79" s="22" t="s">
        <v>198</v>
      </c>
      <c r="B79" s="23">
        <v>44322</v>
      </c>
      <c r="C79" s="24">
        <f t="shared" si="1"/>
        <v>5</v>
      </c>
      <c r="D79" s="22" t="s">
        <v>29</v>
      </c>
      <c r="E79" s="22" t="s">
        <v>30</v>
      </c>
      <c r="F79" s="22" t="s">
        <v>21</v>
      </c>
      <c r="G79" s="22" t="s">
        <v>22</v>
      </c>
      <c r="H79" s="22" t="s">
        <v>23</v>
      </c>
      <c r="I79" s="22" t="s">
        <v>45</v>
      </c>
      <c r="J79" s="22" t="s">
        <v>52</v>
      </c>
      <c r="K79" s="22" t="s">
        <v>47</v>
      </c>
      <c r="L79" s="22">
        <v>8</v>
      </c>
      <c r="M79" s="22">
        <v>1300</v>
      </c>
      <c r="N79" s="22">
        <v>0.1</v>
      </c>
      <c r="O79" s="22">
        <v>9360</v>
      </c>
      <c r="P79" s="22">
        <v>7391.35</v>
      </c>
      <c r="Q79" s="22">
        <v>1968.65</v>
      </c>
      <c r="R79" s="22" t="s">
        <v>48</v>
      </c>
    </row>
    <row r="80" spans="1:18">
      <c r="A80" s="22" t="s">
        <v>199</v>
      </c>
      <c r="B80" s="23">
        <v>45686</v>
      </c>
      <c r="C80" s="24">
        <f t="shared" si="1"/>
        <v>1</v>
      </c>
      <c r="D80" s="22" t="s">
        <v>79</v>
      </c>
      <c r="E80" s="22" t="s">
        <v>38</v>
      </c>
      <c r="F80" s="22" t="s">
        <v>60</v>
      </c>
      <c r="G80" s="22" t="s">
        <v>141</v>
      </c>
      <c r="H80" s="22" t="s">
        <v>200</v>
      </c>
      <c r="I80" s="22" t="s">
        <v>51</v>
      </c>
      <c r="J80" s="22" t="s">
        <v>25</v>
      </c>
      <c r="K80" s="22" t="s">
        <v>47</v>
      </c>
      <c r="L80" s="22">
        <v>7</v>
      </c>
      <c r="M80" s="22">
        <v>22400</v>
      </c>
      <c r="N80" s="22">
        <v>0</v>
      </c>
      <c r="O80" s="22">
        <v>156800</v>
      </c>
      <c r="P80" s="22">
        <v>102925.8</v>
      </c>
      <c r="Q80" s="22">
        <v>53874.2</v>
      </c>
      <c r="R80" s="22" t="s">
        <v>58</v>
      </c>
    </row>
    <row r="81" spans="1:18">
      <c r="A81" s="22" t="s">
        <v>201</v>
      </c>
      <c r="B81" s="23">
        <v>43287</v>
      </c>
      <c r="C81" s="24">
        <f t="shared" si="1"/>
        <v>7</v>
      </c>
      <c r="D81" s="22" t="s">
        <v>90</v>
      </c>
      <c r="E81" s="22" t="s">
        <v>38</v>
      </c>
      <c r="F81" s="22" t="s">
        <v>21</v>
      </c>
      <c r="G81" s="22" t="s">
        <v>22</v>
      </c>
      <c r="H81" s="22" t="s">
        <v>39</v>
      </c>
      <c r="I81" s="22" t="s">
        <v>24</v>
      </c>
      <c r="J81" s="22" t="s">
        <v>73</v>
      </c>
      <c r="K81" s="22" t="s">
        <v>53</v>
      </c>
      <c r="L81" s="22">
        <v>5</v>
      </c>
      <c r="M81" s="22">
        <v>24500</v>
      </c>
      <c r="N81" s="22">
        <v>0.1</v>
      </c>
      <c r="O81" s="22">
        <v>110250</v>
      </c>
      <c r="P81" s="22">
        <v>73341.34</v>
      </c>
      <c r="Q81" s="22">
        <v>36908.66</v>
      </c>
      <c r="R81" s="22" t="s">
        <v>58</v>
      </c>
    </row>
    <row r="82" spans="1:18">
      <c r="A82" s="22" t="s">
        <v>202</v>
      </c>
      <c r="B82" s="23">
        <v>43202</v>
      </c>
      <c r="C82" s="24">
        <f t="shared" si="1"/>
        <v>4</v>
      </c>
      <c r="D82" s="22" t="s">
        <v>37</v>
      </c>
      <c r="E82" s="22" t="s">
        <v>38</v>
      </c>
      <c r="F82" s="22" t="s">
        <v>60</v>
      </c>
      <c r="G82" s="22" t="s">
        <v>141</v>
      </c>
      <c r="H82" s="22" t="s">
        <v>200</v>
      </c>
      <c r="I82" s="22" t="s">
        <v>24</v>
      </c>
      <c r="J82" s="22" t="s">
        <v>34</v>
      </c>
      <c r="K82" s="22" t="s">
        <v>26</v>
      </c>
      <c r="L82" s="22">
        <v>6</v>
      </c>
      <c r="M82" s="22">
        <v>18000</v>
      </c>
      <c r="N82" s="22">
        <v>0.05</v>
      </c>
      <c r="O82" s="22">
        <v>102600</v>
      </c>
      <c r="P82" s="22">
        <v>80258.88</v>
      </c>
      <c r="Q82" s="22">
        <v>22341.12</v>
      </c>
      <c r="R82" s="22" t="s">
        <v>77</v>
      </c>
    </row>
    <row r="83" spans="1:18">
      <c r="A83" s="22" t="s">
        <v>203</v>
      </c>
      <c r="B83" s="23">
        <v>43819</v>
      </c>
      <c r="C83" s="24">
        <f t="shared" si="1"/>
        <v>12</v>
      </c>
      <c r="D83" s="22" t="s">
        <v>79</v>
      </c>
      <c r="E83" s="22" t="s">
        <v>38</v>
      </c>
      <c r="F83" s="22" t="s">
        <v>60</v>
      </c>
      <c r="G83" s="22" t="s">
        <v>93</v>
      </c>
      <c r="H83" s="22" t="s">
        <v>94</v>
      </c>
      <c r="I83" s="22" t="s">
        <v>51</v>
      </c>
      <c r="J83" s="22" t="s">
        <v>52</v>
      </c>
      <c r="K83" s="22" t="s">
        <v>53</v>
      </c>
      <c r="L83" s="22">
        <v>5</v>
      </c>
      <c r="M83" s="22">
        <v>69900</v>
      </c>
      <c r="N83" s="22">
        <v>0.05</v>
      </c>
      <c r="O83" s="22">
        <v>332025</v>
      </c>
      <c r="P83" s="22">
        <v>248264.87</v>
      </c>
      <c r="Q83" s="22">
        <v>83760.13</v>
      </c>
      <c r="R83" s="22" t="s">
        <v>27</v>
      </c>
    </row>
    <row r="84" spans="1:18">
      <c r="A84" s="22" t="s">
        <v>204</v>
      </c>
      <c r="B84" s="23">
        <v>46078</v>
      </c>
      <c r="C84" s="24">
        <f t="shared" si="1"/>
        <v>2</v>
      </c>
      <c r="D84" s="22" t="s">
        <v>103</v>
      </c>
      <c r="E84" s="22" t="s">
        <v>38</v>
      </c>
      <c r="F84" s="22" t="s">
        <v>55</v>
      </c>
      <c r="G84" s="22" t="s">
        <v>56</v>
      </c>
      <c r="H84" s="22" t="s">
        <v>154</v>
      </c>
      <c r="I84" s="22" t="s">
        <v>24</v>
      </c>
      <c r="J84" s="22" t="s">
        <v>25</v>
      </c>
      <c r="K84" s="22" t="s">
        <v>47</v>
      </c>
      <c r="L84" s="22">
        <v>4</v>
      </c>
      <c r="M84" s="22">
        <v>39900</v>
      </c>
      <c r="N84" s="22">
        <v>0</v>
      </c>
      <c r="O84" s="22">
        <v>159600</v>
      </c>
      <c r="P84" s="22">
        <v>133954.25</v>
      </c>
      <c r="Q84" s="22">
        <v>25645.75</v>
      </c>
      <c r="R84" s="22" t="s">
        <v>27</v>
      </c>
    </row>
    <row r="85" spans="1:18">
      <c r="A85" s="22" t="s">
        <v>205</v>
      </c>
      <c r="B85" s="23">
        <v>43732</v>
      </c>
      <c r="C85" s="24">
        <f t="shared" si="1"/>
        <v>9</v>
      </c>
      <c r="D85" s="22" t="s">
        <v>37</v>
      </c>
      <c r="E85" s="22" t="s">
        <v>38</v>
      </c>
      <c r="F85" s="22" t="s">
        <v>21</v>
      </c>
      <c r="G85" s="22" t="s">
        <v>167</v>
      </c>
      <c r="H85" s="22" t="s">
        <v>206</v>
      </c>
      <c r="I85" s="22" t="s">
        <v>51</v>
      </c>
      <c r="J85" s="22" t="s">
        <v>88</v>
      </c>
      <c r="K85" s="22" t="s">
        <v>53</v>
      </c>
      <c r="L85" s="22">
        <v>1</v>
      </c>
      <c r="M85" s="22">
        <v>10000</v>
      </c>
      <c r="N85" s="22">
        <v>0.05</v>
      </c>
      <c r="O85" s="22">
        <v>9500</v>
      </c>
      <c r="P85" s="22">
        <v>7070.52</v>
      </c>
      <c r="Q85" s="22">
        <v>2429.48</v>
      </c>
      <c r="R85" s="22" t="s">
        <v>48</v>
      </c>
    </row>
    <row r="86" hidden="1" spans="1:18">
      <c r="A86" s="22" t="s">
        <v>207</v>
      </c>
      <c r="B86" s="23">
        <v>44089</v>
      </c>
      <c r="C86" s="24">
        <f t="shared" si="1"/>
        <v>9</v>
      </c>
      <c r="D86" s="22" t="s">
        <v>85</v>
      </c>
      <c r="E86" s="22" t="s">
        <v>30</v>
      </c>
      <c r="F86" s="22" t="s">
        <v>55</v>
      </c>
      <c r="G86" s="22" t="s">
        <v>56</v>
      </c>
      <c r="H86" s="22" t="s">
        <v>57</v>
      </c>
      <c r="I86" s="22" t="s">
        <v>45</v>
      </c>
      <c r="J86" s="22" t="s">
        <v>25</v>
      </c>
      <c r="K86" s="22" t="s">
        <v>26</v>
      </c>
      <c r="L86" s="22">
        <v>6</v>
      </c>
      <c r="M86" s="22">
        <v>4000</v>
      </c>
      <c r="N86" s="22">
        <v>0</v>
      </c>
      <c r="O86" s="22">
        <v>24000</v>
      </c>
      <c r="P86" s="22">
        <v>16645.44</v>
      </c>
      <c r="Q86" s="22">
        <v>7354.56</v>
      </c>
      <c r="R86" s="22" t="s">
        <v>35</v>
      </c>
    </row>
    <row r="87" spans="1:18">
      <c r="A87" s="22" t="s">
        <v>208</v>
      </c>
      <c r="B87" s="23">
        <v>44051</v>
      </c>
      <c r="C87" s="24">
        <f t="shared" si="1"/>
        <v>8</v>
      </c>
      <c r="D87" s="22" t="s">
        <v>37</v>
      </c>
      <c r="E87" s="22" t="s">
        <v>38</v>
      </c>
      <c r="F87" s="22" t="s">
        <v>55</v>
      </c>
      <c r="G87" s="22" t="s">
        <v>195</v>
      </c>
      <c r="H87" s="22" t="s">
        <v>209</v>
      </c>
      <c r="I87" s="22" t="s">
        <v>45</v>
      </c>
      <c r="J87" s="22" t="s">
        <v>34</v>
      </c>
      <c r="K87" s="22" t="s">
        <v>26</v>
      </c>
      <c r="L87" s="22">
        <v>7</v>
      </c>
      <c r="M87" s="22">
        <v>26100</v>
      </c>
      <c r="N87" s="22">
        <v>0</v>
      </c>
      <c r="O87" s="22">
        <v>182700</v>
      </c>
      <c r="P87" s="22">
        <v>122195.95</v>
      </c>
      <c r="Q87" s="22">
        <v>60504.05</v>
      </c>
      <c r="R87" s="22" t="s">
        <v>27</v>
      </c>
    </row>
    <row r="88" spans="1:18">
      <c r="A88" s="22" t="s">
        <v>210</v>
      </c>
      <c r="B88" s="23">
        <v>43315</v>
      </c>
      <c r="C88" s="24">
        <f t="shared" si="1"/>
        <v>8</v>
      </c>
      <c r="D88" s="22" t="s">
        <v>79</v>
      </c>
      <c r="E88" s="22" t="s">
        <v>38</v>
      </c>
      <c r="F88" s="22" t="s">
        <v>96</v>
      </c>
      <c r="G88" s="22" t="s">
        <v>97</v>
      </c>
      <c r="H88" s="22" t="s">
        <v>98</v>
      </c>
      <c r="I88" s="22" t="s">
        <v>51</v>
      </c>
      <c r="J88" s="22" t="s">
        <v>116</v>
      </c>
      <c r="K88" s="22" t="s">
        <v>53</v>
      </c>
      <c r="L88" s="22">
        <v>1</v>
      </c>
      <c r="M88" s="22">
        <v>48400</v>
      </c>
      <c r="N88" s="22">
        <v>0.1</v>
      </c>
      <c r="O88" s="22">
        <v>43560</v>
      </c>
      <c r="P88" s="22">
        <v>34724.69</v>
      </c>
      <c r="Q88" s="22">
        <v>8835.31</v>
      </c>
      <c r="R88" s="22" t="s">
        <v>48</v>
      </c>
    </row>
    <row r="89" spans="1:18">
      <c r="A89" s="22" t="s">
        <v>211</v>
      </c>
      <c r="B89" s="23">
        <v>44062</v>
      </c>
      <c r="C89" s="24">
        <f t="shared" si="1"/>
        <v>8</v>
      </c>
      <c r="D89" s="22" t="s">
        <v>79</v>
      </c>
      <c r="E89" s="22" t="s">
        <v>38</v>
      </c>
      <c r="F89" s="22" t="s">
        <v>31</v>
      </c>
      <c r="G89" s="22" t="s">
        <v>66</v>
      </c>
      <c r="H89" s="22" t="s">
        <v>67</v>
      </c>
      <c r="I89" s="22" t="s">
        <v>45</v>
      </c>
      <c r="J89" s="22" t="s">
        <v>99</v>
      </c>
      <c r="K89" s="22" t="s">
        <v>47</v>
      </c>
      <c r="L89" s="22">
        <v>7</v>
      </c>
      <c r="M89" s="22">
        <v>59200</v>
      </c>
      <c r="N89" s="22">
        <v>0.15</v>
      </c>
      <c r="O89" s="22">
        <v>352240</v>
      </c>
      <c r="P89" s="22">
        <v>227903.12</v>
      </c>
      <c r="Q89" s="22">
        <v>124336.88</v>
      </c>
      <c r="R89" s="22" t="s">
        <v>77</v>
      </c>
    </row>
    <row r="90" hidden="1" spans="1:18">
      <c r="A90" s="22" t="s">
        <v>212</v>
      </c>
      <c r="B90" s="23">
        <v>44656</v>
      </c>
      <c r="C90" s="24">
        <f t="shared" si="1"/>
        <v>4</v>
      </c>
      <c r="D90" s="22" t="s">
        <v>133</v>
      </c>
      <c r="E90" s="22" t="s">
        <v>213</v>
      </c>
      <c r="F90" s="22" t="s">
        <v>96</v>
      </c>
      <c r="G90" s="22" t="s">
        <v>113</v>
      </c>
      <c r="H90" s="22" t="s">
        <v>114</v>
      </c>
      <c r="I90" s="22" t="s">
        <v>24</v>
      </c>
      <c r="J90" s="22" t="s">
        <v>73</v>
      </c>
      <c r="K90" s="22" t="s">
        <v>53</v>
      </c>
      <c r="L90" s="22">
        <v>10</v>
      </c>
      <c r="M90" s="22">
        <v>21100</v>
      </c>
      <c r="N90" s="22">
        <v>0.05</v>
      </c>
      <c r="O90" s="22">
        <v>200450</v>
      </c>
      <c r="P90" s="22">
        <v>125788.43</v>
      </c>
      <c r="Q90" s="22">
        <v>74661.57</v>
      </c>
      <c r="R90" s="22" t="s">
        <v>58</v>
      </c>
    </row>
    <row r="91" hidden="1" spans="1:18">
      <c r="A91" s="22" t="s">
        <v>214</v>
      </c>
      <c r="B91" s="23">
        <v>43757</v>
      </c>
      <c r="C91" s="24">
        <f t="shared" si="1"/>
        <v>10</v>
      </c>
      <c r="D91" s="22" t="s">
        <v>19</v>
      </c>
      <c r="E91" s="22" t="s">
        <v>20</v>
      </c>
      <c r="F91" s="22" t="s">
        <v>21</v>
      </c>
      <c r="G91" s="22" t="s">
        <v>22</v>
      </c>
      <c r="H91" s="22" t="s">
        <v>215</v>
      </c>
      <c r="I91" s="22" t="s">
        <v>45</v>
      </c>
      <c r="J91" s="22" t="s">
        <v>25</v>
      </c>
      <c r="K91" s="22" t="s">
        <v>47</v>
      </c>
      <c r="L91" s="22">
        <v>6</v>
      </c>
      <c r="M91" s="22">
        <v>23200</v>
      </c>
      <c r="N91" s="22">
        <v>0</v>
      </c>
      <c r="O91" s="22">
        <v>139200</v>
      </c>
      <c r="P91" s="22">
        <v>103630.34</v>
      </c>
      <c r="Q91" s="22">
        <v>35569.66</v>
      </c>
      <c r="R91" s="22" t="s">
        <v>35</v>
      </c>
    </row>
    <row r="92" hidden="1" spans="1:18">
      <c r="A92" s="22" t="s">
        <v>216</v>
      </c>
      <c r="B92" s="23">
        <v>44336</v>
      </c>
      <c r="C92" s="24">
        <f t="shared" si="1"/>
        <v>5</v>
      </c>
      <c r="D92" s="22" t="s">
        <v>85</v>
      </c>
      <c r="E92" s="22" t="s">
        <v>30</v>
      </c>
      <c r="F92" s="22" t="s">
        <v>60</v>
      </c>
      <c r="G92" s="22" t="s">
        <v>86</v>
      </c>
      <c r="H92" s="22" t="s">
        <v>104</v>
      </c>
      <c r="I92" s="22" t="s">
        <v>51</v>
      </c>
      <c r="J92" s="22" t="s">
        <v>52</v>
      </c>
      <c r="K92" s="22" t="s">
        <v>47</v>
      </c>
      <c r="L92" s="22">
        <v>9</v>
      </c>
      <c r="M92" s="22">
        <v>1900</v>
      </c>
      <c r="N92" s="22">
        <v>0</v>
      </c>
      <c r="O92" s="22">
        <v>17100</v>
      </c>
      <c r="P92" s="22">
        <v>13743.01</v>
      </c>
      <c r="Q92" s="22">
        <v>3356.99</v>
      </c>
      <c r="R92" s="22" t="s">
        <v>27</v>
      </c>
    </row>
    <row r="93" spans="1:18">
      <c r="A93" s="22" t="s">
        <v>217</v>
      </c>
      <c r="B93" s="23">
        <v>45755</v>
      </c>
      <c r="C93" s="24">
        <f t="shared" si="1"/>
        <v>4</v>
      </c>
      <c r="D93" s="22" t="s">
        <v>69</v>
      </c>
      <c r="E93" s="22" t="s">
        <v>38</v>
      </c>
      <c r="F93" s="22" t="s">
        <v>21</v>
      </c>
      <c r="G93" s="22" t="s">
        <v>167</v>
      </c>
      <c r="H93" s="22" t="s">
        <v>206</v>
      </c>
      <c r="I93" s="22" t="s">
        <v>24</v>
      </c>
      <c r="J93" s="22" t="s">
        <v>40</v>
      </c>
      <c r="K93" s="22" t="s">
        <v>53</v>
      </c>
      <c r="L93" s="22">
        <v>5</v>
      </c>
      <c r="M93" s="22">
        <v>38900</v>
      </c>
      <c r="N93" s="22">
        <v>0.05</v>
      </c>
      <c r="O93" s="22">
        <v>184775</v>
      </c>
      <c r="P93" s="22">
        <v>117291.21</v>
      </c>
      <c r="Q93" s="22">
        <v>67483.79</v>
      </c>
      <c r="R93" s="22" t="s">
        <v>35</v>
      </c>
    </row>
    <row r="94" spans="1:18">
      <c r="A94" s="22" t="s">
        <v>218</v>
      </c>
      <c r="B94" s="23">
        <v>45733</v>
      </c>
      <c r="C94" s="24">
        <f t="shared" si="1"/>
        <v>3</v>
      </c>
      <c r="D94" s="22" t="s">
        <v>103</v>
      </c>
      <c r="E94" s="22" t="s">
        <v>38</v>
      </c>
      <c r="F94" s="22" t="s">
        <v>31</v>
      </c>
      <c r="G94" s="22" t="s">
        <v>43</v>
      </c>
      <c r="H94" s="22" t="s">
        <v>44</v>
      </c>
      <c r="I94" s="22" t="s">
        <v>24</v>
      </c>
      <c r="J94" s="22" t="s">
        <v>40</v>
      </c>
      <c r="K94" s="22" t="s">
        <v>47</v>
      </c>
      <c r="L94" s="22">
        <v>9</v>
      </c>
      <c r="M94" s="22">
        <v>31000</v>
      </c>
      <c r="N94" s="22">
        <v>0.1</v>
      </c>
      <c r="O94" s="22">
        <v>251100</v>
      </c>
      <c r="P94" s="22">
        <v>169532.86</v>
      </c>
      <c r="Q94" s="22">
        <v>81567.14</v>
      </c>
      <c r="R94" s="22" t="s">
        <v>35</v>
      </c>
    </row>
    <row r="95" hidden="1" spans="1:18">
      <c r="A95" s="22" t="s">
        <v>219</v>
      </c>
      <c r="B95" s="23">
        <v>44087</v>
      </c>
      <c r="C95" s="24">
        <f t="shared" si="1"/>
        <v>9</v>
      </c>
      <c r="D95" s="22" t="s">
        <v>19</v>
      </c>
      <c r="E95" s="22" t="s">
        <v>20</v>
      </c>
      <c r="F95" s="22" t="s">
        <v>96</v>
      </c>
      <c r="G95" s="22" t="s">
        <v>113</v>
      </c>
      <c r="H95" s="22" t="s">
        <v>119</v>
      </c>
      <c r="I95" s="22" t="s">
        <v>24</v>
      </c>
      <c r="J95" s="22" t="s">
        <v>63</v>
      </c>
      <c r="K95" s="22" t="s">
        <v>47</v>
      </c>
      <c r="L95" s="22">
        <v>10</v>
      </c>
      <c r="M95" s="22">
        <v>15300</v>
      </c>
      <c r="N95" s="22">
        <v>0.05</v>
      </c>
      <c r="O95" s="22">
        <v>145350</v>
      </c>
      <c r="P95" s="22">
        <v>120771.02</v>
      </c>
      <c r="Q95" s="22">
        <v>24578.98</v>
      </c>
      <c r="R95" s="22" t="s">
        <v>77</v>
      </c>
    </row>
    <row r="96" spans="1:18">
      <c r="A96" s="22" t="s">
        <v>220</v>
      </c>
      <c r="B96" s="23">
        <v>43175</v>
      </c>
      <c r="C96" s="24">
        <f t="shared" si="1"/>
        <v>3</v>
      </c>
      <c r="D96" s="22" t="s">
        <v>121</v>
      </c>
      <c r="E96" s="22" t="s">
        <v>38</v>
      </c>
      <c r="F96" s="22" t="s">
        <v>21</v>
      </c>
      <c r="G96" s="22" t="s">
        <v>22</v>
      </c>
      <c r="H96" s="22" t="s">
        <v>39</v>
      </c>
      <c r="I96" s="22" t="s">
        <v>51</v>
      </c>
      <c r="J96" s="22" t="s">
        <v>25</v>
      </c>
      <c r="K96" s="22" t="s">
        <v>26</v>
      </c>
      <c r="L96" s="22">
        <v>4</v>
      </c>
      <c r="M96" s="22">
        <v>83800</v>
      </c>
      <c r="N96" s="22">
        <v>0</v>
      </c>
      <c r="O96" s="22">
        <v>335200</v>
      </c>
      <c r="P96" s="22">
        <v>249592.94</v>
      </c>
      <c r="Q96" s="22">
        <v>85607.06</v>
      </c>
      <c r="R96" s="22" t="s">
        <v>27</v>
      </c>
    </row>
    <row r="97" spans="1:18">
      <c r="A97" s="22" t="s">
        <v>221</v>
      </c>
      <c r="B97" s="23">
        <v>43265</v>
      </c>
      <c r="C97" s="24">
        <f t="shared" si="1"/>
        <v>6</v>
      </c>
      <c r="D97" s="22" t="s">
        <v>79</v>
      </c>
      <c r="E97" s="22" t="s">
        <v>38</v>
      </c>
      <c r="F97" s="22" t="s">
        <v>55</v>
      </c>
      <c r="G97" s="22" t="s">
        <v>109</v>
      </c>
      <c r="H97" s="22" t="s">
        <v>110</v>
      </c>
      <c r="I97" s="22" t="s">
        <v>45</v>
      </c>
      <c r="J97" s="22" t="s">
        <v>170</v>
      </c>
      <c r="K97" s="22" t="s">
        <v>47</v>
      </c>
      <c r="L97" s="22">
        <v>3</v>
      </c>
      <c r="M97" s="22">
        <v>65500</v>
      </c>
      <c r="N97" s="22">
        <v>0.15</v>
      </c>
      <c r="O97" s="22">
        <v>167025</v>
      </c>
      <c r="P97" s="22">
        <v>138656.14</v>
      </c>
      <c r="Q97" s="22">
        <v>28368.86</v>
      </c>
      <c r="R97" s="22" t="s">
        <v>35</v>
      </c>
    </row>
    <row r="98" spans="1:18">
      <c r="A98" s="22" t="s">
        <v>222</v>
      </c>
      <c r="B98" s="23">
        <v>45730</v>
      </c>
      <c r="C98" s="24">
        <f t="shared" si="1"/>
        <v>3</v>
      </c>
      <c r="D98" s="22" t="s">
        <v>103</v>
      </c>
      <c r="E98" s="22" t="s">
        <v>38</v>
      </c>
      <c r="F98" s="22" t="s">
        <v>60</v>
      </c>
      <c r="G98" s="22" t="s">
        <v>61</v>
      </c>
      <c r="H98" s="22" t="s">
        <v>188</v>
      </c>
      <c r="I98" s="22" t="s">
        <v>24</v>
      </c>
      <c r="J98" s="22" t="s">
        <v>46</v>
      </c>
      <c r="K98" s="22" t="s">
        <v>26</v>
      </c>
      <c r="L98" s="22">
        <v>8</v>
      </c>
      <c r="M98" s="22">
        <v>72400</v>
      </c>
      <c r="N98" s="22">
        <v>0</v>
      </c>
      <c r="O98" s="22">
        <v>579200</v>
      </c>
      <c r="P98" s="22">
        <v>463477.29</v>
      </c>
      <c r="Q98" s="22">
        <v>115722.71</v>
      </c>
      <c r="R98" s="22" t="s">
        <v>35</v>
      </c>
    </row>
    <row r="99" spans="1:18">
      <c r="A99" s="22" t="s">
        <v>223</v>
      </c>
      <c r="B99" s="23">
        <v>44940</v>
      </c>
      <c r="C99" s="24">
        <f t="shared" si="1"/>
        <v>1</v>
      </c>
      <c r="D99" s="22" t="s">
        <v>37</v>
      </c>
      <c r="E99" s="22" t="s">
        <v>38</v>
      </c>
      <c r="F99" s="22" t="s">
        <v>55</v>
      </c>
      <c r="G99" s="22" t="s">
        <v>109</v>
      </c>
      <c r="H99" s="22" t="s">
        <v>110</v>
      </c>
      <c r="I99" s="22" t="s">
        <v>45</v>
      </c>
      <c r="J99" s="22" t="s">
        <v>46</v>
      </c>
      <c r="K99" s="22" t="s">
        <v>53</v>
      </c>
      <c r="L99" s="22">
        <v>1</v>
      </c>
      <c r="M99" s="22">
        <v>12600</v>
      </c>
      <c r="N99" s="22">
        <v>0.2</v>
      </c>
      <c r="O99" s="22">
        <v>10080</v>
      </c>
      <c r="P99" s="22">
        <v>7238.66</v>
      </c>
      <c r="Q99" s="22">
        <v>2841.34</v>
      </c>
      <c r="R99" s="22" t="s">
        <v>48</v>
      </c>
    </row>
    <row r="100" hidden="1" spans="1:18">
      <c r="A100" s="22" t="s">
        <v>224</v>
      </c>
      <c r="B100" s="23">
        <v>43128</v>
      </c>
      <c r="C100" s="24">
        <f t="shared" si="1"/>
        <v>1</v>
      </c>
      <c r="D100" s="22" t="s">
        <v>65</v>
      </c>
      <c r="E100" s="22" t="s">
        <v>30</v>
      </c>
      <c r="F100" s="22" t="s">
        <v>60</v>
      </c>
      <c r="G100" s="22" t="s">
        <v>93</v>
      </c>
      <c r="H100" s="22" t="s">
        <v>101</v>
      </c>
      <c r="I100" s="22" t="s">
        <v>45</v>
      </c>
      <c r="J100" s="22" t="s">
        <v>34</v>
      </c>
      <c r="K100" s="22" t="s">
        <v>53</v>
      </c>
      <c r="L100" s="22">
        <v>6</v>
      </c>
      <c r="M100" s="22">
        <v>2100</v>
      </c>
      <c r="N100" s="22">
        <v>0.2</v>
      </c>
      <c r="O100" s="22">
        <v>10080</v>
      </c>
      <c r="P100" s="22">
        <v>8252.9</v>
      </c>
      <c r="Q100" s="22">
        <v>1827.1</v>
      </c>
      <c r="R100" s="22" t="s">
        <v>58</v>
      </c>
    </row>
    <row r="101" hidden="1" spans="1:18">
      <c r="A101" s="22" t="s">
        <v>225</v>
      </c>
      <c r="B101" s="23">
        <v>44225</v>
      </c>
      <c r="C101" s="24">
        <f t="shared" si="1"/>
        <v>1</v>
      </c>
      <c r="D101" s="22" t="s">
        <v>65</v>
      </c>
      <c r="E101" s="22" t="s">
        <v>30</v>
      </c>
      <c r="F101" s="22" t="s">
        <v>31</v>
      </c>
      <c r="G101" s="22" t="s">
        <v>32</v>
      </c>
      <c r="H101" s="22" t="s">
        <v>226</v>
      </c>
      <c r="I101" s="22" t="s">
        <v>51</v>
      </c>
      <c r="J101" s="22" t="s">
        <v>73</v>
      </c>
      <c r="K101" s="22" t="s">
        <v>26</v>
      </c>
      <c r="L101" s="22">
        <v>1</v>
      </c>
      <c r="M101" s="22">
        <v>1000</v>
      </c>
      <c r="N101" s="22">
        <v>0.1</v>
      </c>
      <c r="O101" s="22">
        <v>900</v>
      </c>
      <c r="P101" s="22">
        <v>739.27</v>
      </c>
      <c r="Q101" s="22">
        <v>160.73</v>
      </c>
      <c r="R101" s="22" t="s">
        <v>58</v>
      </c>
    </row>
    <row r="102" spans="1:18">
      <c r="A102" s="22" t="s">
        <v>227</v>
      </c>
      <c r="B102" s="23">
        <v>44093</v>
      </c>
      <c r="C102" s="24">
        <f t="shared" si="1"/>
        <v>9</v>
      </c>
      <c r="D102" s="22" t="s">
        <v>79</v>
      </c>
      <c r="E102" s="22" t="s">
        <v>38</v>
      </c>
      <c r="F102" s="22" t="s">
        <v>21</v>
      </c>
      <c r="G102" s="22" t="s">
        <v>70</v>
      </c>
      <c r="H102" s="22" t="s">
        <v>71</v>
      </c>
      <c r="I102" s="22" t="s">
        <v>45</v>
      </c>
      <c r="J102" s="22" t="s">
        <v>52</v>
      </c>
      <c r="K102" s="22" t="s">
        <v>26</v>
      </c>
      <c r="L102" s="22">
        <v>2</v>
      </c>
      <c r="M102" s="22">
        <v>59700</v>
      </c>
      <c r="N102" s="22">
        <v>0</v>
      </c>
      <c r="O102" s="22">
        <v>119400</v>
      </c>
      <c r="P102" s="22">
        <v>85983.71</v>
      </c>
      <c r="Q102" s="22">
        <v>33416.29</v>
      </c>
      <c r="R102" s="22" t="s">
        <v>58</v>
      </c>
    </row>
    <row r="103" hidden="1" spans="1:18">
      <c r="A103" s="22" t="s">
        <v>228</v>
      </c>
      <c r="B103" s="23">
        <v>44942</v>
      </c>
      <c r="C103" s="24">
        <f t="shared" si="1"/>
        <v>1</v>
      </c>
      <c r="D103" s="22" t="s">
        <v>69</v>
      </c>
      <c r="E103" s="22" t="s">
        <v>30</v>
      </c>
      <c r="F103" s="22" t="s">
        <v>21</v>
      </c>
      <c r="G103" s="22" t="s">
        <v>22</v>
      </c>
      <c r="H103" s="22" t="s">
        <v>23</v>
      </c>
      <c r="I103" s="22" t="s">
        <v>45</v>
      </c>
      <c r="J103" s="22" t="s">
        <v>46</v>
      </c>
      <c r="K103" s="22" t="s">
        <v>26</v>
      </c>
      <c r="L103" s="22">
        <v>2</v>
      </c>
      <c r="M103" s="22">
        <v>2700</v>
      </c>
      <c r="N103" s="22">
        <v>0.1</v>
      </c>
      <c r="O103" s="22">
        <v>4860</v>
      </c>
      <c r="P103" s="22">
        <v>3484.75</v>
      </c>
      <c r="Q103" s="22">
        <v>1375.25</v>
      </c>
      <c r="R103" s="22" t="s">
        <v>58</v>
      </c>
    </row>
    <row r="104" hidden="1" spans="1:18">
      <c r="A104" s="22" t="s">
        <v>229</v>
      </c>
      <c r="B104" s="23">
        <v>45661</v>
      </c>
      <c r="C104" s="24">
        <f t="shared" si="1"/>
        <v>1</v>
      </c>
      <c r="D104" s="22" t="s">
        <v>19</v>
      </c>
      <c r="E104" s="22" t="s">
        <v>20</v>
      </c>
      <c r="F104" s="22" t="s">
        <v>60</v>
      </c>
      <c r="G104" s="22" t="s">
        <v>61</v>
      </c>
      <c r="H104" s="22" t="s">
        <v>101</v>
      </c>
      <c r="I104" s="22" t="s">
        <v>45</v>
      </c>
      <c r="J104" s="22" t="s">
        <v>25</v>
      </c>
      <c r="K104" s="22" t="s">
        <v>53</v>
      </c>
      <c r="L104" s="22">
        <v>1</v>
      </c>
      <c r="M104" s="22">
        <v>25500</v>
      </c>
      <c r="N104" s="22">
        <v>0.1</v>
      </c>
      <c r="O104" s="22">
        <v>22950</v>
      </c>
      <c r="P104" s="22">
        <v>15405.21</v>
      </c>
      <c r="Q104" s="22">
        <v>7544.79</v>
      </c>
      <c r="R104" s="22" t="s">
        <v>35</v>
      </c>
    </row>
    <row r="105" hidden="1" spans="1:18">
      <c r="A105" s="22" t="s">
        <v>230</v>
      </c>
      <c r="B105" s="23">
        <v>43820</v>
      </c>
      <c r="C105" s="24">
        <f t="shared" si="1"/>
        <v>12</v>
      </c>
      <c r="D105" s="22" t="s">
        <v>133</v>
      </c>
      <c r="E105" s="22" t="s">
        <v>213</v>
      </c>
      <c r="F105" s="22" t="s">
        <v>96</v>
      </c>
      <c r="G105" s="22" t="s">
        <v>113</v>
      </c>
      <c r="H105" s="22" t="s">
        <v>114</v>
      </c>
      <c r="I105" s="22" t="s">
        <v>51</v>
      </c>
      <c r="J105" s="22" t="s">
        <v>73</v>
      </c>
      <c r="K105" s="22" t="s">
        <v>47</v>
      </c>
      <c r="L105" s="22">
        <v>7</v>
      </c>
      <c r="M105" s="22">
        <v>2700</v>
      </c>
      <c r="N105" s="22">
        <v>0</v>
      </c>
      <c r="O105" s="22">
        <v>18900</v>
      </c>
      <c r="P105" s="22">
        <v>12086.16</v>
      </c>
      <c r="Q105" s="22">
        <v>6813.84</v>
      </c>
      <c r="R105" s="22" t="s">
        <v>77</v>
      </c>
    </row>
    <row r="106" spans="1:18">
      <c r="A106" s="22" t="s">
        <v>231</v>
      </c>
      <c r="B106" s="23">
        <v>43789</v>
      </c>
      <c r="C106" s="24">
        <f t="shared" si="1"/>
        <v>11</v>
      </c>
      <c r="D106" s="22" t="s">
        <v>37</v>
      </c>
      <c r="E106" s="22" t="s">
        <v>38</v>
      </c>
      <c r="F106" s="22" t="s">
        <v>60</v>
      </c>
      <c r="G106" s="22" t="s">
        <v>93</v>
      </c>
      <c r="H106" s="22" t="s">
        <v>181</v>
      </c>
      <c r="I106" s="22" t="s">
        <v>51</v>
      </c>
      <c r="J106" s="22" t="s">
        <v>116</v>
      </c>
      <c r="K106" s="22" t="s">
        <v>53</v>
      </c>
      <c r="L106" s="22">
        <v>4</v>
      </c>
      <c r="M106" s="22">
        <v>28200</v>
      </c>
      <c r="N106" s="22">
        <v>0</v>
      </c>
      <c r="O106" s="22">
        <v>112800</v>
      </c>
      <c r="P106" s="22">
        <v>72677.53</v>
      </c>
      <c r="Q106" s="22">
        <v>40122.47</v>
      </c>
      <c r="R106" s="22" t="s">
        <v>35</v>
      </c>
    </row>
    <row r="107" hidden="1" spans="1:18">
      <c r="A107" s="22" t="s">
        <v>232</v>
      </c>
      <c r="B107" s="23">
        <v>43303</v>
      </c>
      <c r="C107" s="24">
        <f t="shared" si="1"/>
        <v>7</v>
      </c>
      <c r="D107" s="22" t="s">
        <v>29</v>
      </c>
      <c r="E107" s="22" t="s">
        <v>30</v>
      </c>
      <c r="F107" s="22" t="s">
        <v>96</v>
      </c>
      <c r="G107" s="22" t="s">
        <v>97</v>
      </c>
      <c r="H107" s="22" t="s">
        <v>147</v>
      </c>
      <c r="I107" s="22" t="s">
        <v>45</v>
      </c>
      <c r="J107" s="22" t="s">
        <v>52</v>
      </c>
      <c r="K107" s="22" t="s">
        <v>47</v>
      </c>
      <c r="L107" s="22">
        <v>5</v>
      </c>
      <c r="M107" s="22">
        <v>11900</v>
      </c>
      <c r="N107" s="22">
        <v>0.05</v>
      </c>
      <c r="O107" s="22">
        <v>56525</v>
      </c>
      <c r="P107" s="22">
        <v>39824.79</v>
      </c>
      <c r="Q107" s="22">
        <v>16700.21</v>
      </c>
      <c r="R107" s="22" t="s">
        <v>27</v>
      </c>
    </row>
    <row r="108" spans="1:18">
      <c r="A108" s="22" t="s">
        <v>233</v>
      </c>
      <c r="B108" s="23">
        <v>43676</v>
      </c>
      <c r="C108" s="24">
        <f t="shared" si="1"/>
        <v>7</v>
      </c>
      <c r="D108" s="22" t="s">
        <v>42</v>
      </c>
      <c r="E108" s="22" t="s">
        <v>38</v>
      </c>
      <c r="F108" s="22" t="s">
        <v>21</v>
      </c>
      <c r="G108" s="22" t="s">
        <v>167</v>
      </c>
      <c r="H108" s="22" t="s">
        <v>168</v>
      </c>
      <c r="I108" s="22" t="s">
        <v>24</v>
      </c>
      <c r="J108" s="22" t="s">
        <v>124</v>
      </c>
      <c r="K108" s="22" t="s">
        <v>47</v>
      </c>
      <c r="L108" s="22">
        <v>2</v>
      </c>
      <c r="M108" s="22">
        <v>40900</v>
      </c>
      <c r="N108" s="22">
        <v>0.2</v>
      </c>
      <c r="O108" s="22">
        <v>65440</v>
      </c>
      <c r="P108" s="22">
        <v>43908.13</v>
      </c>
      <c r="Q108" s="22">
        <v>21531.87</v>
      </c>
      <c r="R108" s="22" t="s">
        <v>48</v>
      </c>
    </row>
    <row r="109" spans="1:18">
      <c r="A109" s="22" t="s">
        <v>234</v>
      </c>
      <c r="B109" s="23">
        <v>43325</v>
      </c>
      <c r="C109" s="24">
        <f t="shared" si="1"/>
        <v>8</v>
      </c>
      <c r="D109" s="22" t="s">
        <v>121</v>
      </c>
      <c r="E109" s="22" t="s">
        <v>38</v>
      </c>
      <c r="F109" s="22" t="s">
        <v>60</v>
      </c>
      <c r="G109" s="22" t="s">
        <v>141</v>
      </c>
      <c r="H109" s="22" t="s">
        <v>142</v>
      </c>
      <c r="I109" s="22" t="s">
        <v>51</v>
      </c>
      <c r="J109" s="22" t="s">
        <v>25</v>
      </c>
      <c r="K109" s="22" t="s">
        <v>47</v>
      </c>
      <c r="L109" s="22">
        <v>1</v>
      </c>
      <c r="M109" s="22">
        <v>93300</v>
      </c>
      <c r="N109" s="22">
        <v>0.15</v>
      </c>
      <c r="O109" s="22">
        <v>79305</v>
      </c>
      <c r="P109" s="22">
        <v>63140.21</v>
      </c>
      <c r="Q109" s="22">
        <v>16164.79</v>
      </c>
      <c r="R109" s="22" t="s">
        <v>58</v>
      </c>
    </row>
    <row r="110" hidden="1" spans="1:18">
      <c r="A110" s="22" t="s">
        <v>235</v>
      </c>
      <c r="B110" s="23">
        <v>45756</v>
      </c>
      <c r="C110" s="24">
        <f t="shared" si="1"/>
        <v>4</v>
      </c>
      <c r="D110" s="22" t="s">
        <v>69</v>
      </c>
      <c r="E110" s="22" t="s">
        <v>30</v>
      </c>
      <c r="F110" s="22" t="s">
        <v>60</v>
      </c>
      <c r="G110" s="22" t="s">
        <v>61</v>
      </c>
      <c r="H110" s="22" t="s">
        <v>62</v>
      </c>
      <c r="I110" s="22" t="s">
        <v>45</v>
      </c>
      <c r="J110" s="22" t="s">
        <v>25</v>
      </c>
      <c r="K110" s="22" t="s">
        <v>53</v>
      </c>
      <c r="L110" s="22">
        <v>10</v>
      </c>
      <c r="M110" s="22">
        <v>1800</v>
      </c>
      <c r="N110" s="22">
        <v>0.05</v>
      </c>
      <c r="O110" s="22">
        <v>17100</v>
      </c>
      <c r="P110" s="22">
        <v>14350.22</v>
      </c>
      <c r="Q110" s="22">
        <v>2749.78</v>
      </c>
      <c r="R110" s="22" t="s">
        <v>27</v>
      </c>
    </row>
    <row r="111" hidden="1" spans="1:18">
      <c r="A111" s="22" t="s">
        <v>236</v>
      </c>
      <c r="B111" s="23">
        <v>44350</v>
      </c>
      <c r="C111" s="24">
        <f t="shared" si="1"/>
        <v>6</v>
      </c>
      <c r="D111" s="22" t="s">
        <v>75</v>
      </c>
      <c r="E111" s="22" t="s">
        <v>30</v>
      </c>
      <c r="F111" s="22" t="s">
        <v>60</v>
      </c>
      <c r="G111" s="22" t="s">
        <v>61</v>
      </c>
      <c r="H111" s="22" t="s">
        <v>101</v>
      </c>
      <c r="I111" s="22" t="s">
        <v>24</v>
      </c>
      <c r="J111" s="22" t="s">
        <v>40</v>
      </c>
      <c r="K111" s="22" t="s">
        <v>26</v>
      </c>
      <c r="L111" s="22">
        <v>5</v>
      </c>
      <c r="M111" s="22">
        <v>2000</v>
      </c>
      <c r="N111" s="22">
        <v>0.15</v>
      </c>
      <c r="O111" s="22">
        <v>8500</v>
      </c>
      <c r="P111" s="22">
        <v>5766.67</v>
      </c>
      <c r="Q111" s="22">
        <v>2733.33</v>
      </c>
      <c r="R111" s="22" t="s">
        <v>58</v>
      </c>
    </row>
    <row r="112" hidden="1" spans="1:18">
      <c r="A112" s="22" t="s">
        <v>237</v>
      </c>
      <c r="B112" s="23">
        <v>43755</v>
      </c>
      <c r="C112" s="24">
        <f t="shared" si="1"/>
        <v>10</v>
      </c>
      <c r="D112" s="22" t="s">
        <v>19</v>
      </c>
      <c r="E112" s="22" t="s">
        <v>20</v>
      </c>
      <c r="F112" s="22" t="s">
        <v>60</v>
      </c>
      <c r="G112" s="22" t="s">
        <v>93</v>
      </c>
      <c r="H112" s="22" t="s">
        <v>101</v>
      </c>
      <c r="I112" s="22" t="s">
        <v>51</v>
      </c>
      <c r="J112" s="22" t="s">
        <v>116</v>
      </c>
      <c r="K112" s="22" t="s">
        <v>26</v>
      </c>
      <c r="L112" s="22">
        <v>5</v>
      </c>
      <c r="M112" s="22">
        <v>22200</v>
      </c>
      <c r="N112" s="22">
        <v>0</v>
      </c>
      <c r="O112" s="22">
        <v>111000</v>
      </c>
      <c r="P112" s="22">
        <v>74989.69</v>
      </c>
      <c r="Q112" s="22">
        <v>36010.31</v>
      </c>
      <c r="R112" s="22" t="s">
        <v>27</v>
      </c>
    </row>
    <row r="113" hidden="1" spans="1:18">
      <c r="A113" s="22" t="s">
        <v>238</v>
      </c>
      <c r="B113" s="23">
        <v>44094</v>
      </c>
      <c r="C113" s="24">
        <f t="shared" si="1"/>
        <v>9</v>
      </c>
      <c r="D113" s="22" t="s">
        <v>85</v>
      </c>
      <c r="E113" s="22" t="s">
        <v>30</v>
      </c>
      <c r="F113" s="22" t="s">
        <v>96</v>
      </c>
      <c r="G113" s="22" t="s">
        <v>113</v>
      </c>
      <c r="H113" s="22" t="s">
        <v>126</v>
      </c>
      <c r="I113" s="22" t="s">
        <v>51</v>
      </c>
      <c r="J113" s="22" t="s">
        <v>63</v>
      </c>
      <c r="K113" s="22" t="s">
        <v>53</v>
      </c>
      <c r="L113" s="22">
        <v>5</v>
      </c>
      <c r="M113" s="22">
        <v>5000</v>
      </c>
      <c r="N113" s="22">
        <v>0</v>
      </c>
      <c r="O113" s="22">
        <v>25000</v>
      </c>
      <c r="P113" s="22">
        <v>20355.98</v>
      </c>
      <c r="Q113" s="22">
        <v>4644.02</v>
      </c>
      <c r="R113" s="22" t="s">
        <v>48</v>
      </c>
    </row>
    <row r="114" hidden="1" spans="1:18">
      <c r="A114" s="22" t="s">
        <v>239</v>
      </c>
      <c r="B114" s="23">
        <v>45713</v>
      </c>
      <c r="C114" s="24">
        <f t="shared" si="1"/>
        <v>2</v>
      </c>
      <c r="D114" s="22" t="s">
        <v>103</v>
      </c>
      <c r="E114" s="22" t="s">
        <v>30</v>
      </c>
      <c r="F114" s="22" t="s">
        <v>21</v>
      </c>
      <c r="G114" s="22" t="s">
        <v>122</v>
      </c>
      <c r="H114" s="22" t="s">
        <v>156</v>
      </c>
      <c r="I114" s="22" t="s">
        <v>24</v>
      </c>
      <c r="J114" s="22" t="s">
        <v>34</v>
      </c>
      <c r="K114" s="22" t="s">
        <v>26</v>
      </c>
      <c r="L114" s="22">
        <v>1</v>
      </c>
      <c r="M114" s="22">
        <v>2700</v>
      </c>
      <c r="N114" s="22">
        <v>0.15</v>
      </c>
      <c r="O114" s="22">
        <v>2295</v>
      </c>
      <c r="P114" s="22">
        <v>1755.35</v>
      </c>
      <c r="Q114" s="22">
        <v>539.65</v>
      </c>
      <c r="R114" s="22" t="s">
        <v>58</v>
      </c>
    </row>
    <row r="115" hidden="1" spans="1:18">
      <c r="A115" s="22" t="s">
        <v>240</v>
      </c>
      <c r="B115" s="23">
        <v>43141</v>
      </c>
      <c r="C115" s="24">
        <f t="shared" si="1"/>
        <v>2</v>
      </c>
      <c r="D115" s="22" t="s">
        <v>19</v>
      </c>
      <c r="E115" s="22" t="s">
        <v>20</v>
      </c>
      <c r="F115" s="22" t="s">
        <v>60</v>
      </c>
      <c r="G115" s="22" t="s">
        <v>61</v>
      </c>
      <c r="H115" s="22" t="s">
        <v>101</v>
      </c>
      <c r="I115" s="22" t="s">
        <v>45</v>
      </c>
      <c r="J115" s="22" t="s">
        <v>52</v>
      </c>
      <c r="K115" s="22" t="s">
        <v>47</v>
      </c>
      <c r="L115" s="22">
        <v>4</v>
      </c>
      <c r="M115" s="22">
        <v>19600</v>
      </c>
      <c r="N115" s="22">
        <v>0.15</v>
      </c>
      <c r="O115" s="22">
        <v>66640</v>
      </c>
      <c r="P115" s="22">
        <v>43642.08</v>
      </c>
      <c r="Q115" s="22">
        <v>22997.92</v>
      </c>
      <c r="R115" s="22" t="s">
        <v>48</v>
      </c>
    </row>
    <row r="116" hidden="1" spans="1:18">
      <c r="A116" s="22" t="s">
        <v>241</v>
      </c>
      <c r="B116" s="23">
        <v>45688</v>
      </c>
      <c r="C116" s="24">
        <f t="shared" si="1"/>
        <v>1</v>
      </c>
      <c r="D116" s="22" t="s">
        <v>19</v>
      </c>
      <c r="E116" s="22" t="s">
        <v>20</v>
      </c>
      <c r="F116" s="22" t="s">
        <v>31</v>
      </c>
      <c r="G116" s="22" t="s">
        <v>32</v>
      </c>
      <c r="H116" s="22" t="s">
        <v>226</v>
      </c>
      <c r="I116" s="22" t="s">
        <v>51</v>
      </c>
      <c r="J116" s="22" t="s">
        <v>46</v>
      </c>
      <c r="K116" s="22" t="s">
        <v>26</v>
      </c>
      <c r="L116" s="22">
        <v>5</v>
      </c>
      <c r="M116" s="22">
        <v>22400</v>
      </c>
      <c r="N116" s="22">
        <v>0</v>
      </c>
      <c r="O116" s="22">
        <v>112000</v>
      </c>
      <c r="P116" s="22">
        <v>89594.71</v>
      </c>
      <c r="Q116" s="22">
        <v>22405.29</v>
      </c>
      <c r="R116" s="22" t="s">
        <v>35</v>
      </c>
    </row>
    <row r="117" spans="1:18">
      <c r="A117" s="22" t="s">
        <v>242</v>
      </c>
      <c r="B117" s="23">
        <v>43751</v>
      </c>
      <c r="C117" s="24">
        <f t="shared" si="1"/>
        <v>10</v>
      </c>
      <c r="D117" s="22" t="s">
        <v>121</v>
      </c>
      <c r="E117" s="22" t="s">
        <v>38</v>
      </c>
      <c r="F117" s="22" t="s">
        <v>21</v>
      </c>
      <c r="G117" s="22" t="s">
        <v>122</v>
      </c>
      <c r="H117" s="22" t="s">
        <v>156</v>
      </c>
      <c r="I117" s="22" t="s">
        <v>24</v>
      </c>
      <c r="J117" s="22" t="s">
        <v>63</v>
      </c>
      <c r="K117" s="22" t="s">
        <v>53</v>
      </c>
      <c r="L117" s="22">
        <v>1</v>
      </c>
      <c r="M117" s="22">
        <v>59600</v>
      </c>
      <c r="N117" s="22">
        <v>0.05</v>
      </c>
      <c r="O117" s="22">
        <v>56620</v>
      </c>
      <c r="P117" s="22">
        <v>35217.41</v>
      </c>
      <c r="Q117" s="22">
        <v>21402.59</v>
      </c>
      <c r="R117" s="22" t="s">
        <v>48</v>
      </c>
    </row>
    <row r="118" spans="1:18">
      <c r="A118" s="22" t="s">
        <v>243</v>
      </c>
      <c r="B118" s="23">
        <v>45731</v>
      </c>
      <c r="C118" s="24">
        <f t="shared" si="1"/>
        <v>3</v>
      </c>
      <c r="D118" s="22" t="s">
        <v>103</v>
      </c>
      <c r="E118" s="22" t="s">
        <v>38</v>
      </c>
      <c r="F118" s="22" t="s">
        <v>31</v>
      </c>
      <c r="G118" s="22" t="s">
        <v>66</v>
      </c>
      <c r="H118" s="22" t="s">
        <v>244</v>
      </c>
      <c r="I118" s="22" t="s">
        <v>51</v>
      </c>
      <c r="J118" s="22" t="s">
        <v>99</v>
      </c>
      <c r="K118" s="22" t="s">
        <v>26</v>
      </c>
      <c r="L118" s="22">
        <v>5</v>
      </c>
      <c r="M118" s="22">
        <v>11700</v>
      </c>
      <c r="N118" s="22">
        <v>0.2</v>
      </c>
      <c r="O118" s="22">
        <v>46800</v>
      </c>
      <c r="P118" s="22">
        <v>36098.47</v>
      </c>
      <c r="Q118" s="22">
        <v>10701.53</v>
      </c>
      <c r="R118" s="22" t="s">
        <v>58</v>
      </c>
    </row>
    <row r="119" spans="1:18">
      <c r="A119" s="22" t="s">
        <v>245</v>
      </c>
      <c r="B119" s="23">
        <v>44938</v>
      </c>
      <c r="C119" s="24">
        <f t="shared" si="1"/>
        <v>1</v>
      </c>
      <c r="D119" s="22" t="s">
        <v>121</v>
      </c>
      <c r="E119" s="22" t="s">
        <v>38</v>
      </c>
      <c r="F119" s="22" t="s">
        <v>31</v>
      </c>
      <c r="G119" s="22" t="s">
        <v>43</v>
      </c>
      <c r="H119" s="22" t="s">
        <v>44</v>
      </c>
      <c r="I119" s="22" t="s">
        <v>45</v>
      </c>
      <c r="J119" s="22" t="s">
        <v>46</v>
      </c>
      <c r="K119" s="22" t="s">
        <v>26</v>
      </c>
      <c r="L119" s="22">
        <v>6</v>
      </c>
      <c r="M119" s="22">
        <v>79800</v>
      </c>
      <c r="N119" s="22">
        <v>0</v>
      </c>
      <c r="O119" s="22">
        <v>478800</v>
      </c>
      <c r="P119" s="22">
        <v>388660.2</v>
      </c>
      <c r="Q119" s="22">
        <v>90139.8</v>
      </c>
      <c r="R119" s="22" t="s">
        <v>48</v>
      </c>
    </row>
    <row r="120" spans="1:18">
      <c r="A120" s="22" t="s">
        <v>246</v>
      </c>
      <c r="B120" s="23">
        <v>45298</v>
      </c>
      <c r="C120" s="24">
        <f t="shared" si="1"/>
        <v>1</v>
      </c>
      <c r="D120" s="22" t="s">
        <v>121</v>
      </c>
      <c r="E120" s="22" t="s">
        <v>38</v>
      </c>
      <c r="F120" s="22" t="s">
        <v>60</v>
      </c>
      <c r="G120" s="22" t="s">
        <v>141</v>
      </c>
      <c r="H120" s="22" t="s">
        <v>200</v>
      </c>
      <c r="I120" s="22" t="s">
        <v>51</v>
      </c>
      <c r="J120" s="22" t="s">
        <v>99</v>
      </c>
      <c r="K120" s="22" t="s">
        <v>47</v>
      </c>
      <c r="L120" s="22">
        <v>3</v>
      </c>
      <c r="M120" s="22">
        <v>65100</v>
      </c>
      <c r="N120" s="22">
        <v>0</v>
      </c>
      <c r="O120" s="22">
        <v>195300</v>
      </c>
      <c r="P120" s="22">
        <v>127914.94</v>
      </c>
      <c r="Q120" s="22">
        <v>67385.06</v>
      </c>
      <c r="R120" s="22" t="s">
        <v>48</v>
      </c>
    </row>
    <row r="121" hidden="1" spans="1:18">
      <c r="A121" s="22" t="s">
        <v>247</v>
      </c>
      <c r="B121" s="23">
        <v>46061</v>
      </c>
      <c r="C121" s="24">
        <f t="shared" si="1"/>
        <v>2</v>
      </c>
      <c r="D121" s="22" t="s">
        <v>85</v>
      </c>
      <c r="E121" s="22" t="s">
        <v>30</v>
      </c>
      <c r="F121" s="22" t="s">
        <v>96</v>
      </c>
      <c r="G121" s="22" t="s">
        <v>97</v>
      </c>
      <c r="H121" s="22" t="s">
        <v>98</v>
      </c>
      <c r="I121" s="22" t="s">
        <v>45</v>
      </c>
      <c r="J121" s="22" t="s">
        <v>34</v>
      </c>
      <c r="K121" s="22" t="s">
        <v>26</v>
      </c>
      <c r="L121" s="22">
        <v>4</v>
      </c>
      <c r="M121" s="22">
        <v>4300</v>
      </c>
      <c r="N121" s="22">
        <v>0.15</v>
      </c>
      <c r="O121" s="22">
        <v>14620</v>
      </c>
      <c r="P121" s="22">
        <v>9804.34</v>
      </c>
      <c r="Q121" s="22">
        <v>4815.66</v>
      </c>
      <c r="R121" s="22" t="s">
        <v>58</v>
      </c>
    </row>
    <row r="122" spans="1:18">
      <c r="A122" s="22" t="s">
        <v>248</v>
      </c>
      <c r="B122" s="23">
        <v>43781</v>
      </c>
      <c r="C122" s="24">
        <f t="shared" si="1"/>
        <v>11</v>
      </c>
      <c r="D122" s="22" t="s">
        <v>121</v>
      </c>
      <c r="E122" s="22" t="s">
        <v>38</v>
      </c>
      <c r="F122" s="22" t="s">
        <v>96</v>
      </c>
      <c r="G122" s="22" t="s">
        <v>97</v>
      </c>
      <c r="H122" s="22" t="s">
        <v>98</v>
      </c>
      <c r="I122" s="22" t="s">
        <v>45</v>
      </c>
      <c r="J122" s="22" t="s">
        <v>34</v>
      </c>
      <c r="K122" s="22" t="s">
        <v>47</v>
      </c>
      <c r="L122" s="22">
        <v>5</v>
      </c>
      <c r="M122" s="22">
        <v>80500</v>
      </c>
      <c r="N122" s="22">
        <v>0.05</v>
      </c>
      <c r="O122" s="22">
        <v>382375</v>
      </c>
      <c r="P122" s="22">
        <v>260140.17</v>
      </c>
      <c r="Q122" s="22">
        <v>122234.83</v>
      </c>
      <c r="R122" s="22" t="s">
        <v>35</v>
      </c>
    </row>
    <row r="123" hidden="1" spans="1:18">
      <c r="A123" s="22" t="s">
        <v>249</v>
      </c>
      <c r="B123" s="23">
        <v>45672</v>
      </c>
      <c r="C123" s="24">
        <f t="shared" si="1"/>
        <v>1</v>
      </c>
      <c r="D123" s="22" t="s">
        <v>69</v>
      </c>
      <c r="E123" s="22" t="s">
        <v>30</v>
      </c>
      <c r="F123" s="22" t="s">
        <v>21</v>
      </c>
      <c r="G123" s="22" t="s">
        <v>22</v>
      </c>
      <c r="H123" s="22" t="s">
        <v>23</v>
      </c>
      <c r="I123" s="22" t="s">
        <v>45</v>
      </c>
      <c r="J123" s="22" t="s">
        <v>116</v>
      </c>
      <c r="K123" s="22" t="s">
        <v>53</v>
      </c>
      <c r="L123" s="22">
        <v>9</v>
      </c>
      <c r="M123" s="22">
        <v>8900</v>
      </c>
      <c r="N123" s="22">
        <v>0.1</v>
      </c>
      <c r="O123" s="22">
        <v>72090</v>
      </c>
      <c r="P123" s="22">
        <v>52174.21</v>
      </c>
      <c r="Q123" s="22">
        <v>19915.79</v>
      </c>
      <c r="R123" s="22" t="s">
        <v>58</v>
      </c>
    </row>
    <row r="124" spans="1:18">
      <c r="A124" s="22" t="s">
        <v>250</v>
      </c>
      <c r="B124" s="23">
        <v>43999</v>
      </c>
      <c r="C124" s="24">
        <f t="shared" si="1"/>
        <v>6</v>
      </c>
      <c r="D124" s="22" t="s">
        <v>121</v>
      </c>
      <c r="E124" s="22" t="s">
        <v>38</v>
      </c>
      <c r="F124" s="22" t="s">
        <v>21</v>
      </c>
      <c r="G124" s="22" t="s">
        <v>167</v>
      </c>
      <c r="H124" s="22" t="s">
        <v>206</v>
      </c>
      <c r="I124" s="22" t="s">
        <v>51</v>
      </c>
      <c r="J124" s="22" t="s">
        <v>25</v>
      </c>
      <c r="K124" s="22" t="s">
        <v>53</v>
      </c>
      <c r="L124" s="22">
        <v>4</v>
      </c>
      <c r="M124" s="22">
        <v>55700</v>
      </c>
      <c r="N124" s="22">
        <v>0.15</v>
      </c>
      <c r="O124" s="22">
        <v>189380</v>
      </c>
      <c r="P124" s="22">
        <v>129671.7</v>
      </c>
      <c r="Q124" s="22">
        <v>59708.3</v>
      </c>
      <c r="R124" s="22" t="s">
        <v>58</v>
      </c>
    </row>
    <row r="125" spans="1:18">
      <c r="A125" s="22" t="s">
        <v>251</v>
      </c>
      <c r="B125" s="23">
        <v>43744</v>
      </c>
      <c r="C125" s="24">
        <f t="shared" si="1"/>
        <v>10</v>
      </c>
      <c r="D125" s="22" t="s">
        <v>79</v>
      </c>
      <c r="E125" s="22" t="s">
        <v>38</v>
      </c>
      <c r="F125" s="22" t="s">
        <v>60</v>
      </c>
      <c r="G125" s="22" t="s">
        <v>141</v>
      </c>
      <c r="H125" s="22" t="s">
        <v>142</v>
      </c>
      <c r="I125" s="22" t="s">
        <v>24</v>
      </c>
      <c r="J125" s="22" t="s">
        <v>73</v>
      </c>
      <c r="K125" s="22" t="s">
        <v>53</v>
      </c>
      <c r="L125" s="22">
        <v>6</v>
      </c>
      <c r="M125" s="22">
        <v>28500</v>
      </c>
      <c r="N125" s="22">
        <v>0</v>
      </c>
      <c r="O125" s="22">
        <v>171000</v>
      </c>
      <c r="P125" s="22">
        <v>130530.16</v>
      </c>
      <c r="Q125" s="22">
        <v>40469.84</v>
      </c>
      <c r="R125" s="22" t="s">
        <v>48</v>
      </c>
    </row>
    <row r="126" spans="1:18">
      <c r="A126" s="22" t="s">
        <v>252</v>
      </c>
      <c r="B126" s="23">
        <v>45721</v>
      </c>
      <c r="C126" s="24">
        <f t="shared" si="1"/>
        <v>3</v>
      </c>
      <c r="D126" s="22" t="s">
        <v>103</v>
      </c>
      <c r="E126" s="22" t="s">
        <v>38</v>
      </c>
      <c r="F126" s="22" t="s">
        <v>96</v>
      </c>
      <c r="G126" s="22" t="s">
        <v>113</v>
      </c>
      <c r="H126" s="22" t="s">
        <v>119</v>
      </c>
      <c r="I126" s="22" t="s">
        <v>24</v>
      </c>
      <c r="J126" s="22" t="s">
        <v>40</v>
      </c>
      <c r="K126" s="22" t="s">
        <v>47</v>
      </c>
      <c r="L126" s="22">
        <v>2</v>
      </c>
      <c r="M126" s="22">
        <v>21500</v>
      </c>
      <c r="N126" s="22">
        <v>0.1</v>
      </c>
      <c r="O126" s="22">
        <v>38700</v>
      </c>
      <c r="P126" s="22">
        <v>26477.22</v>
      </c>
      <c r="Q126" s="22">
        <v>12222.78</v>
      </c>
      <c r="R126" s="22" t="s">
        <v>77</v>
      </c>
    </row>
    <row r="127" hidden="1" spans="1:18">
      <c r="A127" s="22" t="s">
        <v>253</v>
      </c>
      <c r="B127" s="23">
        <v>44305</v>
      </c>
      <c r="C127" s="24">
        <f t="shared" si="1"/>
        <v>4</v>
      </c>
      <c r="D127" s="22" t="s">
        <v>133</v>
      </c>
      <c r="E127" s="22" t="s">
        <v>213</v>
      </c>
      <c r="F127" s="22" t="s">
        <v>21</v>
      </c>
      <c r="G127" s="22" t="s">
        <v>167</v>
      </c>
      <c r="H127" s="22" t="s">
        <v>254</v>
      </c>
      <c r="I127" s="22" t="s">
        <v>45</v>
      </c>
      <c r="J127" s="22" t="s">
        <v>124</v>
      </c>
      <c r="K127" s="22" t="s">
        <v>53</v>
      </c>
      <c r="L127" s="22">
        <v>8</v>
      </c>
      <c r="M127" s="22">
        <v>5800</v>
      </c>
      <c r="N127" s="22">
        <v>0</v>
      </c>
      <c r="O127" s="22">
        <v>46400</v>
      </c>
      <c r="P127" s="22">
        <v>34595.79</v>
      </c>
      <c r="Q127" s="22">
        <v>11804.21</v>
      </c>
      <c r="R127" s="22" t="s">
        <v>77</v>
      </c>
    </row>
    <row r="128" hidden="1" spans="1:18">
      <c r="A128" s="22" t="s">
        <v>255</v>
      </c>
      <c r="B128" s="23">
        <v>44007</v>
      </c>
      <c r="C128" s="24">
        <f t="shared" si="1"/>
        <v>6</v>
      </c>
      <c r="D128" s="22" t="s">
        <v>90</v>
      </c>
      <c r="E128" s="22" t="s">
        <v>256</v>
      </c>
      <c r="F128" s="22" t="s">
        <v>31</v>
      </c>
      <c r="G128" s="22" t="s">
        <v>32</v>
      </c>
      <c r="H128" s="22" t="s">
        <v>33</v>
      </c>
      <c r="I128" s="22" t="s">
        <v>24</v>
      </c>
      <c r="J128" s="22" t="s">
        <v>99</v>
      </c>
      <c r="K128" s="22" t="s">
        <v>53</v>
      </c>
      <c r="L128" s="22">
        <v>2</v>
      </c>
      <c r="M128" s="22">
        <v>29600</v>
      </c>
      <c r="N128" s="22">
        <v>0.15</v>
      </c>
      <c r="O128" s="22">
        <v>50320</v>
      </c>
      <c r="P128" s="22">
        <v>32111.8</v>
      </c>
      <c r="Q128" s="22">
        <v>18208.2</v>
      </c>
      <c r="R128" s="22" t="s">
        <v>35</v>
      </c>
    </row>
    <row r="129" hidden="1" spans="1:18">
      <c r="A129" s="22" t="s">
        <v>257</v>
      </c>
      <c r="B129" s="23">
        <v>44068</v>
      </c>
      <c r="C129" s="24">
        <f t="shared" si="1"/>
        <v>8</v>
      </c>
      <c r="D129" s="22" t="s">
        <v>85</v>
      </c>
      <c r="E129" s="22" t="s">
        <v>30</v>
      </c>
      <c r="F129" s="22" t="s">
        <v>31</v>
      </c>
      <c r="G129" s="22" t="s">
        <v>43</v>
      </c>
      <c r="H129" s="22" t="s">
        <v>258</v>
      </c>
      <c r="I129" s="22" t="s">
        <v>24</v>
      </c>
      <c r="J129" s="22" t="s">
        <v>63</v>
      </c>
      <c r="K129" s="22" t="s">
        <v>26</v>
      </c>
      <c r="L129" s="22">
        <v>2</v>
      </c>
      <c r="M129" s="22">
        <v>1000</v>
      </c>
      <c r="N129" s="22">
        <v>0.1</v>
      </c>
      <c r="O129" s="22">
        <v>1800</v>
      </c>
      <c r="P129" s="22">
        <v>1492.81</v>
      </c>
      <c r="Q129" s="22">
        <v>307.19</v>
      </c>
      <c r="R129" s="22" t="s">
        <v>58</v>
      </c>
    </row>
    <row r="130" hidden="1" spans="1:18">
      <c r="A130" s="22" t="s">
        <v>259</v>
      </c>
      <c r="B130" s="23">
        <v>43121</v>
      </c>
      <c r="C130" s="24">
        <f t="shared" ref="C130:C193" si="2">MONTH(B130)</f>
        <v>1</v>
      </c>
      <c r="D130" s="22" t="s">
        <v>65</v>
      </c>
      <c r="E130" s="22" t="s">
        <v>30</v>
      </c>
      <c r="F130" s="22" t="s">
        <v>60</v>
      </c>
      <c r="G130" s="22" t="s">
        <v>141</v>
      </c>
      <c r="H130" s="22" t="s">
        <v>183</v>
      </c>
      <c r="I130" s="22" t="s">
        <v>51</v>
      </c>
      <c r="J130" s="22" t="s">
        <v>52</v>
      </c>
      <c r="K130" s="22" t="s">
        <v>53</v>
      </c>
      <c r="L130" s="22">
        <v>4</v>
      </c>
      <c r="M130" s="22">
        <v>1300</v>
      </c>
      <c r="N130" s="22">
        <v>0.15</v>
      </c>
      <c r="O130" s="22">
        <v>4420</v>
      </c>
      <c r="P130" s="22">
        <v>2818.3</v>
      </c>
      <c r="Q130" s="22">
        <v>1601.7</v>
      </c>
      <c r="R130" s="22" t="s">
        <v>35</v>
      </c>
    </row>
    <row r="131" hidden="1" spans="1:18">
      <c r="A131" s="22" t="s">
        <v>260</v>
      </c>
      <c r="B131" s="23">
        <v>45660</v>
      </c>
      <c r="C131" s="24">
        <f t="shared" si="2"/>
        <v>1</v>
      </c>
      <c r="D131" s="22" t="s">
        <v>121</v>
      </c>
      <c r="E131" s="22" t="s">
        <v>256</v>
      </c>
      <c r="F131" s="22" t="s">
        <v>55</v>
      </c>
      <c r="G131" s="22" t="s">
        <v>80</v>
      </c>
      <c r="H131" s="22" t="s">
        <v>81</v>
      </c>
      <c r="I131" s="22" t="s">
        <v>24</v>
      </c>
      <c r="J131" s="22" t="s">
        <v>25</v>
      </c>
      <c r="K131" s="22" t="s">
        <v>53</v>
      </c>
      <c r="L131" s="22">
        <v>2</v>
      </c>
      <c r="M131" s="22">
        <v>57400</v>
      </c>
      <c r="N131" s="22">
        <v>0</v>
      </c>
      <c r="O131" s="22">
        <v>114800</v>
      </c>
      <c r="P131" s="22">
        <v>75205.46</v>
      </c>
      <c r="Q131" s="22">
        <v>39594.54</v>
      </c>
      <c r="R131" s="22" t="s">
        <v>48</v>
      </c>
    </row>
    <row r="132" hidden="1" spans="1:18">
      <c r="A132" s="22" t="s">
        <v>261</v>
      </c>
      <c r="B132" s="23">
        <v>45712</v>
      </c>
      <c r="C132" s="24">
        <f t="shared" si="2"/>
        <v>2</v>
      </c>
      <c r="D132" s="22" t="s">
        <v>103</v>
      </c>
      <c r="E132" s="22" t="s">
        <v>30</v>
      </c>
      <c r="F132" s="22" t="s">
        <v>96</v>
      </c>
      <c r="G132" s="22" t="s">
        <v>113</v>
      </c>
      <c r="H132" s="22" t="s">
        <v>126</v>
      </c>
      <c r="I132" s="22" t="s">
        <v>51</v>
      </c>
      <c r="J132" s="22" t="s">
        <v>170</v>
      </c>
      <c r="K132" s="22" t="s">
        <v>26</v>
      </c>
      <c r="L132" s="22">
        <v>7</v>
      </c>
      <c r="M132" s="22">
        <v>2600</v>
      </c>
      <c r="N132" s="22">
        <v>0</v>
      </c>
      <c r="O132" s="22">
        <v>18200</v>
      </c>
      <c r="P132" s="22">
        <v>11931.34</v>
      </c>
      <c r="Q132" s="22">
        <v>6268.66</v>
      </c>
      <c r="R132" s="22" t="s">
        <v>27</v>
      </c>
    </row>
    <row r="133" hidden="1" spans="1:18">
      <c r="A133" s="22" t="s">
        <v>262</v>
      </c>
      <c r="B133" s="23">
        <v>44194</v>
      </c>
      <c r="C133" s="24">
        <f t="shared" si="2"/>
        <v>12</v>
      </c>
      <c r="D133" s="22" t="s">
        <v>85</v>
      </c>
      <c r="E133" s="22" t="s">
        <v>30</v>
      </c>
      <c r="F133" s="22" t="s">
        <v>21</v>
      </c>
      <c r="G133" s="22" t="s">
        <v>70</v>
      </c>
      <c r="H133" s="22" t="s">
        <v>83</v>
      </c>
      <c r="I133" s="22" t="s">
        <v>24</v>
      </c>
      <c r="J133" s="22" t="s">
        <v>25</v>
      </c>
      <c r="K133" s="22" t="s">
        <v>47</v>
      </c>
      <c r="L133" s="22">
        <v>3</v>
      </c>
      <c r="M133" s="22">
        <v>3700</v>
      </c>
      <c r="N133" s="22">
        <v>0</v>
      </c>
      <c r="O133" s="22">
        <v>11100</v>
      </c>
      <c r="P133" s="22">
        <v>6956.85</v>
      </c>
      <c r="Q133" s="22">
        <v>4143.15</v>
      </c>
      <c r="R133" s="22" t="s">
        <v>27</v>
      </c>
    </row>
    <row r="134" hidden="1" spans="1:18">
      <c r="A134" s="22" t="s">
        <v>263</v>
      </c>
      <c r="B134" s="23">
        <v>44042</v>
      </c>
      <c r="C134" s="24">
        <f t="shared" si="2"/>
        <v>7</v>
      </c>
      <c r="D134" s="22" t="s">
        <v>37</v>
      </c>
      <c r="E134" s="22" t="s">
        <v>256</v>
      </c>
      <c r="F134" s="22" t="s">
        <v>55</v>
      </c>
      <c r="G134" s="22" t="s">
        <v>56</v>
      </c>
      <c r="H134" s="22" t="s">
        <v>57</v>
      </c>
      <c r="I134" s="22" t="s">
        <v>24</v>
      </c>
      <c r="J134" s="22" t="s">
        <v>99</v>
      </c>
      <c r="K134" s="22" t="s">
        <v>53</v>
      </c>
      <c r="L134" s="22">
        <v>4</v>
      </c>
      <c r="M134" s="22">
        <v>22100</v>
      </c>
      <c r="N134" s="22">
        <v>0.1</v>
      </c>
      <c r="O134" s="22">
        <v>79560</v>
      </c>
      <c r="P134" s="22">
        <v>58323.77</v>
      </c>
      <c r="Q134" s="22">
        <v>21236.23</v>
      </c>
      <c r="R134" s="22" t="s">
        <v>27</v>
      </c>
    </row>
    <row r="135" hidden="1" spans="1:18">
      <c r="A135" s="22" t="s">
        <v>264</v>
      </c>
      <c r="B135" s="23">
        <v>44199</v>
      </c>
      <c r="C135" s="24">
        <f t="shared" si="2"/>
        <v>1</v>
      </c>
      <c r="D135" s="22" t="s">
        <v>85</v>
      </c>
      <c r="E135" s="22" t="s">
        <v>30</v>
      </c>
      <c r="F135" s="22" t="s">
        <v>31</v>
      </c>
      <c r="G135" s="22" t="s">
        <v>66</v>
      </c>
      <c r="H135" s="22" t="s">
        <v>67</v>
      </c>
      <c r="I135" s="22" t="s">
        <v>51</v>
      </c>
      <c r="J135" s="22" t="s">
        <v>46</v>
      </c>
      <c r="K135" s="22" t="s">
        <v>26</v>
      </c>
      <c r="L135" s="22">
        <v>4</v>
      </c>
      <c r="M135" s="22">
        <v>2600</v>
      </c>
      <c r="N135" s="22">
        <v>0</v>
      </c>
      <c r="O135" s="22">
        <v>10400</v>
      </c>
      <c r="P135" s="22">
        <v>7803.3</v>
      </c>
      <c r="Q135" s="22">
        <v>2596.7</v>
      </c>
      <c r="R135" s="22" t="s">
        <v>27</v>
      </c>
    </row>
    <row r="136" hidden="1" spans="1:18">
      <c r="A136" s="22" t="s">
        <v>265</v>
      </c>
      <c r="B136" s="23">
        <v>45675</v>
      </c>
      <c r="C136" s="24">
        <f t="shared" si="2"/>
        <v>1</v>
      </c>
      <c r="D136" s="22" t="s">
        <v>69</v>
      </c>
      <c r="E136" s="22" t="s">
        <v>30</v>
      </c>
      <c r="F136" s="22" t="s">
        <v>60</v>
      </c>
      <c r="G136" s="22" t="s">
        <v>93</v>
      </c>
      <c r="H136" s="22" t="s">
        <v>94</v>
      </c>
      <c r="I136" s="22" t="s">
        <v>51</v>
      </c>
      <c r="J136" s="22" t="s">
        <v>170</v>
      </c>
      <c r="K136" s="22" t="s">
        <v>26</v>
      </c>
      <c r="L136" s="22">
        <v>8</v>
      </c>
      <c r="M136" s="22">
        <v>1500</v>
      </c>
      <c r="N136" s="22">
        <v>0.1</v>
      </c>
      <c r="O136" s="22">
        <v>10800</v>
      </c>
      <c r="P136" s="22">
        <v>8198.92</v>
      </c>
      <c r="Q136" s="22">
        <v>2601.08</v>
      </c>
      <c r="R136" s="22" t="s">
        <v>27</v>
      </c>
    </row>
    <row r="137" hidden="1" spans="1:18">
      <c r="A137" s="22" t="s">
        <v>266</v>
      </c>
      <c r="B137" s="23">
        <v>43305</v>
      </c>
      <c r="C137" s="24">
        <f t="shared" si="2"/>
        <v>7</v>
      </c>
      <c r="D137" s="22" t="s">
        <v>121</v>
      </c>
      <c r="E137" s="22" t="s">
        <v>256</v>
      </c>
      <c r="F137" s="22" t="s">
        <v>60</v>
      </c>
      <c r="G137" s="22" t="s">
        <v>141</v>
      </c>
      <c r="H137" s="22" t="s">
        <v>183</v>
      </c>
      <c r="I137" s="22" t="s">
        <v>24</v>
      </c>
      <c r="J137" s="22" t="s">
        <v>34</v>
      </c>
      <c r="K137" s="22" t="s">
        <v>47</v>
      </c>
      <c r="L137" s="22">
        <v>8</v>
      </c>
      <c r="M137" s="22">
        <v>78200</v>
      </c>
      <c r="N137" s="22">
        <v>0.1</v>
      </c>
      <c r="O137" s="22">
        <v>563040</v>
      </c>
      <c r="P137" s="22">
        <v>360884.73</v>
      </c>
      <c r="Q137" s="22">
        <v>202155.27</v>
      </c>
      <c r="R137" s="22" t="s">
        <v>58</v>
      </c>
    </row>
    <row r="138" hidden="1" spans="1:18">
      <c r="A138" s="22" t="s">
        <v>267</v>
      </c>
      <c r="B138" s="23">
        <v>45685</v>
      </c>
      <c r="C138" s="24">
        <f t="shared" si="2"/>
        <v>1</v>
      </c>
      <c r="D138" s="22" t="s">
        <v>90</v>
      </c>
      <c r="E138" s="22" t="s">
        <v>256</v>
      </c>
      <c r="F138" s="22" t="s">
        <v>96</v>
      </c>
      <c r="G138" s="22" t="s">
        <v>97</v>
      </c>
      <c r="H138" s="22" t="s">
        <v>98</v>
      </c>
      <c r="I138" s="22" t="s">
        <v>45</v>
      </c>
      <c r="J138" s="22" t="s">
        <v>34</v>
      </c>
      <c r="K138" s="22" t="s">
        <v>53</v>
      </c>
      <c r="L138" s="22">
        <v>1</v>
      </c>
      <c r="M138" s="22">
        <v>37500</v>
      </c>
      <c r="N138" s="22">
        <v>0</v>
      </c>
      <c r="O138" s="22">
        <v>37500</v>
      </c>
      <c r="P138" s="22">
        <v>31251.02</v>
      </c>
      <c r="Q138" s="22">
        <v>6248.98</v>
      </c>
      <c r="R138" s="22" t="s">
        <v>48</v>
      </c>
    </row>
    <row r="139" hidden="1" spans="1:18">
      <c r="A139" s="22" t="s">
        <v>268</v>
      </c>
      <c r="B139" s="23">
        <v>44344</v>
      </c>
      <c r="C139" s="24">
        <f t="shared" si="2"/>
        <v>5</v>
      </c>
      <c r="D139" s="22" t="s">
        <v>75</v>
      </c>
      <c r="E139" s="22" t="s">
        <v>256</v>
      </c>
      <c r="F139" s="22" t="s">
        <v>31</v>
      </c>
      <c r="G139" s="22" t="s">
        <v>172</v>
      </c>
      <c r="H139" s="22" t="s">
        <v>269</v>
      </c>
      <c r="I139" s="22" t="s">
        <v>24</v>
      </c>
      <c r="J139" s="22" t="s">
        <v>40</v>
      </c>
      <c r="K139" s="22" t="s">
        <v>53</v>
      </c>
      <c r="L139" s="22">
        <v>9</v>
      </c>
      <c r="M139" s="22">
        <v>40900</v>
      </c>
      <c r="N139" s="22">
        <v>0</v>
      </c>
      <c r="O139" s="22">
        <v>368100</v>
      </c>
      <c r="P139" s="22">
        <v>278199.64</v>
      </c>
      <c r="Q139" s="22">
        <v>89900.36</v>
      </c>
      <c r="R139" s="22" t="s">
        <v>77</v>
      </c>
    </row>
    <row r="140" hidden="1" spans="1:18">
      <c r="A140" s="22" t="s">
        <v>270</v>
      </c>
      <c r="B140" s="23">
        <v>43178</v>
      </c>
      <c r="C140" s="24">
        <f t="shared" si="2"/>
        <v>3</v>
      </c>
      <c r="D140" s="22" t="s">
        <v>121</v>
      </c>
      <c r="E140" s="22" t="s">
        <v>256</v>
      </c>
      <c r="F140" s="22" t="s">
        <v>96</v>
      </c>
      <c r="G140" s="22" t="s">
        <v>97</v>
      </c>
      <c r="H140" s="22" t="s">
        <v>147</v>
      </c>
      <c r="I140" s="22" t="s">
        <v>45</v>
      </c>
      <c r="J140" s="22" t="s">
        <v>124</v>
      </c>
      <c r="K140" s="22" t="s">
        <v>26</v>
      </c>
      <c r="L140" s="22">
        <v>5</v>
      </c>
      <c r="M140" s="22">
        <v>86300</v>
      </c>
      <c r="N140" s="22">
        <v>0.1</v>
      </c>
      <c r="O140" s="22">
        <v>388350</v>
      </c>
      <c r="P140" s="22">
        <v>278913.4</v>
      </c>
      <c r="Q140" s="22">
        <v>109436.6</v>
      </c>
      <c r="R140" s="22" t="s">
        <v>27</v>
      </c>
    </row>
    <row r="141" hidden="1" spans="1:18">
      <c r="A141" s="22" t="s">
        <v>271</v>
      </c>
      <c r="B141" s="23">
        <v>43339</v>
      </c>
      <c r="C141" s="24">
        <f t="shared" si="2"/>
        <v>8</v>
      </c>
      <c r="D141" s="22" t="s">
        <v>121</v>
      </c>
      <c r="E141" s="22" t="s">
        <v>256</v>
      </c>
      <c r="F141" s="22" t="s">
        <v>96</v>
      </c>
      <c r="G141" s="22" t="s">
        <v>113</v>
      </c>
      <c r="H141" s="22" t="s">
        <v>119</v>
      </c>
      <c r="I141" s="22" t="s">
        <v>24</v>
      </c>
      <c r="J141" s="22" t="s">
        <v>88</v>
      </c>
      <c r="K141" s="22" t="s">
        <v>47</v>
      </c>
      <c r="L141" s="22">
        <v>1</v>
      </c>
      <c r="M141" s="22">
        <v>59900</v>
      </c>
      <c r="N141" s="22">
        <v>0.05</v>
      </c>
      <c r="O141" s="22">
        <v>56905</v>
      </c>
      <c r="P141" s="22">
        <v>46972.37</v>
      </c>
      <c r="Q141" s="22">
        <v>9932.63</v>
      </c>
      <c r="R141" s="22" t="s">
        <v>48</v>
      </c>
    </row>
    <row r="142" hidden="1" spans="1:18">
      <c r="A142" s="22" t="s">
        <v>272</v>
      </c>
      <c r="B142" s="23">
        <v>43698</v>
      </c>
      <c r="C142" s="24">
        <f t="shared" si="2"/>
        <v>8</v>
      </c>
      <c r="D142" s="22" t="s">
        <v>65</v>
      </c>
      <c r="E142" s="22" t="s">
        <v>30</v>
      </c>
      <c r="F142" s="22" t="s">
        <v>55</v>
      </c>
      <c r="G142" s="22" t="s">
        <v>56</v>
      </c>
      <c r="H142" s="22" t="s">
        <v>57</v>
      </c>
      <c r="I142" s="22" t="s">
        <v>24</v>
      </c>
      <c r="J142" s="22" t="s">
        <v>40</v>
      </c>
      <c r="K142" s="22" t="s">
        <v>26</v>
      </c>
      <c r="L142" s="22">
        <v>8</v>
      </c>
      <c r="M142" s="22">
        <v>2200</v>
      </c>
      <c r="N142" s="22">
        <v>0</v>
      </c>
      <c r="O142" s="22">
        <v>17600</v>
      </c>
      <c r="P142" s="22">
        <v>12163.16</v>
      </c>
      <c r="Q142" s="22">
        <v>5436.84</v>
      </c>
      <c r="R142" s="22" t="s">
        <v>48</v>
      </c>
    </row>
    <row r="143" hidden="1" spans="1:18">
      <c r="A143" s="22" t="s">
        <v>273</v>
      </c>
      <c r="B143" s="23">
        <v>44098</v>
      </c>
      <c r="C143" s="24">
        <f t="shared" si="2"/>
        <v>9</v>
      </c>
      <c r="D143" s="22" t="s">
        <v>90</v>
      </c>
      <c r="E143" s="22" t="s">
        <v>256</v>
      </c>
      <c r="F143" s="22" t="s">
        <v>55</v>
      </c>
      <c r="G143" s="22" t="s">
        <v>109</v>
      </c>
      <c r="H143" s="22" t="s">
        <v>178</v>
      </c>
      <c r="I143" s="22" t="s">
        <v>51</v>
      </c>
      <c r="J143" s="22" t="s">
        <v>73</v>
      </c>
      <c r="K143" s="22" t="s">
        <v>47</v>
      </c>
      <c r="L143" s="22">
        <v>4</v>
      </c>
      <c r="M143" s="22">
        <v>35300</v>
      </c>
      <c r="N143" s="22">
        <v>0</v>
      </c>
      <c r="O143" s="22">
        <v>141200</v>
      </c>
      <c r="P143" s="22">
        <v>108463.51</v>
      </c>
      <c r="Q143" s="22">
        <v>32736.49</v>
      </c>
      <c r="R143" s="22" t="s">
        <v>27</v>
      </c>
    </row>
    <row r="144" hidden="1" spans="1:18">
      <c r="A144" s="22" t="s">
        <v>274</v>
      </c>
      <c r="B144" s="23">
        <v>44195</v>
      </c>
      <c r="C144" s="24">
        <f t="shared" si="2"/>
        <v>12</v>
      </c>
      <c r="D144" s="22" t="s">
        <v>79</v>
      </c>
      <c r="E144" s="22" t="s">
        <v>256</v>
      </c>
      <c r="F144" s="22" t="s">
        <v>31</v>
      </c>
      <c r="G144" s="22" t="s">
        <v>172</v>
      </c>
      <c r="H144" s="22" t="s">
        <v>173</v>
      </c>
      <c r="I144" s="22" t="s">
        <v>24</v>
      </c>
      <c r="J144" s="22" t="s">
        <v>52</v>
      </c>
      <c r="K144" s="22" t="s">
        <v>26</v>
      </c>
      <c r="L144" s="22">
        <v>7</v>
      </c>
      <c r="M144" s="22">
        <v>71700</v>
      </c>
      <c r="N144" s="22">
        <v>0.1</v>
      </c>
      <c r="O144" s="22">
        <v>451710</v>
      </c>
      <c r="P144" s="22">
        <v>329467.54</v>
      </c>
      <c r="Q144" s="22">
        <v>122242.46</v>
      </c>
      <c r="R144" s="22" t="s">
        <v>58</v>
      </c>
    </row>
    <row r="145" hidden="1" spans="1:18">
      <c r="A145" s="22" t="s">
        <v>275</v>
      </c>
      <c r="B145" s="23">
        <v>44642</v>
      </c>
      <c r="C145" s="24">
        <f t="shared" si="2"/>
        <v>3</v>
      </c>
      <c r="D145" s="22" t="s">
        <v>79</v>
      </c>
      <c r="E145" s="22" t="s">
        <v>256</v>
      </c>
      <c r="F145" s="22" t="s">
        <v>60</v>
      </c>
      <c r="G145" s="22" t="s">
        <v>141</v>
      </c>
      <c r="H145" s="22" t="s">
        <v>142</v>
      </c>
      <c r="I145" s="22" t="s">
        <v>24</v>
      </c>
      <c r="J145" s="22" t="s">
        <v>40</v>
      </c>
      <c r="K145" s="22" t="s">
        <v>53</v>
      </c>
      <c r="L145" s="22">
        <v>1</v>
      </c>
      <c r="M145" s="22">
        <v>27900</v>
      </c>
      <c r="N145" s="22">
        <v>0.1</v>
      </c>
      <c r="O145" s="22">
        <v>25110</v>
      </c>
      <c r="P145" s="22">
        <v>17743.99</v>
      </c>
      <c r="Q145" s="22">
        <v>7366.01</v>
      </c>
      <c r="R145" s="22" t="s">
        <v>77</v>
      </c>
    </row>
    <row r="146" hidden="1" spans="1:18">
      <c r="A146" s="22" t="s">
        <v>276</v>
      </c>
      <c r="B146" s="23">
        <v>43665</v>
      </c>
      <c r="C146" s="24">
        <f t="shared" si="2"/>
        <v>7</v>
      </c>
      <c r="D146" s="22" t="s">
        <v>121</v>
      </c>
      <c r="E146" s="22" t="s">
        <v>256</v>
      </c>
      <c r="F146" s="22" t="s">
        <v>60</v>
      </c>
      <c r="G146" s="22" t="s">
        <v>61</v>
      </c>
      <c r="H146" s="22" t="s">
        <v>188</v>
      </c>
      <c r="I146" s="22" t="s">
        <v>24</v>
      </c>
      <c r="J146" s="22" t="s">
        <v>34</v>
      </c>
      <c r="K146" s="22" t="s">
        <v>53</v>
      </c>
      <c r="L146" s="22">
        <v>9</v>
      </c>
      <c r="M146" s="22">
        <v>89800</v>
      </c>
      <c r="N146" s="22">
        <v>0.15</v>
      </c>
      <c r="O146" s="22">
        <v>686970</v>
      </c>
      <c r="P146" s="22">
        <v>511616.5</v>
      </c>
      <c r="Q146" s="22">
        <v>175353.5</v>
      </c>
      <c r="R146" s="22" t="s">
        <v>27</v>
      </c>
    </row>
    <row r="147" hidden="1" spans="1:18">
      <c r="A147" s="22" t="s">
        <v>277</v>
      </c>
      <c r="B147" s="23">
        <v>44306</v>
      </c>
      <c r="C147" s="24">
        <f t="shared" si="2"/>
        <v>4</v>
      </c>
      <c r="D147" s="22" t="s">
        <v>90</v>
      </c>
      <c r="E147" s="22" t="s">
        <v>256</v>
      </c>
      <c r="F147" s="22" t="s">
        <v>21</v>
      </c>
      <c r="G147" s="22" t="s">
        <v>167</v>
      </c>
      <c r="H147" s="22" t="s">
        <v>206</v>
      </c>
      <c r="I147" s="22" t="s">
        <v>24</v>
      </c>
      <c r="J147" s="22" t="s">
        <v>116</v>
      </c>
      <c r="K147" s="22" t="s">
        <v>53</v>
      </c>
      <c r="L147" s="22">
        <v>2</v>
      </c>
      <c r="M147" s="22">
        <v>41000</v>
      </c>
      <c r="N147" s="22">
        <v>0.05</v>
      </c>
      <c r="O147" s="22">
        <v>77900</v>
      </c>
      <c r="P147" s="22">
        <v>63189.22</v>
      </c>
      <c r="Q147" s="22">
        <v>14710.78</v>
      </c>
      <c r="R147" s="22" t="s">
        <v>58</v>
      </c>
    </row>
    <row r="148" hidden="1" spans="1:18">
      <c r="A148" s="22" t="s">
        <v>278</v>
      </c>
      <c r="B148" s="23">
        <v>43721</v>
      </c>
      <c r="C148" s="24">
        <f t="shared" si="2"/>
        <v>9</v>
      </c>
      <c r="D148" s="22" t="s">
        <v>90</v>
      </c>
      <c r="E148" s="22" t="s">
        <v>256</v>
      </c>
      <c r="F148" s="22" t="s">
        <v>55</v>
      </c>
      <c r="G148" s="22" t="s">
        <v>80</v>
      </c>
      <c r="H148" s="22" t="s">
        <v>134</v>
      </c>
      <c r="I148" s="22" t="s">
        <v>24</v>
      </c>
      <c r="J148" s="22" t="s">
        <v>63</v>
      </c>
      <c r="K148" s="22" t="s">
        <v>53</v>
      </c>
      <c r="L148" s="22">
        <v>5</v>
      </c>
      <c r="M148" s="22">
        <v>24600</v>
      </c>
      <c r="N148" s="22">
        <v>0.1</v>
      </c>
      <c r="O148" s="22">
        <v>110700</v>
      </c>
      <c r="P148" s="22">
        <v>83160.81</v>
      </c>
      <c r="Q148" s="22">
        <v>27539.19</v>
      </c>
      <c r="R148" s="22" t="s">
        <v>35</v>
      </c>
    </row>
    <row r="149" hidden="1" spans="1:18">
      <c r="A149" s="22" t="s">
        <v>279</v>
      </c>
      <c r="B149" s="23">
        <v>43139</v>
      </c>
      <c r="C149" s="24">
        <f t="shared" si="2"/>
        <v>2</v>
      </c>
      <c r="D149" s="22" t="s">
        <v>65</v>
      </c>
      <c r="E149" s="22" t="s">
        <v>30</v>
      </c>
      <c r="F149" s="22" t="s">
        <v>31</v>
      </c>
      <c r="G149" s="22" t="s">
        <v>43</v>
      </c>
      <c r="H149" s="22" t="s">
        <v>91</v>
      </c>
      <c r="I149" s="22" t="s">
        <v>51</v>
      </c>
      <c r="J149" s="22" t="s">
        <v>46</v>
      </c>
      <c r="K149" s="22" t="s">
        <v>47</v>
      </c>
      <c r="L149" s="22">
        <v>9</v>
      </c>
      <c r="M149" s="22">
        <v>1400</v>
      </c>
      <c r="N149" s="22">
        <v>0.15</v>
      </c>
      <c r="O149" s="22">
        <v>10710</v>
      </c>
      <c r="P149" s="22">
        <v>7863.26</v>
      </c>
      <c r="Q149" s="22">
        <v>2846.74</v>
      </c>
      <c r="R149" s="22" t="s">
        <v>27</v>
      </c>
    </row>
    <row r="150" hidden="1" spans="1:18">
      <c r="A150" s="22" t="s">
        <v>280</v>
      </c>
      <c r="B150" s="23">
        <v>44032</v>
      </c>
      <c r="C150" s="24">
        <f t="shared" si="2"/>
        <v>7</v>
      </c>
      <c r="D150" s="22" t="s">
        <v>79</v>
      </c>
      <c r="E150" s="22" t="s">
        <v>256</v>
      </c>
      <c r="F150" s="22" t="s">
        <v>96</v>
      </c>
      <c r="G150" s="22" t="s">
        <v>113</v>
      </c>
      <c r="H150" s="22" t="s">
        <v>126</v>
      </c>
      <c r="I150" s="22" t="s">
        <v>51</v>
      </c>
      <c r="J150" s="22" t="s">
        <v>46</v>
      </c>
      <c r="K150" s="22" t="s">
        <v>26</v>
      </c>
      <c r="L150" s="22">
        <v>4</v>
      </c>
      <c r="M150" s="22">
        <v>51500</v>
      </c>
      <c r="N150" s="22">
        <v>0.15</v>
      </c>
      <c r="O150" s="22">
        <v>175100</v>
      </c>
      <c r="P150" s="22">
        <v>139879.84</v>
      </c>
      <c r="Q150" s="22">
        <v>35220.16</v>
      </c>
      <c r="R150" s="22" t="s">
        <v>48</v>
      </c>
    </row>
    <row r="151" hidden="1" spans="1:18">
      <c r="A151" s="22" t="s">
        <v>281</v>
      </c>
      <c r="B151" s="23">
        <v>44587</v>
      </c>
      <c r="C151" s="24">
        <f t="shared" si="2"/>
        <v>1</v>
      </c>
      <c r="D151" s="22" t="s">
        <v>69</v>
      </c>
      <c r="E151" s="22" t="s">
        <v>256</v>
      </c>
      <c r="F151" s="22" t="s">
        <v>96</v>
      </c>
      <c r="G151" s="22" t="s">
        <v>113</v>
      </c>
      <c r="H151" s="22" t="s">
        <v>114</v>
      </c>
      <c r="I151" s="22" t="s">
        <v>24</v>
      </c>
      <c r="J151" s="22" t="s">
        <v>124</v>
      </c>
      <c r="K151" s="22" t="s">
        <v>26</v>
      </c>
      <c r="L151" s="22">
        <v>9</v>
      </c>
      <c r="M151" s="22">
        <v>54300</v>
      </c>
      <c r="N151" s="22">
        <v>0.05</v>
      </c>
      <c r="O151" s="22">
        <v>464265</v>
      </c>
      <c r="P151" s="22">
        <v>307981.29</v>
      </c>
      <c r="Q151" s="22">
        <v>156283.71</v>
      </c>
      <c r="R151" s="22" t="s">
        <v>35</v>
      </c>
    </row>
    <row r="152" hidden="1" spans="1:18">
      <c r="A152" s="22" t="s">
        <v>282</v>
      </c>
      <c r="B152" s="23">
        <v>43340</v>
      </c>
      <c r="C152" s="24">
        <f t="shared" si="2"/>
        <v>8</v>
      </c>
      <c r="D152" s="22" t="s">
        <v>85</v>
      </c>
      <c r="E152" s="22" t="s">
        <v>30</v>
      </c>
      <c r="F152" s="22" t="s">
        <v>96</v>
      </c>
      <c r="G152" s="22" t="s">
        <v>113</v>
      </c>
      <c r="H152" s="22" t="s">
        <v>119</v>
      </c>
      <c r="I152" s="22" t="s">
        <v>51</v>
      </c>
      <c r="J152" s="22" t="s">
        <v>88</v>
      </c>
      <c r="K152" s="22" t="s">
        <v>47</v>
      </c>
      <c r="L152" s="22">
        <v>3</v>
      </c>
      <c r="M152" s="22">
        <v>3200</v>
      </c>
      <c r="N152" s="22">
        <v>0</v>
      </c>
      <c r="O152" s="22">
        <v>9600</v>
      </c>
      <c r="P152" s="22">
        <v>7467.65</v>
      </c>
      <c r="Q152" s="22">
        <v>2132.35</v>
      </c>
      <c r="R152" s="22" t="s">
        <v>77</v>
      </c>
    </row>
    <row r="153" hidden="1" spans="1:18">
      <c r="A153" s="22" t="s">
        <v>283</v>
      </c>
      <c r="B153" s="23">
        <v>45747</v>
      </c>
      <c r="C153" s="24">
        <f t="shared" si="2"/>
        <v>3</v>
      </c>
      <c r="D153" s="22" t="s">
        <v>79</v>
      </c>
      <c r="E153" s="22" t="s">
        <v>256</v>
      </c>
      <c r="F153" s="22" t="s">
        <v>21</v>
      </c>
      <c r="G153" s="22" t="s">
        <v>70</v>
      </c>
      <c r="H153" s="22" t="s">
        <v>163</v>
      </c>
      <c r="I153" s="22" t="s">
        <v>24</v>
      </c>
      <c r="J153" s="22" t="s">
        <v>52</v>
      </c>
      <c r="K153" s="22" t="s">
        <v>47</v>
      </c>
      <c r="L153" s="22">
        <v>10</v>
      </c>
      <c r="M153" s="22">
        <v>63000</v>
      </c>
      <c r="N153" s="22">
        <v>0</v>
      </c>
      <c r="O153" s="22">
        <v>630000</v>
      </c>
      <c r="P153" s="22">
        <v>431525.57</v>
      </c>
      <c r="Q153" s="22">
        <v>198474.43</v>
      </c>
      <c r="R153" s="22" t="s">
        <v>35</v>
      </c>
    </row>
    <row r="154" hidden="1" spans="1:18">
      <c r="A154" s="22" t="s">
        <v>284</v>
      </c>
      <c r="B154" s="23">
        <v>45693</v>
      </c>
      <c r="C154" s="24">
        <f t="shared" si="2"/>
        <v>2</v>
      </c>
      <c r="D154" s="22" t="s">
        <v>37</v>
      </c>
      <c r="E154" s="22" t="s">
        <v>256</v>
      </c>
      <c r="F154" s="22" t="s">
        <v>60</v>
      </c>
      <c r="G154" s="22" t="s">
        <v>86</v>
      </c>
      <c r="H154" s="22" t="s">
        <v>87</v>
      </c>
      <c r="I154" s="22" t="s">
        <v>24</v>
      </c>
      <c r="J154" s="22" t="s">
        <v>124</v>
      </c>
      <c r="K154" s="22" t="s">
        <v>47</v>
      </c>
      <c r="L154" s="22">
        <v>10</v>
      </c>
      <c r="M154" s="22">
        <v>11900</v>
      </c>
      <c r="N154" s="22">
        <v>0</v>
      </c>
      <c r="O154" s="22">
        <v>119000</v>
      </c>
      <c r="P154" s="22">
        <v>90482.45</v>
      </c>
      <c r="Q154" s="22">
        <v>28517.55</v>
      </c>
      <c r="R154" s="22" t="s">
        <v>35</v>
      </c>
    </row>
    <row r="155" hidden="1" spans="1:18">
      <c r="A155" s="22" t="s">
        <v>285</v>
      </c>
      <c r="B155" s="23">
        <v>45300</v>
      </c>
      <c r="C155" s="24">
        <f t="shared" si="2"/>
        <v>1</v>
      </c>
      <c r="D155" s="22" t="s">
        <v>65</v>
      </c>
      <c r="E155" s="22" t="s">
        <v>30</v>
      </c>
      <c r="F155" s="22" t="s">
        <v>31</v>
      </c>
      <c r="G155" s="22" t="s">
        <v>172</v>
      </c>
      <c r="H155" s="22" t="s">
        <v>286</v>
      </c>
      <c r="I155" s="22" t="s">
        <v>24</v>
      </c>
      <c r="J155" s="22" t="s">
        <v>99</v>
      </c>
      <c r="K155" s="22" t="s">
        <v>53</v>
      </c>
      <c r="L155" s="22">
        <v>10</v>
      </c>
      <c r="M155" s="22">
        <v>2800</v>
      </c>
      <c r="N155" s="22">
        <v>0.05</v>
      </c>
      <c r="O155" s="22">
        <v>26600</v>
      </c>
      <c r="P155" s="22">
        <v>17878.17</v>
      </c>
      <c r="Q155" s="22">
        <v>8721.83</v>
      </c>
      <c r="R155" s="22" t="s">
        <v>48</v>
      </c>
    </row>
    <row r="156" hidden="1" spans="1:18">
      <c r="A156" s="22" t="s">
        <v>287</v>
      </c>
      <c r="B156" s="23">
        <v>45757</v>
      </c>
      <c r="C156" s="24">
        <f t="shared" si="2"/>
        <v>4</v>
      </c>
      <c r="D156" s="22" t="s">
        <v>69</v>
      </c>
      <c r="E156" s="22" t="s">
        <v>256</v>
      </c>
      <c r="F156" s="22" t="s">
        <v>31</v>
      </c>
      <c r="G156" s="22" t="s">
        <v>172</v>
      </c>
      <c r="H156" s="22" t="s">
        <v>269</v>
      </c>
      <c r="I156" s="22" t="s">
        <v>45</v>
      </c>
      <c r="J156" s="22" t="s">
        <v>88</v>
      </c>
      <c r="K156" s="22" t="s">
        <v>26</v>
      </c>
      <c r="L156" s="22">
        <v>3</v>
      </c>
      <c r="M156" s="22">
        <v>25200</v>
      </c>
      <c r="N156" s="22">
        <v>0.05</v>
      </c>
      <c r="O156" s="22">
        <v>71820</v>
      </c>
      <c r="P156" s="22">
        <v>53797.05</v>
      </c>
      <c r="Q156" s="22">
        <v>18022.95</v>
      </c>
      <c r="R156" s="22" t="s">
        <v>77</v>
      </c>
    </row>
    <row r="157" hidden="1" spans="1:18">
      <c r="A157" s="22" t="s">
        <v>288</v>
      </c>
      <c r="B157" s="23">
        <v>43758</v>
      </c>
      <c r="C157" s="24">
        <f t="shared" si="2"/>
        <v>10</v>
      </c>
      <c r="D157" s="22" t="s">
        <v>85</v>
      </c>
      <c r="E157" s="22" t="s">
        <v>30</v>
      </c>
      <c r="F157" s="22" t="s">
        <v>96</v>
      </c>
      <c r="G157" s="22" t="s">
        <v>97</v>
      </c>
      <c r="H157" s="22" t="s">
        <v>289</v>
      </c>
      <c r="I157" s="22" t="s">
        <v>51</v>
      </c>
      <c r="J157" s="22" t="s">
        <v>40</v>
      </c>
      <c r="K157" s="22" t="s">
        <v>53</v>
      </c>
      <c r="L157" s="22">
        <v>5</v>
      </c>
      <c r="M157" s="22">
        <v>3500</v>
      </c>
      <c r="N157" s="22">
        <v>0.1</v>
      </c>
      <c r="O157" s="22">
        <v>15750</v>
      </c>
      <c r="P157" s="22">
        <v>11659.31</v>
      </c>
      <c r="Q157" s="22">
        <v>4090.69</v>
      </c>
      <c r="R157" s="22" t="s">
        <v>27</v>
      </c>
    </row>
    <row r="158" hidden="1" spans="1:18">
      <c r="A158" s="22" t="s">
        <v>290</v>
      </c>
      <c r="B158" s="23">
        <v>43829</v>
      </c>
      <c r="C158" s="24">
        <f t="shared" si="2"/>
        <v>12</v>
      </c>
      <c r="D158" s="22" t="s">
        <v>79</v>
      </c>
      <c r="E158" s="22" t="s">
        <v>256</v>
      </c>
      <c r="F158" s="22" t="s">
        <v>21</v>
      </c>
      <c r="G158" s="22" t="s">
        <v>70</v>
      </c>
      <c r="H158" s="22" t="s">
        <v>71</v>
      </c>
      <c r="I158" s="22" t="s">
        <v>24</v>
      </c>
      <c r="J158" s="22" t="s">
        <v>34</v>
      </c>
      <c r="K158" s="22" t="s">
        <v>26</v>
      </c>
      <c r="L158" s="22">
        <v>2</v>
      </c>
      <c r="M158" s="22">
        <v>39300</v>
      </c>
      <c r="N158" s="22">
        <v>0.05</v>
      </c>
      <c r="O158" s="22">
        <v>74670</v>
      </c>
      <c r="P158" s="22">
        <v>58083.67</v>
      </c>
      <c r="Q158" s="22">
        <v>16586.33</v>
      </c>
      <c r="R158" s="22" t="s">
        <v>77</v>
      </c>
    </row>
    <row r="159" hidden="1" spans="1:18">
      <c r="A159" s="22" t="s">
        <v>291</v>
      </c>
      <c r="B159" s="23">
        <v>43236</v>
      </c>
      <c r="C159" s="24">
        <f t="shared" si="2"/>
        <v>5</v>
      </c>
      <c r="D159" s="22" t="s">
        <v>79</v>
      </c>
      <c r="E159" s="22" t="s">
        <v>256</v>
      </c>
      <c r="F159" s="22" t="s">
        <v>31</v>
      </c>
      <c r="G159" s="22" t="s">
        <v>43</v>
      </c>
      <c r="H159" s="22" t="s">
        <v>91</v>
      </c>
      <c r="I159" s="22" t="s">
        <v>45</v>
      </c>
      <c r="J159" s="22" t="s">
        <v>40</v>
      </c>
      <c r="K159" s="22" t="s">
        <v>47</v>
      </c>
      <c r="L159" s="22">
        <v>7</v>
      </c>
      <c r="M159" s="22">
        <v>61400</v>
      </c>
      <c r="N159" s="22">
        <v>0</v>
      </c>
      <c r="O159" s="22">
        <v>429800</v>
      </c>
      <c r="P159" s="22">
        <v>327492.03</v>
      </c>
      <c r="Q159" s="22">
        <v>102307.97</v>
      </c>
      <c r="R159" s="22" t="s">
        <v>48</v>
      </c>
    </row>
    <row r="160" hidden="1" spans="1:18">
      <c r="A160" s="22" t="s">
        <v>292</v>
      </c>
      <c r="B160" s="23">
        <v>45727</v>
      </c>
      <c r="C160" s="24">
        <f t="shared" si="2"/>
        <v>3</v>
      </c>
      <c r="D160" s="22" t="s">
        <v>103</v>
      </c>
      <c r="E160" s="22" t="s">
        <v>256</v>
      </c>
      <c r="F160" s="22" t="s">
        <v>55</v>
      </c>
      <c r="G160" s="22" t="s">
        <v>56</v>
      </c>
      <c r="H160" s="22" t="s">
        <v>154</v>
      </c>
      <c r="I160" s="22" t="s">
        <v>51</v>
      </c>
      <c r="J160" s="22" t="s">
        <v>116</v>
      </c>
      <c r="K160" s="22" t="s">
        <v>53</v>
      </c>
      <c r="L160" s="22">
        <v>2</v>
      </c>
      <c r="M160" s="22">
        <v>26400</v>
      </c>
      <c r="N160" s="22">
        <v>0</v>
      </c>
      <c r="O160" s="22">
        <v>52800</v>
      </c>
      <c r="P160" s="22">
        <v>40172.19</v>
      </c>
      <c r="Q160" s="22">
        <v>12627.81</v>
      </c>
      <c r="R160" s="22" t="s">
        <v>48</v>
      </c>
    </row>
    <row r="161" hidden="1" spans="1:18">
      <c r="A161" s="22" t="s">
        <v>293</v>
      </c>
      <c r="B161" s="23">
        <v>43229</v>
      </c>
      <c r="C161" s="24">
        <f t="shared" si="2"/>
        <v>5</v>
      </c>
      <c r="D161" s="22" t="s">
        <v>90</v>
      </c>
      <c r="E161" s="22" t="s">
        <v>256</v>
      </c>
      <c r="F161" s="22" t="s">
        <v>21</v>
      </c>
      <c r="G161" s="22" t="s">
        <v>167</v>
      </c>
      <c r="H161" s="22" t="s">
        <v>206</v>
      </c>
      <c r="I161" s="22" t="s">
        <v>51</v>
      </c>
      <c r="J161" s="22" t="s">
        <v>25</v>
      </c>
      <c r="K161" s="22" t="s">
        <v>53</v>
      </c>
      <c r="L161" s="22">
        <v>2</v>
      </c>
      <c r="M161" s="22">
        <v>44800</v>
      </c>
      <c r="N161" s="22">
        <v>0.1</v>
      </c>
      <c r="O161" s="22">
        <v>80640</v>
      </c>
      <c r="P161" s="22">
        <v>59892.32</v>
      </c>
      <c r="Q161" s="22">
        <v>20747.68</v>
      </c>
      <c r="R161" s="22" t="s">
        <v>77</v>
      </c>
    </row>
    <row r="162" hidden="1" spans="1:18">
      <c r="A162" s="22" t="s">
        <v>294</v>
      </c>
      <c r="B162" s="23">
        <v>43125</v>
      </c>
      <c r="C162" s="24">
        <f t="shared" si="2"/>
        <v>1</v>
      </c>
      <c r="D162" s="22" t="s">
        <v>85</v>
      </c>
      <c r="E162" s="22" t="s">
        <v>30</v>
      </c>
      <c r="F162" s="22" t="s">
        <v>31</v>
      </c>
      <c r="G162" s="22" t="s">
        <v>32</v>
      </c>
      <c r="H162" s="22" t="s">
        <v>33</v>
      </c>
      <c r="I162" s="22" t="s">
        <v>45</v>
      </c>
      <c r="J162" s="22" t="s">
        <v>46</v>
      </c>
      <c r="K162" s="22" t="s">
        <v>47</v>
      </c>
      <c r="L162" s="22">
        <v>9</v>
      </c>
      <c r="M162" s="22">
        <v>1500</v>
      </c>
      <c r="N162" s="22">
        <v>0.05</v>
      </c>
      <c r="O162" s="22">
        <v>12825</v>
      </c>
      <c r="P162" s="22">
        <v>9144.12</v>
      </c>
      <c r="Q162" s="22">
        <v>3680.88</v>
      </c>
      <c r="R162" s="22" t="s">
        <v>77</v>
      </c>
    </row>
    <row r="163" hidden="1" spans="1:18">
      <c r="A163" s="22" t="s">
        <v>295</v>
      </c>
      <c r="B163" s="23">
        <v>43977</v>
      </c>
      <c r="C163" s="24">
        <f t="shared" si="2"/>
        <v>5</v>
      </c>
      <c r="D163" s="22" t="s">
        <v>75</v>
      </c>
      <c r="E163" s="22" t="s">
        <v>20</v>
      </c>
      <c r="F163" s="22" t="s">
        <v>96</v>
      </c>
      <c r="G163" s="22" t="s">
        <v>97</v>
      </c>
      <c r="H163" s="22" t="s">
        <v>98</v>
      </c>
      <c r="I163" s="22" t="s">
        <v>24</v>
      </c>
      <c r="J163" s="22" t="s">
        <v>40</v>
      </c>
      <c r="K163" s="22" t="s">
        <v>53</v>
      </c>
      <c r="L163" s="22">
        <v>8</v>
      </c>
      <c r="M163" s="22">
        <v>6400</v>
      </c>
      <c r="N163" s="22">
        <v>0.1</v>
      </c>
      <c r="O163" s="22">
        <v>46080</v>
      </c>
      <c r="P163" s="22">
        <v>36361.36</v>
      </c>
      <c r="Q163" s="22">
        <v>9718.64</v>
      </c>
      <c r="R163" s="22" t="s">
        <v>27</v>
      </c>
    </row>
    <row r="164" hidden="1" spans="1:18">
      <c r="A164" s="22" t="s">
        <v>296</v>
      </c>
      <c r="B164" s="23">
        <v>45741</v>
      </c>
      <c r="C164" s="24">
        <f t="shared" si="2"/>
        <v>3</v>
      </c>
      <c r="D164" s="22" t="s">
        <v>65</v>
      </c>
      <c r="E164" s="22" t="s">
        <v>30</v>
      </c>
      <c r="F164" s="22" t="s">
        <v>31</v>
      </c>
      <c r="G164" s="22" t="s">
        <v>32</v>
      </c>
      <c r="H164" s="22" t="s">
        <v>226</v>
      </c>
      <c r="I164" s="22" t="s">
        <v>24</v>
      </c>
      <c r="J164" s="22" t="s">
        <v>99</v>
      </c>
      <c r="K164" s="22" t="s">
        <v>47</v>
      </c>
      <c r="L164" s="22">
        <v>1</v>
      </c>
      <c r="M164" s="22">
        <v>2000</v>
      </c>
      <c r="N164" s="22">
        <v>0.1</v>
      </c>
      <c r="O164" s="22">
        <v>1800</v>
      </c>
      <c r="P164" s="22">
        <v>1179.08</v>
      </c>
      <c r="Q164" s="22">
        <v>620.92</v>
      </c>
      <c r="R164" s="22" t="s">
        <v>35</v>
      </c>
    </row>
    <row r="165" spans="1:18">
      <c r="A165" s="22" t="s">
        <v>297</v>
      </c>
      <c r="B165" s="23">
        <v>43787</v>
      </c>
      <c r="C165" s="24">
        <f t="shared" si="2"/>
        <v>11</v>
      </c>
      <c r="D165" s="22" t="s">
        <v>37</v>
      </c>
      <c r="E165" s="22" t="s">
        <v>38</v>
      </c>
      <c r="F165" s="22" t="s">
        <v>96</v>
      </c>
      <c r="G165" s="22" t="s">
        <v>113</v>
      </c>
      <c r="H165" s="22" t="s">
        <v>114</v>
      </c>
      <c r="I165" s="22" t="s">
        <v>45</v>
      </c>
      <c r="J165" s="22" t="s">
        <v>52</v>
      </c>
      <c r="K165" s="22" t="s">
        <v>53</v>
      </c>
      <c r="L165" s="22">
        <v>9</v>
      </c>
      <c r="M165" s="22">
        <v>23400</v>
      </c>
      <c r="N165" s="22">
        <v>0.05</v>
      </c>
      <c r="O165" s="22">
        <v>200070</v>
      </c>
      <c r="P165" s="22">
        <v>141516.7</v>
      </c>
      <c r="Q165" s="22">
        <v>58553.3</v>
      </c>
      <c r="R165" s="22" t="s">
        <v>48</v>
      </c>
    </row>
    <row r="166" spans="1:18">
      <c r="A166" s="22" t="s">
        <v>298</v>
      </c>
      <c r="B166" s="23">
        <v>43997</v>
      </c>
      <c r="C166" s="24">
        <f t="shared" si="2"/>
        <v>6</v>
      </c>
      <c r="D166" s="22" t="s">
        <v>75</v>
      </c>
      <c r="E166" s="22" t="s">
        <v>38</v>
      </c>
      <c r="F166" s="22" t="s">
        <v>96</v>
      </c>
      <c r="G166" s="22" t="s">
        <v>113</v>
      </c>
      <c r="H166" s="22" t="s">
        <v>119</v>
      </c>
      <c r="I166" s="22" t="s">
        <v>51</v>
      </c>
      <c r="J166" s="22" t="s">
        <v>124</v>
      </c>
      <c r="K166" s="22" t="s">
        <v>26</v>
      </c>
      <c r="L166" s="22">
        <v>1</v>
      </c>
      <c r="M166" s="22">
        <v>36100</v>
      </c>
      <c r="N166" s="22">
        <v>0.15</v>
      </c>
      <c r="O166" s="22">
        <v>30685</v>
      </c>
      <c r="P166" s="22">
        <v>21594.17</v>
      </c>
      <c r="Q166" s="22">
        <v>9090.83</v>
      </c>
      <c r="R166" s="22" t="s">
        <v>77</v>
      </c>
    </row>
    <row r="167" spans="1:18">
      <c r="A167" s="22" t="s">
        <v>299</v>
      </c>
      <c r="B167" s="23">
        <v>44943</v>
      </c>
      <c r="C167" s="24">
        <f t="shared" si="2"/>
        <v>1</v>
      </c>
      <c r="D167" s="22" t="s">
        <v>69</v>
      </c>
      <c r="E167" s="22" t="s">
        <v>38</v>
      </c>
      <c r="F167" s="22" t="s">
        <v>96</v>
      </c>
      <c r="G167" s="22" t="s">
        <v>97</v>
      </c>
      <c r="H167" s="22" t="s">
        <v>289</v>
      </c>
      <c r="I167" s="22" t="s">
        <v>51</v>
      </c>
      <c r="J167" s="22" t="s">
        <v>40</v>
      </c>
      <c r="K167" s="22" t="s">
        <v>53</v>
      </c>
      <c r="L167" s="22">
        <v>2</v>
      </c>
      <c r="M167" s="22">
        <v>63900</v>
      </c>
      <c r="N167" s="22">
        <v>0.2</v>
      </c>
      <c r="O167" s="22">
        <v>102240</v>
      </c>
      <c r="P167" s="22">
        <v>76278.11</v>
      </c>
      <c r="Q167" s="22">
        <v>25961.89</v>
      </c>
      <c r="R167" s="22" t="s">
        <v>58</v>
      </c>
    </row>
    <row r="168" hidden="1" spans="1:18">
      <c r="A168" s="22" t="s">
        <v>300</v>
      </c>
      <c r="B168" s="23">
        <v>43827</v>
      </c>
      <c r="C168" s="24">
        <f t="shared" si="2"/>
        <v>12</v>
      </c>
      <c r="D168" s="22" t="s">
        <v>19</v>
      </c>
      <c r="E168" s="22" t="s">
        <v>20</v>
      </c>
      <c r="F168" s="22" t="s">
        <v>55</v>
      </c>
      <c r="G168" s="22" t="s">
        <v>109</v>
      </c>
      <c r="H168" s="22" t="s">
        <v>178</v>
      </c>
      <c r="I168" s="22" t="s">
        <v>45</v>
      </c>
      <c r="J168" s="22" t="s">
        <v>63</v>
      </c>
      <c r="K168" s="22" t="s">
        <v>47</v>
      </c>
      <c r="L168" s="22">
        <v>1</v>
      </c>
      <c r="M168" s="22">
        <v>19300</v>
      </c>
      <c r="N168" s="22">
        <v>0.15</v>
      </c>
      <c r="O168" s="22">
        <v>16405</v>
      </c>
      <c r="P168" s="22">
        <v>10802.11</v>
      </c>
      <c r="Q168" s="22">
        <v>5602.89</v>
      </c>
      <c r="R168" s="22" t="s">
        <v>58</v>
      </c>
    </row>
    <row r="169" spans="1:18">
      <c r="A169" s="22" t="s">
        <v>301</v>
      </c>
      <c r="B169" s="23">
        <v>43989</v>
      </c>
      <c r="C169" s="24">
        <f t="shared" si="2"/>
        <v>6</v>
      </c>
      <c r="D169" s="22" t="s">
        <v>75</v>
      </c>
      <c r="E169" s="22" t="s">
        <v>38</v>
      </c>
      <c r="F169" s="22" t="s">
        <v>96</v>
      </c>
      <c r="G169" s="22" t="s">
        <v>113</v>
      </c>
      <c r="H169" s="22" t="s">
        <v>126</v>
      </c>
      <c r="I169" s="22" t="s">
        <v>24</v>
      </c>
      <c r="J169" s="22" t="s">
        <v>99</v>
      </c>
      <c r="K169" s="22" t="s">
        <v>53</v>
      </c>
      <c r="L169" s="22">
        <v>4</v>
      </c>
      <c r="M169" s="22">
        <v>11100</v>
      </c>
      <c r="N169" s="22">
        <v>0.15</v>
      </c>
      <c r="O169" s="22">
        <v>37740</v>
      </c>
      <c r="P169" s="22">
        <v>24412.03</v>
      </c>
      <c r="Q169" s="22">
        <v>13327.97</v>
      </c>
      <c r="R169" s="22" t="s">
        <v>27</v>
      </c>
    </row>
    <row r="170" hidden="1" spans="1:18">
      <c r="A170" s="22" t="s">
        <v>302</v>
      </c>
      <c r="B170" s="23">
        <v>43279</v>
      </c>
      <c r="C170" s="24">
        <f t="shared" si="2"/>
        <v>6</v>
      </c>
      <c r="D170" s="22" t="s">
        <v>19</v>
      </c>
      <c r="E170" s="22" t="s">
        <v>20</v>
      </c>
      <c r="F170" s="22" t="s">
        <v>96</v>
      </c>
      <c r="G170" s="22" t="s">
        <v>97</v>
      </c>
      <c r="H170" s="22" t="s">
        <v>289</v>
      </c>
      <c r="I170" s="22" t="s">
        <v>45</v>
      </c>
      <c r="J170" s="22" t="s">
        <v>170</v>
      </c>
      <c r="K170" s="22" t="s">
        <v>53</v>
      </c>
      <c r="L170" s="22">
        <v>2</v>
      </c>
      <c r="M170" s="22">
        <v>20300</v>
      </c>
      <c r="N170" s="22">
        <v>0</v>
      </c>
      <c r="O170" s="22">
        <v>40600</v>
      </c>
      <c r="P170" s="22">
        <v>25719.97</v>
      </c>
      <c r="Q170" s="22">
        <v>14880.03</v>
      </c>
      <c r="R170" s="22" t="s">
        <v>58</v>
      </c>
    </row>
    <row r="171" hidden="1" spans="1:18">
      <c r="A171" s="22" t="s">
        <v>303</v>
      </c>
      <c r="B171" s="23">
        <v>43963</v>
      </c>
      <c r="C171" s="24">
        <f t="shared" si="2"/>
        <v>5</v>
      </c>
      <c r="D171" s="22" t="s">
        <v>75</v>
      </c>
      <c r="E171" s="22" t="s">
        <v>30</v>
      </c>
      <c r="F171" s="22" t="s">
        <v>31</v>
      </c>
      <c r="G171" s="22" t="s">
        <v>172</v>
      </c>
      <c r="H171" s="22" t="s">
        <v>173</v>
      </c>
      <c r="I171" s="22" t="s">
        <v>24</v>
      </c>
      <c r="J171" s="22" t="s">
        <v>40</v>
      </c>
      <c r="K171" s="22" t="s">
        <v>53</v>
      </c>
      <c r="L171" s="22">
        <v>8</v>
      </c>
      <c r="M171" s="22">
        <v>2000</v>
      </c>
      <c r="N171" s="22">
        <v>0.05</v>
      </c>
      <c r="O171" s="22">
        <v>15200</v>
      </c>
      <c r="P171" s="22">
        <v>9994.7</v>
      </c>
      <c r="Q171" s="22">
        <v>5205.3</v>
      </c>
      <c r="R171" s="22" t="s">
        <v>48</v>
      </c>
    </row>
    <row r="172" hidden="1" spans="1:18">
      <c r="A172" s="22" t="s">
        <v>304</v>
      </c>
      <c r="B172" s="23">
        <v>43122</v>
      </c>
      <c r="C172" s="24">
        <f t="shared" si="2"/>
        <v>1</v>
      </c>
      <c r="D172" s="22" t="s">
        <v>29</v>
      </c>
      <c r="E172" s="22" t="s">
        <v>30</v>
      </c>
      <c r="F172" s="22" t="s">
        <v>55</v>
      </c>
      <c r="G172" s="22" t="s">
        <v>56</v>
      </c>
      <c r="H172" s="22" t="s">
        <v>76</v>
      </c>
      <c r="I172" s="22" t="s">
        <v>51</v>
      </c>
      <c r="J172" s="22" t="s">
        <v>25</v>
      </c>
      <c r="K172" s="22" t="s">
        <v>53</v>
      </c>
      <c r="L172" s="22">
        <v>8</v>
      </c>
      <c r="M172" s="22">
        <v>10000</v>
      </c>
      <c r="N172" s="22">
        <v>0.1</v>
      </c>
      <c r="O172" s="22">
        <v>72000</v>
      </c>
      <c r="P172" s="22">
        <v>49491.06</v>
      </c>
      <c r="Q172" s="22">
        <v>22508.94</v>
      </c>
      <c r="R172" s="22" t="s">
        <v>27</v>
      </c>
    </row>
    <row r="173" spans="1:18">
      <c r="A173" s="22" t="s">
        <v>305</v>
      </c>
      <c r="B173" s="23">
        <v>44337</v>
      </c>
      <c r="C173" s="24">
        <f t="shared" si="2"/>
        <v>5</v>
      </c>
      <c r="D173" s="22" t="s">
        <v>37</v>
      </c>
      <c r="E173" s="22" t="s">
        <v>38</v>
      </c>
      <c r="F173" s="22" t="s">
        <v>96</v>
      </c>
      <c r="G173" s="22" t="s">
        <v>97</v>
      </c>
      <c r="H173" s="22" t="s">
        <v>98</v>
      </c>
      <c r="I173" s="22" t="s">
        <v>51</v>
      </c>
      <c r="J173" s="22" t="s">
        <v>25</v>
      </c>
      <c r="K173" s="22" t="s">
        <v>53</v>
      </c>
      <c r="L173" s="22">
        <v>6</v>
      </c>
      <c r="M173" s="22">
        <v>30500</v>
      </c>
      <c r="N173" s="22">
        <v>0.1</v>
      </c>
      <c r="O173" s="22">
        <v>164700</v>
      </c>
      <c r="P173" s="22">
        <v>129988.99</v>
      </c>
      <c r="Q173" s="22">
        <v>34711.01</v>
      </c>
      <c r="R173" s="22" t="s">
        <v>48</v>
      </c>
    </row>
    <row r="174" hidden="1" spans="1:18">
      <c r="A174" s="22" t="s">
        <v>306</v>
      </c>
      <c r="B174" s="23">
        <v>43810</v>
      </c>
      <c r="C174" s="24">
        <f t="shared" si="2"/>
        <v>12</v>
      </c>
      <c r="D174" s="22" t="s">
        <v>19</v>
      </c>
      <c r="E174" s="22" t="s">
        <v>20</v>
      </c>
      <c r="F174" s="22" t="s">
        <v>96</v>
      </c>
      <c r="G174" s="22" t="s">
        <v>113</v>
      </c>
      <c r="H174" s="22" t="s">
        <v>114</v>
      </c>
      <c r="I174" s="22" t="s">
        <v>51</v>
      </c>
      <c r="J174" s="22" t="s">
        <v>170</v>
      </c>
      <c r="K174" s="22" t="s">
        <v>47</v>
      </c>
      <c r="L174" s="22">
        <v>10</v>
      </c>
      <c r="M174" s="22">
        <v>10200</v>
      </c>
      <c r="N174" s="22">
        <v>0.1</v>
      </c>
      <c r="O174" s="22">
        <v>91800</v>
      </c>
      <c r="P174" s="22">
        <v>63449.41</v>
      </c>
      <c r="Q174" s="22">
        <v>28350.59</v>
      </c>
      <c r="R174" s="22" t="s">
        <v>27</v>
      </c>
    </row>
    <row r="175" hidden="1" spans="1:18">
      <c r="A175" s="22" t="s">
        <v>307</v>
      </c>
      <c r="B175" s="23">
        <v>44111</v>
      </c>
      <c r="C175" s="24">
        <f t="shared" si="2"/>
        <v>10</v>
      </c>
      <c r="D175" s="22" t="s">
        <v>19</v>
      </c>
      <c r="E175" s="22" t="s">
        <v>20</v>
      </c>
      <c r="F175" s="22" t="s">
        <v>96</v>
      </c>
      <c r="G175" s="22" t="s">
        <v>113</v>
      </c>
      <c r="H175" s="22" t="s">
        <v>126</v>
      </c>
      <c r="I175" s="22" t="s">
        <v>45</v>
      </c>
      <c r="J175" s="22" t="s">
        <v>73</v>
      </c>
      <c r="K175" s="22" t="s">
        <v>53</v>
      </c>
      <c r="L175" s="22">
        <v>3</v>
      </c>
      <c r="M175" s="22">
        <v>11800</v>
      </c>
      <c r="N175" s="22">
        <v>0.1</v>
      </c>
      <c r="O175" s="22">
        <v>31860</v>
      </c>
      <c r="P175" s="22">
        <v>23253.13</v>
      </c>
      <c r="Q175" s="22">
        <v>8606.87</v>
      </c>
      <c r="R175" s="22" t="s">
        <v>77</v>
      </c>
    </row>
    <row r="176" spans="1:18">
      <c r="A176" s="22" t="s">
        <v>308</v>
      </c>
      <c r="B176" s="23">
        <v>45691</v>
      </c>
      <c r="C176" s="24">
        <f t="shared" si="2"/>
        <v>2</v>
      </c>
      <c r="D176" s="22" t="s">
        <v>90</v>
      </c>
      <c r="E176" s="22" t="s">
        <v>38</v>
      </c>
      <c r="F176" s="22" t="s">
        <v>55</v>
      </c>
      <c r="G176" s="22" t="s">
        <v>80</v>
      </c>
      <c r="H176" s="22" t="s">
        <v>134</v>
      </c>
      <c r="I176" s="22" t="s">
        <v>51</v>
      </c>
      <c r="J176" s="22" t="s">
        <v>88</v>
      </c>
      <c r="K176" s="22" t="s">
        <v>47</v>
      </c>
      <c r="L176" s="22">
        <v>9</v>
      </c>
      <c r="M176" s="22">
        <v>32300</v>
      </c>
      <c r="N176" s="22">
        <v>0.15</v>
      </c>
      <c r="O176" s="22">
        <v>247095</v>
      </c>
      <c r="P176" s="22">
        <v>174529.78</v>
      </c>
      <c r="Q176" s="22">
        <v>72565.22</v>
      </c>
      <c r="R176" s="22" t="s">
        <v>58</v>
      </c>
    </row>
    <row r="177" spans="1:18">
      <c r="A177" s="22" t="s">
        <v>309</v>
      </c>
      <c r="B177" s="23">
        <v>45777</v>
      </c>
      <c r="C177" s="24">
        <f t="shared" si="2"/>
        <v>4</v>
      </c>
      <c r="D177" s="22" t="s">
        <v>75</v>
      </c>
      <c r="E177" s="22" t="s">
        <v>38</v>
      </c>
      <c r="F177" s="22" t="s">
        <v>60</v>
      </c>
      <c r="G177" s="22" t="s">
        <v>141</v>
      </c>
      <c r="H177" s="22" t="s">
        <v>142</v>
      </c>
      <c r="I177" s="22" t="s">
        <v>24</v>
      </c>
      <c r="J177" s="22" t="s">
        <v>46</v>
      </c>
      <c r="K177" s="22" t="s">
        <v>26</v>
      </c>
      <c r="L177" s="22">
        <v>1</v>
      </c>
      <c r="M177" s="22">
        <v>39700</v>
      </c>
      <c r="N177" s="22">
        <v>0</v>
      </c>
      <c r="O177" s="22">
        <v>39700</v>
      </c>
      <c r="P177" s="22">
        <v>32489.99</v>
      </c>
      <c r="Q177" s="22">
        <v>7210.01</v>
      </c>
      <c r="R177" s="22" t="s">
        <v>35</v>
      </c>
    </row>
    <row r="178" hidden="1" spans="1:18">
      <c r="A178" s="22" t="s">
        <v>310</v>
      </c>
      <c r="B178" s="23">
        <v>43126</v>
      </c>
      <c r="C178" s="24">
        <f t="shared" si="2"/>
        <v>1</v>
      </c>
      <c r="D178" s="22" t="s">
        <v>133</v>
      </c>
      <c r="E178" s="22" t="s">
        <v>213</v>
      </c>
      <c r="F178" s="22" t="s">
        <v>60</v>
      </c>
      <c r="G178" s="22" t="s">
        <v>93</v>
      </c>
      <c r="H178" s="22" t="s">
        <v>101</v>
      </c>
      <c r="I178" s="22" t="s">
        <v>24</v>
      </c>
      <c r="J178" s="22" t="s">
        <v>25</v>
      </c>
      <c r="K178" s="22" t="s">
        <v>47</v>
      </c>
      <c r="L178" s="22">
        <v>7</v>
      </c>
      <c r="M178" s="22">
        <v>14200</v>
      </c>
      <c r="N178" s="22">
        <v>0</v>
      </c>
      <c r="O178" s="22">
        <v>99400</v>
      </c>
      <c r="P178" s="22">
        <v>77754.2</v>
      </c>
      <c r="Q178" s="22">
        <v>21645.8</v>
      </c>
      <c r="R178" s="22" t="s">
        <v>27</v>
      </c>
    </row>
    <row r="179" spans="1:18">
      <c r="A179" s="22" t="s">
        <v>311</v>
      </c>
      <c r="B179" s="23">
        <v>43683</v>
      </c>
      <c r="C179" s="24">
        <f t="shared" si="2"/>
        <v>8</v>
      </c>
      <c r="D179" s="22" t="s">
        <v>121</v>
      </c>
      <c r="E179" s="22" t="s">
        <v>38</v>
      </c>
      <c r="F179" s="22" t="s">
        <v>21</v>
      </c>
      <c r="G179" s="22" t="s">
        <v>122</v>
      </c>
      <c r="H179" s="22" t="s">
        <v>156</v>
      </c>
      <c r="I179" s="22" t="s">
        <v>24</v>
      </c>
      <c r="J179" s="22" t="s">
        <v>116</v>
      </c>
      <c r="K179" s="22" t="s">
        <v>53</v>
      </c>
      <c r="L179" s="22">
        <v>3</v>
      </c>
      <c r="M179" s="22">
        <v>57900</v>
      </c>
      <c r="N179" s="22">
        <v>0</v>
      </c>
      <c r="O179" s="22">
        <v>173700</v>
      </c>
      <c r="P179" s="22">
        <v>144245.74</v>
      </c>
      <c r="Q179" s="22">
        <v>29454.26</v>
      </c>
      <c r="R179" s="22" t="s">
        <v>77</v>
      </c>
    </row>
    <row r="180" spans="1:18">
      <c r="A180" s="22" t="s">
        <v>312</v>
      </c>
      <c r="B180" s="23">
        <v>43985</v>
      </c>
      <c r="C180" s="24">
        <f t="shared" si="2"/>
        <v>6</v>
      </c>
      <c r="D180" s="22" t="s">
        <v>75</v>
      </c>
      <c r="E180" s="22" t="s">
        <v>38</v>
      </c>
      <c r="F180" s="22" t="s">
        <v>21</v>
      </c>
      <c r="G180" s="22" t="s">
        <v>70</v>
      </c>
      <c r="H180" s="22" t="s">
        <v>163</v>
      </c>
      <c r="I180" s="22" t="s">
        <v>51</v>
      </c>
      <c r="J180" s="22" t="s">
        <v>124</v>
      </c>
      <c r="K180" s="22" t="s">
        <v>26</v>
      </c>
      <c r="L180" s="22">
        <v>3</v>
      </c>
      <c r="M180" s="22">
        <v>41500</v>
      </c>
      <c r="N180" s="22">
        <v>0</v>
      </c>
      <c r="O180" s="22">
        <v>124500</v>
      </c>
      <c r="P180" s="22">
        <v>95275.69</v>
      </c>
      <c r="Q180" s="22">
        <v>29224.31</v>
      </c>
      <c r="R180" s="22" t="s">
        <v>77</v>
      </c>
    </row>
    <row r="181" spans="1:18">
      <c r="A181" s="22" t="s">
        <v>313</v>
      </c>
      <c r="B181" s="23">
        <v>43346</v>
      </c>
      <c r="C181" s="24">
        <f t="shared" si="2"/>
        <v>9</v>
      </c>
      <c r="D181" s="22" t="s">
        <v>90</v>
      </c>
      <c r="E181" s="22" t="s">
        <v>38</v>
      </c>
      <c r="F181" s="22" t="s">
        <v>60</v>
      </c>
      <c r="G181" s="22" t="s">
        <v>61</v>
      </c>
      <c r="H181" s="22" t="s">
        <v>101</v>
      </c>
      <c r="I181" s="22" t="s">
        <v>24</v>
      </c>
      <c r="J181" s="22" t="s">
        <v>40</v>
      </c>
      <c r="K181" s="22" t="s">
        <v>47</v>
      </c>
      <c r="L181" s="22">
        <v>2</v>
      </c>
      <c r="M181" s="22">
        <v>12300</v>
      </c>
      <c r="N181" s="22">
        <v>0</v>
      </c>
      <c r="O181" s="22">
        <v>24600</v>
      </c>
      <c r="P181" s="22">
        <v>16662.98</v>
      </c>
      <c r="Q181" s="22">
        <v>7937.02</v>
      </c>
      <c r="R181" s="22" t="s">
        <v>35</v>
      </c>
    </row>
    <row r="182" hidden="1" spans="1:18">
      <c r="A182" s="22" t="s">
        <v>314</v>
      </c>
      <c r="B182" s="23">
        <v>44347</v>
      </c>
      <c r="C182" s="24">
        <f t="shared" si="2"/>
        <v>5</v>
      </c>
      <c r="D182" s="22" t="s">
        <v>75</v>
      </c>
      <c r="E182" s="22" t="s">
        <v>213</v>
      </c>
      <c r="F182" s="22" t="s">
        <v>31</v>
      </c>
      <c r="G182" s="22" t="s">
        <v>43</v>
      </c>
      <c r="H182" s="22" t="s">
        <v>44</v>
      </c>
      <c r="I182" s="22" t="s">
        <v>24</v>
      </c>
      <c r="J182" s="22" t="s">
        <v>46</v>
      </c>
      <c r="K182" s="22" t="s">
        <v>53</v>
      </c>
      <c r="L182" s="22">
        <v>4</v>
      </c>
      <c r="M182" s="22">
        <v>66700</v>
      </c>
      <c r="N182" s="22">
        <v>0.2</v>
      </c>
      <c r="O182" s="22">
        <v>213440</v>
      </c>
      <c r="P182" s="22">
        <v>160595.23</v>
      </c>
      <c r="Q182" s="22">
        <v>52844.77</v>
      </c>
      <c r="R182" s="22" t="s">
        <v>48</v>
      </c>
    </row>
    <row r="183" hidden="1" spans="1:18">
      <c r="A183" s="22" t="s">
        <v>315</v>
      </c>
      <c r="B183" s="23">
        <v>45667</v>
      </c>
      <c r="C183" s="24">
        <f t="shared" si="2"/>
        <v>1</v>
      </c>
      <c r="D183" s="22" t="s">
        <v>90</v>
      </c>
      <c r="E183" s="22" t="s">
        <v>213</v>
      </c>
      <c r="F183" s="22" t="s">
        <v>31</v>
      </c>
      <c r="G183" s="22" t="s">
        <v>66</v>
      </c>
      <c r="H183" s="22" t="s">
        <v>316</v>
      </c>
      <c r="I183" s="22" t="s">
        <v>51</v>
      </c>
      <c r="J183" s="22" t="s">
        <v>124</v>
      </c>
      <c r="K183" s="22" t="s">
        <v>53</v>
      </c>
      <c r="L183" s="22">
        <v>9</v>
      </c>
      <c r="M183" s="22">
        <v>24400</v>
      </c>
      <c r="N183" s="22">
        <v>0.1</v>
      </c>
      <c r="O183" s="22">
        <v>197640</v>
      </c>
      <c r="P183" s="22">
        <v>139435.73</v>
      </c>
      <c r="Q183" s="22">
        <v>58204.27</v>
      </c>
      <c r="R183" s="22" t="s">
        <v>77</v>
      </c>
    </row>
    <row r="184" hidden="1" spans="1:18">
      <c r="A184" s="22" t="s">
        <v>317</v>
      </c>
      <c r="B184" s="23">
        <v>43722</v>
      </c>
      <c r="C184" s="24">
        <f t="shared" si="2"/>
        <v>9</v>
      </c>
      <c r="D184" s="22" t="s">
        <v>65</v>
      </c>
      <c r="E184" s="22" t="s">
        <v>30</v>
      </c>
      <c r="F184" s="22" t="s">
        <v>21</v>
      </c>
      <c r="G184" s="22" t="s">
        <v>167</v>
      </c>
      <c r="H184" s="22" t="s">
        <v>168</v>
      </c>
      <c r="I184" s="22" t="s">
        <v>45</v>
      </c>
      <c r="J184" s="22" t="s">
        <v>88</v>
      </c>
      <c r="K184" s="22" t="s">
        <v>47</v>
      </c>
      <c r="L184" s="22">
        <v>8</v>
      </c>
      <c r="M184" s="22">
        <v>3000</v>
      </c>
      <c r="N184" s="22">
        <v>0.1</v>
      </c>
      <c r="O184" s="22">
        <v>21600</v>
      </c>
      <c r="P184" s="22">
        <v>14898.02</v>
      </c>
      <c r="Q184" s="22">
        <v>6701.98</v>
      </c>
      <c r="R184" s="22" t="s">
        <v>35</v>
      </c>
    </row>
    <row r="185" hidden="1" spans="1:18">
      <c r="A185" s="22" t="s">
        <v>318</v>
      </c>
      <c r="B185" s="23">
        <v>44011</v>
      </c>
      <c r="C185" s="24">
        <f t="shared" si="2"/>
        <v>6</v>
      </c>
      <c r="D185" s="22" t="s">
        <v>29</v>
      </c>
      <c r="E185" s="22" t="s">
        <v>30</v>
      </c>
      <c r="F185" s="22" t="s">
        <v>96</v>
      </c>
      <c r="G185" s="22" t="s">
        <v>113</v>
      </c>
      <c r="H185" s="22" t="s">
        <v>119</v>
      </c>
      <c r="I185" s="22" t="s">
        <v>51</v>
      </c>
      <c r="J185" s="22" t="s">
        <v>124</v>
      </c>
      <c r="K185" s="22" t="s">
        <v>26</v>
      </c>
      <c r="L185" s="22">
        <v>8</v>
      </c>
      <c r="M185" s="22">
        <v>7100</v>
      </c>
      <c r="N185" s="22">
        <v>0</v>
      </c>
      <c r="O185" s="22">
        <v>56800</v>
      </c>
      <c r="P185" s="22">
        <v>35889.01</v>
      </c>
      <c r="Q185" s="22">
        <v>20910.99</v>
      </c>
      <c r="R185" s="22" t="s">
        <v>58</v>
      </c>
    </row>
    <row r="186" hidden="1" spans="1:18">
      <c r="A186" s="22" t="s">
        <v>319</v>
      </c>
      <c r="B186" s="23">
        <v>44589</v>
      </c>
      <c r="C186" s="24">
        <f t="shared" si="2"/>
        <v>1</v>
      </c>
      <c r="D186" s="22" t="s">
        <v>69</v>
      </c>
      <c r="E186" s="22" t="s">
        <v>30</v>
      </c>
      <c r="F186" s="22" t="s">
        <v>96</v>
      </c>
      <c r="G186" s="22" t="s">
        <v>113</v>
      </c>
      <c r="H186" s="22" t="s">
        <v>119</v>
      </c>
      <c r="I186" s="22" t="s">
        <v>45</v>
      </c>
      <c r="J186" s="22" t="s">
        <v>25</v>
      </c>
      <c r="K186" s="22" t="s">
        <v>47</v>
      </c>
      <c r="L186" s="22">
        <v>5</v>
      </c>
      <c r="M186" s="22">
        <v>3800</v>
      </c>
      <c r="N186" s="22">
        <v>0.15</v>
      </c>
      <c r="O186" s="22">
        <v>16150</v>
      </c>
      <c r="P186" s="22">
        <v>10771.61</v>
      </c>
      <c r="Q186" s="22">
        <v>5378.39</v>
      </c>
      <c r="R186" s="22" t="s">
        <v>48</v>
      </c>
    </row>
    <row r="187" hidden="1" spans="1:18">
      <c r="A187" s="22" t="s">
        <v>320</v>
      </c>
      <c r="B187" s="23">
        <v>43654</v>
      </c>
      <c r="C187" s="24">
        <f t="shared" si="2"/>
        <v>7</v>
      </c>
      <c r="D187" s="22" t="s">
        <v>29</v>
      </c>
      <c r="E187" s="22" t="s">
        <v>30</v>
      </c>
      <c r="F187" s="22" t="s">
        <v>21</v>
      </c>
      <c r="G187" s="22" t="s">
        <v>70</v>
      </c>
      <c r="H187" s="22" t="s">
        <v>83</v>
      </c>
      <c r="I187" s="22" t="s">
        <v>24</v>
      </c>
      <c r="J187" s="22" t="s">
        <v>73</v>
      </c>
      <c r="K187" s="22" t="s">
        <v>26</v>
      </c>
      <c r="L187" s="22">
        <v>3</v>
      </c>
      <c r="M187" s="22">
        <v>2700</v>
      </c>
      <c r="N187" s="22">
        <v>0</v>
      </c>
      <c r="O187" s="22">
        <v>8100</v>
      </c>
      <c r="P187" s="22">
        <v>6050.52</v>
      </c>
      <c r="Q187" s="22">
        <v>2049.48</v>
      </c>
      <c r="R187" s="22" t="s">
        <v>35</v>
      </c>
    </row>
    <row r="188" hidden="1" spans="1:18">
      <c r="A188" s="22" t="s">
        <v>321</v>
      </c>
      <c r="B188" s="23">
        <v>45843</v>
      </c>
      <c r="C188" s="24">
        <f t="shared" si="2"/>
        <v>7</v>
      </c>
      <c r="D188" s="22" t="s">
        <v>121</v>
      </c>
      <c r="E188" s="22" t="s">
        <v>213</v>
      </c>
      <c r="F188" s="22" t="s">
        <v>60</v>
      </c>
      <c r="G188" s="22" t="s">
        <v>86</v>
      </c>
      <c r="H188" s="22" t="s">
        <v>87</v>
      </c>
      <c r="I188" s="22" t="s">
        <v>51</v>
      </c>
      <c r="J188" s="22" t="s">
        <v>170</v>
      </c>
      <c r="K188" s="22" t="s">
        <v>26</v>
      </c>
      <c r="L188" s="22">
        <v>3</v>
      </c>
      <c r="M188" s="22">
        <v>94700</v>
      </c>
      <c r="N188" s="22">
        <v>0</v>
      </c>
      <c r="O188" s="22">
        <v>284100</v>
      </c>
      <c r="P188" s="22">
        <v>201236.2</v>
      </c>
      <c r="Q188" s="22">
        <v>82863.8</v>
      </c>
      <c r="R188" s="22" t="s">
        <v>58</v>
      </c>
    </row>
    <row r="189" hidden="1" spans="1:18">
      <c r="A189" s="22" t="s">
        <v>322</v>
      </c>
      <c r="B189" s="23">
        <v>45304</v>
      </c>
      <c r="C189" s="24">
        <f t="shared" si="2"/>
        <v>1</v>
      </c>
      <c r="D189" s="22" t="s">
        <v>29</v>
      </c>
      <c r="E189" s="22" t="s">
        <v>30</v>
      </c>
      <c r="F189" s="22" t="s">
        <v>21</v>
      </c>
      <c r="G189" s="22" t="s">
        <v>70</v>
      </c>
      <c r="H189" s="22" t="s">
        <v>83</v>
      </c>
      <c r="I189" s="22" t="s">
        <v>51</v>
      </c>
      <c r="J189" s="22" t="s">
        <v>52</v>
      </c>
      <c r="K189" s="22" t="s">
        <v>53</v>
      </c>
      <c r="L189" s="22">
        <v>9</v>
      </c>
      <c r="M189" s="22">
        <v>5100</v>
      </c>
      <c r="N189" s="22">
        <v>0.1</v>
      </c>
      <c r="O189" s="22">
        <v>41310</v>
      </c>
      <c r="P189" s="22">
        <v>30375.86</v>
      </c>
      <c r="Q189" s="22">
        <v>10934.14</v>
      </c>
      <c r="R189" s="22" t="s">
        <v>77</v>
      </c>
    </row>
    <row r="190" hidden="1" spans="1:18">
      <c r="A190" s="22" t="s">
        <v>323</v>
      </c>
      <c r="B190" s="23">
        <v>43710</v>
      </c>
      <c r="C190" s="24">
        <f t="shared" si="2"/>
        <v>9</v>
      </c>
      <c r="D190" s="22" t="s">
        <v>121</v>
      </c>
      <c r="E190" s="22" t="s">
        <v>213</v>
      </c>
      <c r="F190" s="22" t="s">
        <v>60</v>
      </c>
      <c r="G190" s="22" t="s">
        <v>141</v>
      </c>
      <c r="H190" s="22" t="s">
        <v>142</v>
      </c>
      <c r="I190" s="22" t="s">
        <v>51</v>
      </c>
      <c r="J190" s="22" t="s">
        <v>116</v>
      </c>
      <c r="K190" s="22" t="s">
        <v>26</v>
      </c>
      <c r="L190" s="22">
        <v>9</v>
      </c>
      <c r="M190" s="22">
        <v>82100</v>
      </c>
      <c r="N190" s="22">
        <v>0.15</v>
      </c>
      <c r="O190" s="22">
        <v>628065</v>
      </c>
      <c r="P190" s="22">
        <v>505738.97</v>
      </c>
      <c r="Q190" s="22">
        <v>122326.03</v>
      </c>
      <c r="R190" s="22" t="s">
        <v>27</v>
      </c>
    </row>
    <row r="191" hidden="1" spans="1:18">
      <c r="A191" s="22" t="s">
        <v>324</v>
      </c>
      <c r="B191" s="23">
        <v>45843</v>
      </c>
      <c r="C191" s="24">
        <f t="shared" si="2"/>
        <v>7</v>
      </c>
      <c r="D191" s="22" t="s">
        <v>37</v>
      </c>
      <c r="E191" s="22" t="s">
        <v>213</v>
      </c>
      <c r="F191" s="22" t="s">
        <v>96</v>
      </c>
      <c r="G191" s="22" t="s">
        <v>113</v>
      </c>
      <c r="H191" s="22" t="s">
        <v>119</v>
      </c>
      <c r="I191" s="22" t="s">
        <v>51</v>
      </c>
      <c r="J191" s="22" t="s">
        <v>116</v>
      </c>
      <c r="K191" s="22" t="s">
        <v>26</v>
      </c>
      <c r="L191" s="22">
        <v>8</v>
      </c>
      <c r="M191" s="22">
        <v>14600</v>
      </c>
      <c r="N191" s="22">
        <v>0</v>
      </c>
      <c r="O191" s="22">
        <v>116800</v>
      </c>
      <c r="P191" s="22">
        <v>89453.53</v>
      </c>
      <c r="Q191" s="22">
        <v>27346.47</v>
      </c>
      <c r="R191" s="22" t="s">
        <v>27</v>
      </c>
    </row>
    <row r="192" hidden="1" spans="1:18">
      <c r="A192" s="22" t="s">
        <v>325</v>
      </c>
      <c r="B192" s="23">
        <v>43690</v>
      </c>
      <c r="C192" s="24">
        <f t="shared" si="2"/>
        <v>8</v>
      </c>
      <c r="D192" s="22" t="s">
        <v>65</v>
      </c>
      <c r="E192" s="22" t="s">
        <v>30</v>
      </c>
      <c r="F192" s="22" t="s">
        <v>55</v>
      </c>
      <c r="G192" s="22" t="s">
        <v>195</v>
      </c>
      <c r="H192" s="22" t="s">
        <v>196</v>
      </c>
      <c r="I192" s="22" t="s">
        <v>45</v>
      </c>
      <c r="J192" s="22" t="s">
        <v>116</v>
      </c>
      <c r="K192" s="22" t="s">
        <v>47</v>
      </c>
      <c r="L192" s="22">
        <v>4</v>
      </c>
      <c r="M192" s="22">
        <v>1500</v>
      </c>
      <c r="N192" s="22">
        <v>0.15</v>
      </c>
      <c r="O192" s="22">
        <v>5100</v>
      </c>
      <c r="P192" s="22">
        <v>3734.34</v>
      </c>
      <c r="Q192" s="22">
        <v>1365.66</v>
      </c>
      <c r="R192" s="22" t="s">
        <v>35</v>
      </c>
    </row>
    <row r="193" hidden="1" spans="1:18">
      <c r="A193" s="22" t="s">
        <v>326</v>
      </c>
      <c r="B193" s="23">
        <v>45712</v>
      </c>
      <c r="C193" s="24">
        <f t="shared" si="2"/>
        <v>2</v>
      </c>
      <c r="D193" s="22" t="s">
        <v>103</v>
      </c>
      <c r="E193" s="22" t="s">
        <v>30</v>
      </c>
      <c r="F193" s="22" t="s">
        <v>31</v>
      </c>
      <c r="G193" s="22" t="s">
        <v>43</v>
      </c>
      <c r="H193" s="22" t="s">
        <v>91</v>
      </c>
      <c r="I193" s="22" t="s">
        <v>51</v>
      </c>
      <c r="J193" s="22" t="s">
        <v>25</v>
      </c>
      <c r="K193" s="22" t="s">
        <v>53</v>
      </c>
      <c r="L193" s="22">
        <v>3</v>
      </c>
      <c r="M193" s="22">
        <v>4000</v>
      </c>
      <c r="N193" s="22">
        <v>0.15</v>
      </c>
      <c r="O193" s="22">
        <v>10200</v>
      </c>
      <c r="P193" s="22">
        <v>7442.09</v>
      </c>
      <c r="Q193" s="22">
        <v>2757.91</v>
      </c>
      <c r="R193" s="22" t="s">
        <v>27</v>
      </c>
    </row>
    <row r="194" hidden="1" spans="1:18">
      <c r="A194" s="22" t="s">
        <v>327</v>
      </c>
      <c r="B194" s="23">
        <v>44638</v>
      </c>
      <c r="C194" s="24">
        <f t="shared" ref="C194:C257" si="3">MONTH(B194)</f>
        <v>3</v>
      </c>
      <c r="D194" s="22" t="s">
        <v>29</v>
      </c>
      <c r="E194" s="22" t="s">
        <v>30</v>
      </c>
      <c r="F194" s="22" t="s">
        <v>96</v>
      </c>
      <c r="G194" s="22" t="s">
        <v>97</v>
      </c>
      <c r="H194" s="22" t="s">
        <v>98</v>
      </c>
      <c r="I194" s="22" t="s">
        <v>45</v>
      </c>
      <c r="J194" s="22" t="s">
        <v>99</v>
      </c>
      <c r="K194" s="22" t="s">
        <v>47</v>
      </c>
      <c r="L194" s="22">
        <v>4</v>
      </c>
      <c r="M194" s="22">
        <v>2300</v>
      </c>
      <c r="N194" s="22">
        <v>0.1</v>
      </c>
      <c r="O194" s="22">
        <v>8280</v>
      </c>
      <c r="P194" s="22">
        <v>5563.24</v>
      </c>
      <c r="Q194" s="22">
        <v>2716.76</v>
      </c>
      <c r="R194" s="22" t="s">
        <v>48</v>
      </c>
    </row>
    <row r="195" hidden="1" spans="1:18">
      <c r="A195" s="22" t="s">
        <v>328</v>
      </c>
      <c r="B195" s="23">
        <v>43822</v>
      </c>
      <c r="C195" s="24">
        <f t="shared" si="3"/>
        <v>12</v>
      </c>
      <c r="D195" s="22" t="s">
        <v>29</v>
      </c>
      <c r="E195" s="22" t="s">
        <v>30</v>
      </c>
      <c r="F195" s="22" t="s">
        <v>60</v>
      </c>
      <c r="G195" s="22" t="s">
        <v>86</v>
      </c>
      <c r="H195" s="22" t="s">
        <v>104</v>
      </c>
      <c r="I195" s="22" t="s">
        <v>45</v>
      </c>
      <c r="J195" s="22" t="s">
        <v>124</v>
      </c>
      <c r="K195" s="22" t="s">
        <v>26</v>
      </c>
      <c r="L195" s="22">
        <v>1</v>
      </c>
      <c r="M195" s="22">
        <v>5600</v>
      </c>
      <c r="N195" s="22">
        <v>0.1</v>
      </c>
      <c r="O195" s="22">
        <v>5040</v>
      </c>
      <c r="P195" s="22">
        <v>3995.93</v>
      </c>
      <c r="Q195" s="22">
        <v>1044.07</v>
      </c>
      <c r="R195" s="22" t="s">
        <v>77</v>
      </c>
    </row>
    <row r="196" hidden="1" spans="1:18">
      <c r="A196" s="22" t="s">
        <v>329</v>
      </c>
      <c r="B196" s="23">
        <v>45732</v>
      </c>
      <c r="C196" s="24">
        <f t="shared" si="3"/>
        <v>3</v>
      </c>
      <c r="D196" s="22" t="s">
        <v>103</v>
      </c>
      <c r="E196" s="22" t="s">
        <v>30</v>
      </c>
      <c r="F196" s="22" t="s">
        <v>31</v>
      </c>
      <c r="G196" s="22" t="s">
        <v>32</v>
      </c>
      <c r="H196" s="22" t="s">
        <v>33</v>
      </c>
      <c r="I196" s="22" t="s">
        <v>45</v>
      </c>
      <c r="J196" s="22" t="s">
        <v>88</v>
      </c>
      <c r="K196" s="22" t="s">
        <v>53</v>
      </c>
      <c r="L196" s="22">
        <v>9</v>
      </c>
      <c r="M196" s="22">
        <v>7200</v>
      </c>
      <c r="N196" s="22">
        <v>0.2</v>
      </c>
      <c r="O196" s="22">
        <v>51840</v>
      </c>
      <c r="P196" s="22">
        <v>34025.95</v>
      </c>
      <c r="Q196" s="22">
        <v>17814.05</v>
      </c>
      <c r="R196" s="22" t="s">
        <v>27</v>
      </c>
    </row>
    <row r="197" hidden="1" spans="1:18">
      <c r="A197" s="22" t="s">
        <v>330</v>
      </c>
      <c r="B197" s="23">
        <v>43678</v>
      </c>
      <c r="C197" s="24">
        <f t="shared" si="3"/>
        <v>8</v>
      </c>
      <c r="D197" s="22" t="s">
        <v>85</v>
      </c>
      <c r="E197" s="22" t="s">
        <v>30</v>
      </c>
      <c r="F197" s="22" t="s">
        <v>96</v>
      </c>
      <c r="G197" s="22" t="s">
        <v>97</v>
      </c>
      <c r="H197" s="22" t="s">
        <v>147</v>
      </c>
      <c r="I197" s="22" t="s">
        <v>24</v>
      </c>
      <c r="J197" s="22" t="s">
        <v>73</v>
      </c>
      <c r="K197" s="22" t="s">
        <v>47</v>
      </c>
      <c r="L197" s="22">
        <v>3</v>
      </c>
      <c r="M197" s="22">
        <v>1900</v>
      </c>
      <c r="N197" s="22">
        <v>0.05</v>
      </c>
      <c r="O197" s="22">
        <v>5415</v>
      </c>
      <c r="P197" s="22">
        <v>4396.98</v>
      </c>
      <c r="Q197" s="22">
        <v>1018.02</v>
      </c>
      <c r="R197" s="22" t="s">
        <v>27</v>
      </c>
    </row>
    <row r="198" hidden="1" spans="1:18">
      <c r="A198" s="22" t="s">
        <v>331</v>
      </c>
      <c r="B198" s="23">
        <v>45731</v>
      </c>
      <c r="C198" s="24">
        <f t="shared" si="3"/>
        <v>3</v>
      </c>
      <c r="D198" s="22" t="s">
        <v>103</v>
      </c>
      <c r="E198" s="22" t="s">
        <v>213</v>
      </c>
      <c r="F198" s="22" t="s">
        <v>55</v>
      </c>
      <c r="G198" s="22" t="s">
        <v>80</v>
      </c>
      <c r="H198" s="22" t="s">
        <v>81</v>
      </c>
      <c r="I198" s="22" t="s">
        <v>24</v>
      </c>
      <c r="J198" s="22" t="s">
        <v>99</v>
      </c>
      <c r="K198" s="22" t="s">
        <v>53</v>
      </c>
      <c r="L198" s="22">
        <v>4</v>
      </c>
      <c r="M198" s="22">
        <v>3600</v>
      </c>
      <c r="N198" s="22">
        <v>0.2</v>
      </c>
      <c r="O198" s="22">
        <v>11520</v>
      </c>
      <c r="P198" s="22">
        <v>9447.16</v>
      </c>
      <c r="Q198" s="22">
        <v>2072.84</v>
      </c>
      <c r="R198" s="22" t="s">
        <v>58</v>
      </c>
    </row>
    <row r="199" hidden="1" spans="1:18">
      <c r="A199" s="22" t="s">
        <v>332</v>
      </c>
      <c r="B199" s="23">
        <v>44112</v>
      </c>
      <c r="C199" s="24">
        <f t="shared" si="3"/>
        <v>10</v>
      </c>
      <c r="D199" s="22" t="s">
        <v>79</v>
      </c>
      <c r="E199" s="22" t="s">
        <v>213</v>
      </c>
      <c r="F199" s="22" t="s">
        <v>55</v>
      </c>
      <c r="G199" s="22" t="s">
        <v>195</v>
      </c>
      <c r="H199" s="22" t="s">
        <v>196</v>
      </c>
      <c r="I199" s="22" t="s">
        <v>51</v>
      </c>
      <c r="J199" s="22" t="s">
        <v>124</v>
      </c>
      <c r="K199" s="22" t="s">
        <v>26</v>
      </c>
      <c r="L199" s="22">
        <v>4</v>
      </c>
      <c r="M199" s="22">
        <v>54400</v>
      </c>
      <c r="N199" s="22">
        <v>0.2</v>
      </c>
      <c r="O199" s="22">
        <v>174080</v>
      </c>
      <c r="P199" s="22">
        <v>110570.53</v>
      </c>
      <c r="Q199" s="22">
        <v>63509.47</v>
      </c>
      <c r="R199" s="22" t="s">
        <v>48</v>
      </c>
    </row>
    <row r="200" hidden="1" spans="1:18">
      <c r="A200" s="22" t="s">
        <v>333</v>
      </c>
      <c r="B200" s="23">
        <v>43741</v>
      </c>
      <c r="C200" s="24">
        <f t="shared" si="3"/>
        <v>10</v>
      </c>
      <c r="D200" s="22" t="s">
        <v>29</v>
      </c>
      <c r="E200" s="22" t="s">
        <v>30</v>
      </c>
      <c r="F200" s="22" t="s">
        <v>31</v>
      </c>
      <c r="G200" s="22" t="s">
        <v>32</v>
      </c>
      <c r="H200" s="22" t="s">
        <v>50</v>
      </c>
      <c r="I200" s="22" t="s">
        <v>45</v>
      </c>
      <c r="J200" s="22" t="s">
        <v>99</v>
      </c>
      <c r="K200" s="22" t="s">
        <v>53</v>
      </c>
      <c r="L200" s="22">
        <v>10</v>
      </c>
      <c r="M200" s="22">
        <v>10300</v>
      </c>
      <c r="N200" s="22">
        <v>0</v>
      </c>
      <c r="O200" s="22">
        <v>103000</v>
      </c>
      <c r="P200" s="22">
        <v>67403.61</v>
      </c>
      <c r="Q200" s="22">
        <v>35596.39</v>
      </c>
      <c r="R200" s="22" t="s">
        <v>35</v>
      </c>
    </row>
    <row r="201" hidden="1" spans="1:18">
      <c r="A201" s="22" t="s">
        <v>334</v>
      </c>
      <c r="B201" s="23">
        <v>44220</v>
      </c>
      <c r="C201" s="24">
        <f t="shared" si="3"/>
        <v>1</v>
      </c>
      <c r="D201" s="22" t="s">
        <v>79</v>
      </c>
      <c r="E201" s="22" t="s">
        <v>213</v>
      </c>
      <c r="F201" s="22" t="s">
        <v>55</v>
      </c>
      <c r="G201" s="22" t="s">
        <v>80</v>
      </c>
      <c r="H201" s="22" t="s">
        <v>160</v>
      </c>
      <c r="I201" s="22" t="s">
        <v>45</v>
      </c>
      <c r="J201" s="22" t="s">
        <v>99</v>
      </c>
      <c r="K201" s="22" t="s">
        <v>26</v>
      </c>
      <c r="L201" s="22">
        <v>7</v>
      </c>
      <c r="M201" s="22">
        <v>20200</v>
      </c>
      <c r="N201" s="22">
        <v>0</v>
      </c>
      <c r="O201" s="22">
        <v>141400</v>
      </c>
      <c r="P201" s="22">
        <v>110453.02</v>
      </c>
      <c r="Q201" s="22">
        <v>30946.98</v>
      </c>
      <c r="R201" s="22" t="s">
        <v>27</v>
      </c>
    </row>
    <row r="202" hidden="1" spans="1:18">
      <c r="A202" s="22" t="s">
        <v>335</v>
      </c>
      <c r="B202" s="23">
        <v>44031</v>
      </c>
      <c r="C202" s="24">
        <f t="shared" si="3"/>
        <v>7</v>
      </c>
      <c r="D202" s="22" t="s">
        <v>37</v>
      </c>
      <c r="E202" s="22" t="s">
        <v>213</v>
      </c>
      <c r="F202" s="22" t="s">
        <v>60</v>
      </c>
      <c r="G202" s="22" t="s">
        <v>61</v>
      </c>
      <c r="H202" s="22" t="s">
        <v>101</v>
      </c>
      <c r="I202" s="22" t="s">
        <v>24</v>
      </c>
      <c r="J202" s="22" t="s">
        <v>63</v>
      </c>
      <c r="K202" s="22" t="s">
        <v>26</v>
      </c>
      <c r="L202" s="22">
        <v>5</v>
      </c>
      <c r="M202" s="22">
        <v>15700</v>
      </c>
      <c r="N202" s="22">
        <v>0.1</v>
      </c>
      <c r="O202" s="22">
        <v>70650</v>
      </c>
      <c r="P202" s="22">
        <v>46882.03</v>
      </c>
      <c r="Q202" s="22">
        <v>23767.97</v>
      </c>
      <c r="R202" s="22" t="s">
        <v>58</v>
      </c>
    </row>
    <row r="203" hidden="1" spans="1:18">
      <c r="A203" s="22" t="s">
        <v>336</v>
      </c>
      <c r="B203" s="23">
        <v>43357</v>
      </c>
      <c r="C203" s="24">
        <f t="shared" si="3"/>
        <v>9</v>
      </c>
      <c r="D203" s="22" t="s">
        <v>65</v>
      </c>
      <c r="E203" s="22" t="s">
        <v>30</v>
      </c>
      <c r="F203" s="22" t="s">
        <v>60</v>
      </c>
      <c r="G203" s="22" t="s">
        <v>61</v>
      </c>
      <c r="H203" s="22" t="s">
        <v>188</v>
      </c>
      <c r="I203" s="22" t="s">
        <v>45</v>
      </c>
      <c r="J203" s="22" t="s">
        <v>124</v>
      </c>
      <c r="K203" s="22" t="s">
        <v>26</v>
      </c>
      <c r="L203" s="22">
        <v>1</v>
      </c>
      <c r="M203" s="22">
        <v>900</v>
      </c>
      <c r="N203" s="22">
        <v>0</v>
      </c>
      <c r="O203" s="22">
        <v>900</v>
      </c>
      <c r="P203" s="22">
        <v>607.69</v>
      </c>
      <c r="Q203" s="22">
        <v>292.31</v>
      </c>
      <c r="R203" s="22" t="s">
        <v>58</v>
      </c>
    </row>
    <row r="204" hidden="1" spans="1:18">
      <c r="A204" s="22" t="s">
        <v>337</v>
      </c>
      <c r="B204" s="23">
        <v>44654</v>
      </c>
      <c r="C204" s="24">
        <f t="shared" si="3"/>
        <v>4</v>
      </c>
      <c r="D204" s="22" t="s">
        <v>42</v>
      </c>
      <c r="E204" s="22" t="s">
        <v>213</v>
      </c>
      <c r="F204" s="22" t="s">
        <v>96</v>
      </c>
      <c r="G204" s="22" t="s">
        <v>113</v>
      </c>
      <c r="H204" s="22" t="s">
        <v>119</v>
      </c>
      <c r="I204" s="22" t="s">
        <v>51</v>
      </c>
      <c r="J204" s="22" t="s">
        <v>124</v>
      </c>
      <c r="K204" s="22" t="s">
        <v>53</v>
      </c>
      <c r="L204" s="22">
        <v>9</v>
      </c>
      <c r="M204" s="22">
        <v>100200</v>
      </c>
      <c r="N204" s="22">
        <v>0.1</v>
      </c>
      <c r="O204" s="22">
        <v>811620</v>
      </c>
      <c r="P204" s="22">
        <v>612641.65</v>
      </c>
      <c r="Q204" s="22">
        <v>198978.35</v>
      </c>
      <c r="R204" s="22" t="s">
        <v>58</v>
      </c>
    </row>
    <row r="205" hidden="1" spans="1:18">
      <c r="A205" s="22" t="s">
        <v>338</v>
      </c>
      <c r="B205" s="23">
        <v>43324</v>
      </c>
      <c r="C205" s="24">
        <f t="shared" si="3"/>
        <v>8</v>
      </c>
      <c r="D205" s="22" t="s">
        <v>79</v>
      </c>
      <c r="E205" s="22" t="s">
        <v>213</v>
      </c>
      <c r="F205" s="22" t="s">
        <v>31</v>
      </c>
      <c r="G205" s="22" t="s">
        <v>43</v>
      </c>
      <c r="H205" s="22" t="s">
        <v>44</v>
      </c>
      <c r="I205" s="22" t="s">
        <v>45</v>
      </c>
      <c r="J205" s="22" t="s">
        <v>124</v>
      </c>
      <c r="K205" s="22" t="s">
        <v>26</v>
      </c>
      <c r="L205" s="22">
        <v>2</v>
      </c>
      <c r="M205" s="22">
        <v>20900</v>
      </c>
      <c r="N205" s="22">
        <v>0.15</v>
      </c>
      <c r="O205" s="22">
        <v>35530</v>
      </c>
      <c r="P205" s="22">
        <v>25625.5</v>
      </c>
      <c r="Q205" s="22">
        <v>9904.5</v>
      </c>
      <c r="R205" s="22" t="s">
        <v>77</v>
      </c>
    </row>
    <row r="206" hidden="1" spans="1:18">
      <c r="A206" s="22" t="s">
        <v>339</v>
      </c>
      <c r="B206" s="23">
        <v>45716</v>
      </c>
      <c r="C206" s="24">
        <f t="shared" si="3"/>
        <v>2</v>
      </c>
      <c r="D206" s="22" t="s">
        <v>103</v>
      </c>
      <c r="E206" s="22" t="s">
        <v>213</v>
      </c>
      <c r="F206" s="22" t="s">
        <v>21</v>
      </c>
      <c r="G206" s="22" t="s">
        <v>70</v>
      </c>
      <c r="H206" s="22" t="s">
        <v>71</v>
      </c>
      <c r="I206" s="22" t="s">
        <v>51</v>
      </c>
      <c r="J206" s="22" t="s">
        <v>116</v>
      </c>
      <c r="K206" s="22" t="s">
        <v>47</v>
      </c>
      <c r="L206" s="22">
        <v>7</v>
      </c>
      <c r="M206" s="22">
        <v>31700</v>
      </c>
      <c r="N206" s="22">
        <v>0.1</v>
      </c>
      <c r="O206" s="22">
        <v>199710</v>
      </c>
      <c r="P206" s="22">
        <v>157142.51</v>
      </c>
      <c r="Q206" s="22">
        <v>42567.49</v>
      </c>
      <c r="R206" s="22" t="s">
        <v>77</v>
      </c>
    </row>
    <row r="207" hidden="1" spans="1:18">
      <c r="A207" s="22" t="s">
        <v>340</v>
      </c>
      <c r="B207" s="23">
        <v>45749</v>
      </c>
      <c r="C207" s="24">
        <f t="shared" si="3"/>
        <v>4</v>
      </c>
      <c r="D207" s="22" t="s">
        <v>69</v>
      </c>
      <c r="E207" s="22" t="s">
        <v>213</v>
      </c>
      <c r="F207" s="22" t="s">
        <v>96</v>
      </c>
      <c r="G207" s="22" t="s">
        <v>97</v>
      </c>
      <c r="H207" s="22" t="s">
        <v>289</v>
      </c>
      <c r="I207" s="22" t="s">
        <v>45</v>
      </c>
      <c r="J207" s="22" t="s">
        <v>116</v>
      </c>
      <c r="K207" s="22" t="s">
        <v>47</v>
      </c>
      <c r="L207" s="22">
        <v>10</v>
      </c>
      <c r="M207" s="22">
        <v>30400</v>
      </c>
      <c r="N207" s="22">
        <v>0.1</v>
      </c>
      <c r="O207" s="22">
        <v>273600</v>
      </c>
      <c r="P207" s="22">
        <v>175299.19</v>
      </c>
      <c r="Q207" s="22">
        <v>98300.81</v>
      </c>
      <c r="R207" s="22" t="s">
        <v>35</v>
      </c>
    </row>
    <row r="208" hidden="1" spans="1:18">
      <c r="A208" s="22" t="s">
        <v>341</v>
      </c>
      <c r="B208" s="23">
        <v>43759</v>
      </c>
      <c r="C208" s="24">
        <f t="shared" si="3"/>
        <v>10</v>
      </c>
      <c r="D208" s="22" t="s">
        <v>79</v>
      </c>
      <c r="E208" s="22" t="s">
        <v>213</v>
      </c>
      <c r="F208" s="22" t="s">
        <v>55</v>
      </c>
      <c r="G208" s="22" t="s">
        <v>109</v>
      </c>
      <c r="H208" s="22" t="s">
        <v>185</v>
      </c>
      <c r="I208" s="22" t="s">
        <v>51</v>
      </c>
      <c r="J208" s="22" t="s">
        <v>116</v>
      </c>
      <c r="K208" s="22" t="s">
        <v>47</v>
      </c>
      <c r="L208" s="22">
        <v>2</v>
      </c>
      <c r="M208" s="22">
        <v>20600</v>
      </c>
      <c r="N208" s="22">
        <v>0.05</v>
      </c>
      <c r="O208" s="22">
        <v>39140</v>
      </c>
      <c r="P208" s="22">
        <v>25951.15</v>
      </c>
      <c r="Q208" s="22">
        <v>13188.85</v>
      </c>
      <c r="R208" s="22" t="s">
        <v>77</v>
      </c>
    </row>
    <row r="209" hidden="1" spans="1:18">
      <c r="A209" s="22" t="s">
        <v>342</v>
      </c>
      <c r="B209" s="23">
        <v>45742</v>
      </c>
      <c r="C209" s="24">
        <f t="shared" si="3"/>
        <v>3</v>
      </c>
      <c r="D209" s="22" t="s">
        <v>90</v>
      </c>
      <c r="E209" s="22" t="s">
        <v>213</v>
      </c>
      <c r="F209" s="22" t="s">
        <v>60</v>
      </c>
      <c r="G209" s="22" t="s">
        <v>93</v>
      </c>
      <c r="H209" s="22" t="s">
        <v>181</v>
      </c>
      <c r="I209" s="22" t="s">
        <v>51</v>
      </c>
      <c r="J209" s="22" t="s">
        <v>25</v>
      </c>
      <c r="K209" s="22" t="s">
        <v>26</v>
      </c>
      <c r="L209" s="22">
        <v>8</v>
      </c>
      <c r="M209" s="22">
        <v>29200</v>
      </c>
      <c r="N209" s="22">
        <v>0.05</v>
      </c>
      <c r="O209" s="22">
        <v>221920</v>
      </c>
      <c r="P209" s="22">
        <v>164824.52</v>
      </c>
      <c r="Q209" s="22">
        <v>57095.48</v>
      </c>
      <c r="R209" s="22" t="s">
        <v>27</v>
      </c>
    </row>
    <row r="210" hidden="1" spans="1:18">
      <c r="A210" s="22" t="s">
        <v>343</v>
      </c>
      <c r="B210" s="23">
        <v>43113</v>
      </c>
      <c r="C210" s="24">
        <f t="shared" si="3"/>
        <v>1</v>
      </c>
      <c r="D210" s="22" t="s">
        <v>133</v>
      </c>
      <c r="E210" s="22" t="s">
        <v>213</v>
      </c>
      <c r="F210" s="22" t="s">
        <v>21</v>
      </c>
      <c r="G210" s="22" t="s">
        <v>22</v>
      </c>
      <c r="H210" s="22" t="s">
        <v>215</v>
      </c>
      <c r="I210" s="22" t="s">
        <v>45</v>
      </c>
      <c r="J210" s="22" t="s">
        <v>73</v>
      </c>
      <c r="K210" s="22" t="s">
        <v>53</v>
      </c>
      <c r="L210" s="22">
        <v>1</v>
      </c>
      <c r="M210" s="22">
        <v>16000</v>
      </c>
      <c r="N210" s="22">
        <v>0</v>
      </c>
      <c r="O210" s="22">
        <v>16000</v>
      </c>
      <c r="P210" s="22">
        <v>11200.2</v>
      </c>
      <c r="Q210" s="22">
        <v>4799.8</v>
      </c>
      <c r="R210" s="22" t="s">
        <v>48</v>
      </c>
    </row>
    <row r="211" hidden="1" spans="1:18">
      <c r="A211" s="22" t="s">
        <v>344</v>
      </c>
      <c r="B211" s="23">
        <v>45689</v>
      </c>
      <c r="C211" s="24">
        <f t="shared" si="3"/>
        <v>2</v>
      </c>
      <c r="D211" s="22" t="s">
        <v>79</v>
      </c>
      <c r="E211" s="22" t="s">
        <v>213</v>
      </c>
      <c r="F211" s="22" t="s">
        <v>21</v>
      </c>
      <c r="G211" s="22" t="s">
        <v>167</v>
      </c>
      <c r="H211" s="22" t="s">
        <v>254</v>
      </c>
      <c r="I211" s="22" t="s">
        <v>24</v>
      </c>
      <c r="J211" s="22" t="s">
        <v>170</v>
      </c>
      <c r="K211" s="22" t="s">
        <v>53</v>
      </c>
      <c r="L211" s="22">
        <v>1</v>
      </c>
      <c r="M211" s="22">
        <v>40100</v>
      </c>
      <c r="N211" s="22">
        <v>0.2</v>
      </c>
      <c r="O211" s="22">
        <v>32080</v>
      </c>
      <c r="P211" s="22">
        <v>24603.51</v>
      </c>
      <c r="Q211" s="22">
        <v>7476.49</v>
      </c>
      <c r="R211" s="22" t="s">
        <v>35</v>
      </c>
    </row>
    <row r="212" hidden="1" spans="1:18">
      <c r="A212" s="22" t="s">
        <v>345</v>
      </c>
      <c r="B212" s="23">
        <v>43748</v>
      </c>
      <c r="C212" s="24">
        <f t="shared" si="3"/>
        <v>10</v>
      </c>
      <c r="D212" s="22" t="s">
        <v>65</v>
      </c>
      <c r="E212" s="22" t="s">
        <v>30</v>
      </c>
      <c r="F212" s="22" t="s">
        <v>21</v>
      </c>
      <c r="G212" s="22" t="s">
        <v>122</v>
      </c>
      <c r="H212" s="22" t="s">
        <v>156</v>
      </c>
      <c r="I212" s="22" t="s">
        <v>51</v>
      </c>
      <c r="J212" s="22" t="s">
        <v>73</v>
      </c>
      <c r="K212" s="22" t="s">
        <v>26</v>
      </c>
      <c r="L212" s="22">
        <v>3</v>
      </c>
      <c r="M212" s="22">
        <v>1800</v>
      </c>
      <c r="N212" s="22">
        <v>0.1</v>
      </c>
      <c r="O212" s="22">
        <v>4860</v>
      </c>
      <c r="P212" s="22">
        <v>3965.06</v>
      </c>
      <c r="Q212" s="22">
        <v>894.94</v>
      </c>
      <c r="R212" s="22" t="s">
        <v>27</v>
      </c>
    </row>
    <row r="213" hidden="1" spans="1:18">
      <c r="A213" s="22" t="s">
        <v>346</v>
      </c>
      <c r="B213" s="23">
        <v>43132</v>
      </c>
      <c r="C213" s="24">
        <f t="shared" si="3"/>
        <v>2</v>
      </c>
      <c r="D213" s="22" t="s">
        <v>19</v>
      </c>
      <c r="E213" s="22" t="s">
        <v>20</v>
      </c>
      <c r="F213" s="22" t="s">
        <v>31</v>
      </c>
      <c r="G213" s="22" t="s">
        <v>43</v>
      </c>
      <c r="H213" s="22" t="s">
        <v>258</v>
      </c>
      <c r="I213" s="22" t="s">
        <v>24</v>
      </c>
      <c r="J213" s="22" t="s">
        <v>116</v>
      </c>
      <c r="K213" s="22" t="s">
        <v>53</v>
      </c>
      <c r="L213" s="22">
        <v>9</v>
      </c>
      <c r="M213" s="22">
        <v>16400</v>
      </c>
      <c r="N213" s="22">
        <v>0.15</v>
      </c>
      <c r="O213" s="22">
        <v>125460</v>
      </c>
      <c r="P213" s="22">
        <v>90461.47</v>
      </c>
      <c r="Q213" s="22">
        <v>34998.53</v>
      </c>
      <c r="R213" s="22" t="s">
        <v>48</v>
      </c>
    </row>
    <row r="214" hidden="1" spans="1:18">
      <c r="A214" s="22" t="s">
        <v>347</v>
      </c>
      <c r="B214" s="23">
        <v>44637</v>
      </c>
      <c r="C214" s="24">
        <f t="shared" si="3"/>
        <v>3</v>
      </c>
      <c r="D214" s="22" t="s">
        <v>90</v>
      </c>
      <c r="E214" s="22" t="s">
        <v>213</v>
      </c>
      <c r="F214" s="22" t="s">
        <v>31</v>
      </c>
      <c r="G214" s="22" t="s">
        <v>32</v>
      </c>
      <c r="H214" s="22" t="s">
        <v>33</v>
      </c>
      <c r="I214" s="22" t="s">
        <v>51</v>
      </c>
      <c r="J214" s="22" t="s">
        <v>40</v>
      </c>
      <c r="K214" s="22" t="s">
        <v>26</v>
      </c>
      <c r="L214" s="22">
        <v>8</v>
      </c>
      <c r="M214" s="22">
        <v>14900</v>
      </c>
      <c r="N214" s="22">
        <v>0.1</v>
      </c>
      <c r="O214" s="22">
        <v>107280</v>
      </c>
      <c r="P214" s="22">
        <v>76429.07</v>
      </c>
      <c r="Q214" s="22">
        <v>30850.93</v>
      </c>
      <c r="R214" s="22" t="s">
        <v>35</v>
      </c>
    </row>
    <row r="215" hidden="1" spans="1:18">
      <c r="A215" s="22" t="s">
        <v>348</v>
      </c>
      <c r="B215" s="23">
        <v>43272</v>
      </c>
      <c r="C215" s="24">
        <f t="shared" si="3"/>
        <v>6</v>
      </c>
      <c r="D215" s="22" t="s">
        <v>65</v>
      </c>
      <c r="E215" s="22" t="s">
        <v>30</v>
      </c>
      <c r="F215" s="22" t="s">
        <v>60</v>
      </c>
      <c r="G215" s="22" t="s">
        <v>61</v>
      </c>
      <c r="H215" s="22" t="s">
        <v>62</v>
      </c>
      <c r="I215" s="22" t="s">
        <v>45</v>
      </c>
      <c r="J215" s="22" t="s">
        <v>116</v>
      </c>
      <c r="K215" s="22" t="s">
        <v>26</v>
      </c>
      <c r="L215" s="22">
        <v>3</v>
      </c>
      <c r="M215" s="22">
        <v>600</v>
      </c>
      <c r="N215" s="22">
        <v>0.1</v>
      </c>
      <c r="O215" s="22">
        <v>1620</v>
      </c>
      <c r="P215" s="22">
        <v>1042.3</v>
      </c>
      <c r="Q215" s="22">
        <v>577.7</v>
      </c>
      <c r="R215" s="22" t="s">
        <v>58</v>
      </c>
    </row>
    <row r="216" hidden="1" spans="1:18">
      <c r="A216" s="22" t="s">
        <v>349</v>
      </c>
      <c r="B216" s="23">
        <v>44009</v>
      </c>
      <c r="C216" s="24">
        <f t="shared" si="3"/>
        <v>6</v>
      </c>
      <c r="D216" s="22" t="s">
        <v>79</v>
      </c>
      <c r="E216" s="22" t="s">
        <v>213</v>
      </c>
      <c r="F216" s="22" t="s">
        <v>21</v>
      </c>
      <c r="G216" s="22" t="s">
        <v>22</v>
      </c>
      <c r="H216" s="22" t="s">
        <v>215</v>
      </c>
      <c r="I216" s="22" t="s">
        <v>24</v>
      </c>
      <c r="J216" s="22" t="s">
        <v>73</v>
      </c>
      <c r="K216" s="22" t="s">
        <v>47</v>
      </c>
      <c r="L216" s="22">
        <v>9</v>
      </c>
      <c r="M216" s="22">
        <v>27900</v>
      </c>
      <c r="N216" s="22">
        <v>0.05</v>
      </c>
      <c r="O216" s="22">
        <v>238545</v>
      </c>
      <c r="P216" s="22">
        <v>151493.06</v>
      </c>
      <c r="Q216" s="22">
        <v>87051.94</v>
      </c>
      <c r="R216" s="22" t="s">
        <v>77</v>
      </c>
    </row>
    <row r="217" hidden="1" spans="1:18">
      <c r="A217" s="22" t="s">
        <v>350</v>
      </c>
      <c r="B217" s="23">
        <v>43993</v>
      </c>
      <c r="C217" s="24">
        <f t="shared" si="3"/>
        <v>6</v>
      </c>
      <c r="D217" s="22" t="s">
        <v>75</v>
      </c>
      <c r="E217" s="22" t="s">
        <v>213</v>
      </c>
      <c r="F217" s="22" t="s">
        <v>60</v>
      </c>
      <c r="G217" s="22" t="s">
        <v>93</v>
      </c>
      <c r="H217" s="22" t="s">
        <v>101</v>
      </c>
      <c r="I217" s="22" t="s">
        <v>51</v>
      </c>
      <c r="J217" s="22" t="s">
        <v>34</v>
      </c>
      <c r="K217" s="22" t="s">
        <v>26</v>
      </c>
      <c r="L217" s="22">
        <v>3</v>
      </c>
      <c r="M217" s="22">
        <v>3800</v>
      </c>
      <c r="N217" s="22">
        <v>0.15</v>
      </c>
      <c r="O217" s="22">
        <v>9690</v>
      </c>
      <c r="P217" s="22">
        <v>7395.11</v>
      </c>
      <c r="Q217" s="22">
        <v>2294.89</v>
      </c>
      <c r="R217" s="22" t="s">
        <v>48</v>
      </c>
    </row>
    <row r="218" hidden="1" spans="1:18">
      <c r="A218" s="22" t="s">
        <v>351</v>
      </c>
      <c r="B218" s="23">
        <v>45748</v>
      </c>
      <c r="C218" s="24">
        <f t="shared" si="3"/>
        <v>4</v>
      </c>
      <c r="D218" s="22" t="s">
        <v>69</v>
      </c>
      <c r="E218" s="22" t="s">
        <v>213</v>
      </c>
      <c r="F218" s="22" t="s">
        <v>55</v>
      </c>
      <c r="G218" s="22" t="s">
        <v>56</v>
      </c>
      <c r="H218" s="22" t="s">
        <v>57</v>
      </c>
      <c r="I218" s="22" t="s">
        <v>24</v>
      </c>
      <c r="J218" s="22" t="s">
        <v>40</v>
      </c>
      <c r="K218" s="22" t="s">
        <v>53</v>
      </c>
      <c r="L218" s="22">
        <v>3</v>
      </c>
      <c r="M218" s="22">
        <v>19700</v>
      </c>
      <c r="N218" s="22">
        <v>0.15</v>
      </c>
      <c r="O218" s="22">
        <v>50235</v>
      </c>
      <c r="P218" s="22">
        <v>36440.24</v>
      </c>
      <c r="Q218" s="22">
        <v>13794.76</v>
      </c>
      <c r="R218" s="22" t="s">
        <v>35</v>
      </c>
    </row>
    <row r="219" hidden="1" spans="1:18">
      <c r="A219" s="22" t="s">
        <v>352</v>
      </c>
      <c r="B219" s="23">
        <v>44301</v>
      </c>
      <c r="C219" s="24">
        <f t="shared" si="3"/>
        <v>4</v>
      </c>
      <c r="D219" s="22" t="s">
        <v>90</v>
      </c>
      <c r="E219" s="22" t="s">
        <v>213</v>
      </c>
      <c r="F219" s="22" t="s">
        <v>60</v>
      </c>
      <c r="G219" s="22" t="s">
        <v>93</v>
      </c>
      <c r="H219" s="22" t="s">
        <v>94</v>
      </c>
      <c r="I219" s="22" t="s">
        <v>24</v>
      </c>
      <c r="J219" s="22" t="s">
        <v>25</v>
      </c>
      <c r="K219" s="22" t="s">
        <v>53</v>
      </c>
      <c r="L219" s="22">
        <v>3</v>
      </c>
      <c r="M219" s="22">
        <v>39300</v>
      </c>
      <c r="N219" s="22">
        <v>0.1</v>
      </c>
      <c r="O219" s="22">
        <v>106110</v>
      </c>
      <c r="P219" s="22">
        <v>85384.74</v>
      </c>
      <c r="Q219" s="22">
        <v>20725.26</v>
      </c>
      <c r="R219" s="22" t="s">
        <v>58</v>
      </c>
    </row>
    <row r="220" hidden="1" spans="1:18">
      <c r="A220" s="22" t="s">
        <v>353</v>
      </c>
      <c r="B220" s="23">
        <v>43818</v>
      </c>
      <c r="C220" s="24">
        <f t="shared" si="3"/>
        <v>12</v>
      </c>
      <c r="D220" s="22" t="s">
        <v>65</v>
      </c>
      <c r="E220" s="22" t="s">
        <v>30</v>
      </c>
      <c r="F220" s="22" t="s">
        <v>60</v>
      </c>
      <c r="G220" s="22" t="s">
        <v>86</v>
      </c>
      <c r="H220" s="22" t="s">
        <v>106</v>
      </c>
      <c r="I220" s="22" t="s">
        <v>24</v>
      </c>
      <c r="J220" s="22" t="s">
        <v>40</v>
      </c>
      <c r="K220" s="22" t="s">
        <v>47</v>
      </c>
      <c r="L220" s="22">
        <v>4</v>
      </c>
      <c r="M220" s="22">
        <v>800</v>
      </c>
      <c r="N220" s="22">
        <v>0.1</v>
      </c>
      <c r="O220" s="22">
        <v>2880</v>
      </c>
      <c r="P220" s="22">
        <v>2128.19</v>
      </c>
      <c r="Q220" s="22">
        <v>751.81</v>
      </c>
      <c r="R220" s="22" t="s">
        <v>77</v>
      </c>
    </row>
    <row r="221" hidden="1" spans="1:18">
      <c r="A221" s="22" t="s">
        <v>354</v>
      </c>
      <c r="B221" s="23">
        <v>45746</v>
      </c>
      <c r="C221" s="24">
        <f t="shared" si="3"/>
        <v>3</v>
      </c>
      <c r="D221" s="22" t="s">
        <v>19</v>
      </c>
      <c r="E221" s="22" t="s">
        <v>20</v>
      </c>
      <c r="F221" s="22" t="s">
        <v>96</v>
      </c>
      <c r="G221" s="22" t="s">
        <v>97</v>
      </c>
      <c r="H221" s="22" t="s">
        <v>147</v>
      </c>
      <c r="I221" s="22" t="s">
        <v>24</v>
      </c>
      <c r="J221" s="22" t="s">
        <v>124</v>
      </c>
      <c r="K221" s="22" t="s">
        <v>47</v>
      </c>
      <c r="L221" s="22">
        <v>9</v>
      </c>
      <c r="M221" s="22">
        <v>7100</v>
      </c>
      <c r="N221" s="22">
        <v>0.2</v>
      </c>
      <c r="O221" s="22">
        <v>51120</v>
      </c>
      <c r="P221" s="22">
        <v>41279.3</v>
      </c>
      <c r="Q221" s="22">
        <v>9840.7</v>
      </c>
      <c r="R221" s="22" t="s">
        <v>27</v>
      </c>
    </row>
    <row r="222" hidden="1" spans="1:18">
      <c r="A222" s="22" t="s">
        <v>355</v>
      </c>
      <c r="B222" s="23">
        <v>45719</v>
      </c>
      <c r="C222" s="24">
        <f t="shared" si="3"/>
        <v>3</v>
      </c>
      <c r="D222" s="22" t="s">
        <v>103</v>
      </c>
      <c r="E222" s="22" t="s">
        <v>20</v>
      </c>
      <c r="F222" s="22" t="s">
        <v>55</v>
      </c>
      <c r="G222" s="22" t="s">
        <v>109</v>
      </c>
      <c r="H222" s="22" t="s">
        <v>110</v>
      </c>
      <c r="I222" s="22" t="s">
        <v>24</v>
      </c>
      <c r="J222" s="22" t="s">
        <v>25</v>
      </c>
      <c r="K222" s="22" t="s">
        <v>47</v>
      </c>
      <c r="L222" s="22">
        <v>2</v>
      </c>
      <c r="M222" s="22">
        <v>18600</v>
      </c>
      <c r="N222" s="22">
        <v>0.1</v>
      </c>
      <c r="O222" s="22">
        <v>33480</v>
      </c>
      <c r="P222" s="22">
        <v>22615.99</v>
      </c>
      <c r="Q222" s="22">
        <v>10864.01</v>
      </c>
      <c r="R222" s="22" t="s">
        <v>27</v>
      </c>
    </row>
    <row r="223" hidden="1" spans="1:18">
      <c r="A223" s="22" t="s">
        <v>356</v>
      </c>
      <c r="B223" s="23">
        <v>43684</v>
      </c>
      <c r="C223" s="24">
        <f t="shared" si="3"/>
        <v>8</v>
      </c>
      <c r="D223" s="22" t="s">
        <v>133</v>
      </c>
      <c r="E223" s="22" t="s">
        <v>213</v>
      </c>
      <c r="F223" s="22" t="s">
        <v>55</v>
      </c>
      <c r="G223" s="22" t="s">
        <v>109</v>
      </c>
      <c r="H223" s="22" t="s">
        <v>185</v>
      </c>
      <c r="I223" s="22" t="s">
        <v>45</v>
      </c>
      <c r="J223" s="22" t="s">
        <v>116</v>
      </c>
      <c r="K223" s="22" t="s">
        <v>53</v>
      </c>
      <c r="L223" s="22">
        <v>2</v>
      </c>
      <c r="M223" s="22">
        <v>22300</v>
      </c>
      <c r="N223" s="22">
        <v>0.1</v>
      </c>
      <c r="O223" s="22">
        <v>40140</v>
      </c>
      <c r="P223" s="22">
        <v>29456.27</v>
      </c>
      <c r="Q223" s="22">
        <v>10683.73</v>
      </c>
      <c r="R223" s="22" t="s">
        <v>77</v>
      </c>
    </row>
    <row r="224" hidden="1" spans="1:18">
      <c r="A224" s="22" t="s">
        <v>357</v>
      </c>
      <c r="B224" s="23">
        <v>44088</v>
      </c>
      <c r="C224" s="24">
        <f t="shared" si="3"/>
        <v>9</v>
      </c>
      <c r="D224" s="22" t="s">
        <v>29</v>
      </c>
      <c r="E224" s="22" t="s">
        <v>30</v>
      </c>
      <c r="F224" s="22" t="s">
        <v>60</v>
      </c>
      <c r="G224" s="22" t="s">
        <v>93</v>
      </c>
      <c r="H224" s="22" t="s">
        <v>94</v>
      </c>
      <c r="I224" s="22" t="s">
        <v>24</v>
      </c>
      <c r="J224" s="22" t="s">
        <v>63</v>
      </c>
      <c r="K224" s="22" t="s">
        <v>26</v>
      </c>
      <c r="L224" s="22">
        <v>4</v>
      </c>
      <c r="M224" s="22">
        <v>5900</v>
      </c>
      <c r="N224" s="22">
        <v>0.1</v>
      </c>
      <c r="O224" s="22">
        <v>21240</v>
      </c>
      <c r="P224" s="22">
        <v>16118.77</v>
      </c>
      <c r="Q224" s="22">
        <v>5121.23</v>
      </c>
      <c r="R224" s="22" t="s">
        <v>77</v>
      </c>
    </row>
    <row r="225" hidden="1" spans="1:18">
      <c r="A225" s="22" t="s">
        <v>358</v>
      </c>
      <c r="B225" s="23">
        <v>45685</v>
      </c>
      <c r="C225" s="24">
        <f t="shared" si="3"/>
        <v>1</v>
      </c>
      <c r="D225" s="22" t="s">
        <v>69</v>
      </c>
      <c r="E225" s="22" t="s">
        <v>213</v>
      </c>
      <c r="F225" s="22" t="s">
        <v>55</v>
      </c>
      <c r="G225" s="22" t="s">
        <v>56</v>
      </c>
      <c r="H225" s="22" t="s">
        <v>76</v>
      </c>
      <c r="I225" s="22" t="s">
        <v>24</v>
      </c>
      <c r="J225" s="22" t="s">
        <v>88</v>
      </c>
      <c r="K225" s="22" t="s">
        <v>26</v>
      </c>
      <c r="L225" s="22">
        <v>6</v>
      </c>
      <c r="M225" s="22">
        <v>30800</v>
      </c>
      <c r="N225" s="22">
        <v>0</v>
      </c>
      <c r="O225" s="22">
        <v>184800</v>
      </c>
      <c r="P225" s="22">
        <v>133802.11</v>
      </c>
      <c r="Q225" s="22">
        <v>50997.89</v>
      </c>
      <c r="R225" s="22" t="s">
        <v>58</v>
      </c>
    </row>
    <row r="226" hidden="1" spans="1:18">
      <c r="A226" s="22" t="s">
        <v>359</v>
      </c>
      <c r="B226" s="23">
        <v>43714</v>
      </c>
      <c r="C226" s="24">
        <f t="shared" si="3"/>
        <v>9</v>
      </c>
      <c r="D226" s="22" t="s">
        <v>37</v>
      </c>
      <c r="E226" s="22" t="s">
        <v>213</v>
      </c>
      <c r="F226" s="22" t="s">
        <v>55</v>
      </c>
      <c r="G226" s="22" t="s">
        <v>80</v>
      </c>
      <c r="H226" s="22" t="s">
        <v>81</v>
      </c>
      <c r="I226" s="22" t="s">
        <v>24</v>
      </c>
      <c r="J226" s="22" t="s">
        <v>88</v>
      </c>
      <c r="K226" s="22" t="s">
        <v>26</v>
      </c>
      <c r="L226" s="22">
        <v>8</v>
      </c>
      <c r="M226" s="22">
        <v>15200</v>
      </c>
      <c r="N226" s="22">
        <v>0.05</v>
      </c>
      <c r="O226" s="22">
        <v>115520</v>
      </c>
      <c r="P226" s="22">
        <v>83070.71</v>
      </c>
      <c r="Q226" s="22">
        <v>32449.29</v>
      </c>
      <c r="R226" s="22" t="s">
        <v>48</v>
      </c>
    </row>
    <row r="227" hidden="1" spans="1:18">
      <c r="A227" s="22" t="s">
        <v>360</v>
      </c>
      <c r="B227" s="23">
        <v>43786</v>
      </c>
      <c r="C227" s="24">
        <f t="shared" si="3"/>
        <v>11</v>
      </c>
      <c r="D227" s="22" t="s">
        <v>85</v>
      </c>
      <c r="E227" s="22" t="s">
        <v>30</v>
      </c>
      <c r="F227" s="22" t="s">
        <v>60</v>
      </c>
      <c r="G227" s="22" t="s">
        <v>61</v>
      </c>
      <c r="H227" s="22" t="s">
        <v>188</v>
      </c>
      <c r="I227" s="22" t="s">
        <v>24</v>
      </c>
      <c r="J227" s="22" t="s">
        <v>52</v>
      </c>
      <c r="K227" s="22" t="s">
        <v>26</v>
      </c>
      <c r="L227" s="22">
        <v>6</v>
      </c>
      <c r="M227" s="22">
        <v>4400</v>
      </c>
      <c r="N227" s="22">
        <v>0</v>
      </c>
      <c r="O227" s="22">
        <v>26400</v>
      </c>
      <c r="P227" s="22">
        <v>21207.91</v>
      </c>
      <c r="Q227" s="22">
        <v>5192.09</v>
      </c>
      <c r="R227" s="22" t="s">
        <v>27</v>
      </c>
    </row>
    <row r="228" hidden="1" spans="1:18">
      <c r="A228" s="22" t="s">
        <v>361</v>
      </c>
      <c r="B228" s="23">
        <v>43807</v>
      </c>
      <c r="C228" s="24">
        <f t="shared" si="3"/>
        <v>12</v>
      </c>
      <c r="D228" s="22" t="s">
        <v>85</v>
      </c>
      <c r="E228" s="22" t="s">
        <v>30</v>
      </c>
      <c r="F228" s="22" t="s">
        <v>31</v>
      </c>
      <c r="G228" s="22" t="s">
        <v>66</v>
      </c>
      <c r="H228" s="22" t="s">
        <v>67</v>
      </c>
      <c r="I228" s="22" t="s">
        <v>24</v>
      </c>
      <c r="J228" s="22" t="s">
        <v>63</v>
      </c>
      <c r="K228" s="22" t="s">
        <v>26</v>
      </c>
      <c r="L228" s="22">
        <v>9</v>
      </c>
      <c r="M228" s="22">
        <v>2500</v>
      </c>
      <c r="N228" s="22">
        <v>0</v>
      </c>
      <c r="O228" s="22">
        <v>22500</v>
      </c>
      <c r="P228" s="22">
        <v>17004.48</v>
      </c>
      <c r="Q228" s="22">
        <v>5495.52</v>
      </c>
      <c r="R228" s="22" t="s">
        <v>58</v>
      </c>
    </row>
    <row r="229" hidden="1" spans="1:18">
      <c r="A229" s="22" t="s">
        <v>362</v>
      </c>
      <c r="B229" s="23">
        <v>46063</v>
      </c>
      <c r="C229" s="24">
        <f t="shared" si="3"/>
        <v>2</v>
      </c>
      <c r="D229" s="22" t="s">
        <v>85</v>
      </c>
      <c r="E229" s="22" t="s">
        <v>30</v>
      </c>
      <c r="F229" s="22" t="s">
        <v>21</v>
      </c>
      <c r="G229" s="22" t="s">
        <v>167</v>
      </c>
      <c r="H229" s="22" t="s">
        <v>254</v>
      </c>
      <c r="I229" s="22" t="s">
        <v>24</v>
      </c>
      <c r="J229" s="22" t="s">
        <v>73</v>
      </c>
      <c r="K229" s="22" t="s">
        <v>47</v>
      </c>
      <c r="L229" s="22">
        <v>1</v>
      </c>
      <c r="M229" s="22">
        <v>2400</v>
      </c>
      <c r="N229" s="22">
        <v>0.1</v>
      </c>
      <c r="O229" s="22">
        <v>2160</v>
      </c>
      <c r="P229" s="22">
        <v>1758.45</v>
      </c>
      <c r="Q229" s="22">
        <v>401.55</v>
      </c>
      <c r="R229" s="22" t="s">
        <v>77</v>
      </c>
    </row>
    <row r="230" hidden="1" spans="1:18">
      <c r="A230" s="22" t="s">
        <v>363</v>
      </c>
      <c r="B230" s="23">
        <v>43795</v>
      </c>
      <c r="C230" s="24">
        <f t="shared" si="3"/>
        <v>11</v>
      </c>
      <c r="D230" s="22" t="s">
        <v>90</v>
      </c>
      <c r="E230" s="22" t="s">
        <v>213</v>
      </c>
      <c r="F230" s="22" t="s">
        <v>31</v>
      </c>
      <c r="G230" s="22" t="s">
        <v>66</v>
      </c>
      <c r="H230" s="22" t="s">
        <v>67</v>
      </c>
      <c r="I230" s="22" t="s">
        <v>24</v>
      </c>
      <c r="J230" s="22" t="s">
        <v>25</v>
      </c>
      <c r="K230" s="22" t="s">
        <v>47</v>
      </c>
      <c r="L230" s="22">
        <v>5</v>
      </c>
      <c r="M230" s="22">
        <v>12100</v>
      </c>
      <c r="N230" s="22">
        <v>0.1</v>
      </c>
      <c r="O230" s="22">
        <v>54450</v>
      </c>
      <c r="P230" s="22">
        <v>34371.55</v>
      </c>
      <c r="Q230" s="22">
        <v>20078.45</v>
      </c>
      <c r="R230" s="22" t="s">
        <v>77</v>
      </c>
    </row>
    <row r="231" hidden="1" spans="1:18">
      <c r="A231" s="22" t="s">
        <v>364</v>
      </c>
      <c r="B231" s="23">
        <v>43349</v>
      </c>
      <c r="C231" s="24">
        <f t="shared" si="3"/>
        <v>9</v>
      </c>
      <c r="D231" s="22" t="s">
        <v>90</v>
      </c>
      <c r="E231" s="22" t="s">
        <v>213</v>
      </c>
      <c r="F231" s="22" t="s">
        <v>55</v>
      </c>
      <c r="G231" s="22" t="s">
        <v>80</v>
      </c>
      <c r="H231" s="22" t="s">
        <v>160</v>
      </c>
      <c r="I231" s="22" t="s">
        <v>24</v>
      </c>
      <c r="J231" s="22" t="s">
        <v>88</v>
      </c>
      <c r="K231" s="22" t="s">
        <v>53</v>
      </c>
      <c r="L231" s="22">
        <v>4</v>
      </c>
      <c r="M231" s="22">
        <v>24200</v>
      </c>
      <c r="N231" s="22">
        <v>0</v>
      </c>
      <c r="O231" s="22">
        <v>96800</v>
      </c>
      <c r="P231" s="22">
        <v>68937.91</v>
      </c>
      <c r="Q231" s="22">
        <v>27862.09</v>
      </c>
      <c r="R231" s="22" t="s">
        <v>48</v>
      </c>
    </row>
    <row r="232" hidden="1" spans="1:18">
      <c r="A232" s="22" t="s">
        <v>365</v>
      </c>
      <c r="B232" s="23">
        <v>43996</v>
      </c>
      <c r="C232" s="24">
        <f t="shared" si="3"/>
        <v>6</v>
      </c>
      <c r="D232" s="22" t="s">
        <v>75</v>
      </c>
      <c r="E232" s="22" t="s">
        <v>30</v>
      </c>
      <c r="F232" s="22" t="s">
        <v>31</v>
      </c>
      <c r="G232" s="22" t="s">
        <v>66</v>
      </c>
      <c r="H232" s="22" t="s">
        <v>316</v>
      </c>
      <c r="I232" s="22" t="s">
        <v>51</v>
      </c>
      <c r="J232" s="22" t="s">
        <v>170</v>
      </c>
      <c r="K232" s="22" t="s">
        <v>26</v>
      </c>
      <c r="L232" s="22">
        <v>9</v>
      </c>
      <c r="M232" s="22">
        <v>8100</v>
      </c>
      <c r="N232" s="22">
        <v>0.15</v>
      </c>
      <c r="O232" s="22">
        <v>61965</v>
      </c>
      <c r="P232" s="22">
        <v>46579.85</v>
      </c>
      <c r="Q232" s="22">
        <v>15385.15</v>
      </c>
      <c r="R232" s="22" t="s">
        <v>58</v>
      </c>
    </row>
    <row r="233" hidden="1" spans="1:18">
      <c r="A233" s="22" t="s">
        <v>366</v>
      </c>
      <c r="B233" s="23">
        <v>46062</v>
      </c>
      <c r="C233" s="24">
        <f t="shared" si="3"/>
        <v>2</v>
      </c>
      <c r="D233" s="22" t="s">
        <v>133</v>
      </c>
      <c r="E233" s="22" t="s">
        <v>213</v>
      </c>
      <c r="F233" s="22" t="s">
        <v>55</v>
      </c>
      <c r="G233" s="22" t="s">
        <v>80</v>
      </c>
      <c r="H233" s="22" t="s">
        <v>134</v>
      </c>
      <c r="I233" s="22" t="s">
        <v>51</v>
      </c>
      <c r="J233" s="22" t="s">
        <v>88</v>
      </c>
      <c r="K233" s="22" t="s">
        <v>47</v>
      </c>
      <c r="L233" s="22">
        <v>5</v>
      </c>
      <c r="M233" s="22">
        <v>22800</v>
      </c>
      <c r="N233" s="22">
        <v>0</v>
      </c>
      <c r="O233" s="22">
        <v>114000</v>
      </c>
      <c r="P233" s="22">
        <v>84071.9</v>
      </c>
      <c r="Q233" s="22">
        <v>29928.1</v>
      </c>
      <c r="R233" s="22" t="s">
        <v>77</v>
      </c>
    </row>
    <row r="234" hidden="1" spans="1:18">
      <c r="A234" s="22" t="s">
        <v>367</v>
      </c>
      <c r="B234" s="23">
        <v>43779</v>
      </c>
      <c r="C234" s="24">
        <f t="shared" si="3"/>
        <v>11</v>
      </c>
      <c r="D234" s="22" t="s">
        <v>85</v>
      </c>
      <c r="E234" s="22" t="s">
        <v>30</v>
      </c>
      <c r="F234" s="22" t="s">
        <v>96</v>
      </c>
      <c r="G234" s="22" t="s">
        <v>97</v>
      </c>
      <c r="H234" s="22" t="s">
        <v>289</v>
      </c>
      <c r="I234" s="22" t="s">
        <v>45</v>
      </c>
      <c r="J234" s="22" t="s">
        <v>116</v>
      </c>
      <c r="K234" s="22" t="s">
        <v>47</v>
      </c>
      <c r="L234" s="22">
        <v>5</v>
      </c>
      <c r="M234" s="22">
        <v>1300</v>
      </c>
      <c r="N234" s="22">
        <v>0.1</v>
      </c>
      <c r="O234" s="22">
        <v>5850</v>
      </c>
      <c r="P234" s="22">
        <v>4068.66</v>
      </c>
      <c r="Q234" s="22">
        <v>1781.34</v>
      </c>
      <c r="R234" s="22" t="s">
        <v>77</v>
      </c>
    </row>
    <row r="235" hidden="1" spans="1:18">
      <c r="A235" s="22" t="s">
        <v>368</v>
      </c>
      <c r="B235" s="23">
        <v>43158</v>
      </c>
      <c r="C235" s="24">
        <f t="shared" si="3"/>
        <v>2</v>
      </c>
      <c r="D235" s="22" t="s">
        <v>29</v>
      </c>
      <c r="E235" s="22" t="s">
        <v>30</v>
      </c>
      <c r="F235" s="22" t="s">
        <v>31</v>
      </c>
      <c r="G235" s="22" t="s">
        <v>32</v>
      </c>
      <c r="H235" s="22" t="s">
        <v>226</v>
      </c>
      <c r="I235" s="22" t="s">
        <v>51</v>
      </c>
      <c r="J235" s="22" t="s">
        <v>63</v>
      </c>
      <c r="K235" s="22" t="s">
        <v>26</v>
      </c>
      <c r="L235" s="22">
        <v>7</v>
      </c>
      <c r="M235" s="22">
        <v>7000</v>
      </c>
      <c r="N235" s="22">
        <v>0.15</v>
      </c>
      <c r="O235" s="22">
        <v>41650</v>
      </c>
      <c r="P235" s="22">
        <v>31231.79</v>
      </c>
      <c r="Q235" s="22">
        <v>10418.21</v>
      </c>
      <c r="R235" s="22" t="s">
        <v>77</v>
      </c>
    </row>
    <row r="236" hidden="1" spans="1:18">
      <c r="A236" s="22" t="s">
        <v>369</v>
      </c>
      <c r="B236" s="23">
        <v>44084</v>
      </c>
      <c r="C236" s="24">
        <f t="shared" si="3"/>
        <v>9</v>
      </c>
      <c r="D236" s="22" t="s">
        <v>133</v>
      </c>
      <c r="E236" s="22" t="s">
        <v>213</v>
      </c>
      <c r="F236" s="22" t="s">
        <v>21</v>
      </c>
      <c r="G236" s="22" t="s">
        <v>22</v>
      </c>
      <c r="H236" s="22" t="s">
        <v>215</v>
      </c>
      <c r="I236" s="22" t="s">
        <v>51</v>
      </c>
      <c r="J236" s="22" t="s">
        <v>116</v>
      </c>
      <c r="K236" s="22" t="s">
        <v>47</v>
      </c>
      <c r="L236" s="22">
        <v>9</v>
      </c>
      <c r="M236" s="22">
        <v>3100</v>
      </c>
      <c r="N236" s="22">
        <v>0.05</v>
      </c>
      <c r="O236" s="22">
        <v>26505</v>
      </c>
      <c r="P236" s="22">
        <v>19499.17</v>
      </c>
      <c r="Q236" s="22">
        <v>7005.83</v>
      </c>
      <c r="R236" s="22" t="s">
        <v>77</v>
      </c>
    </row>
    <row r="237" hidden="1" spans="1:18">
      <c r="A237" s="22" t="s">
        <v>370</v>
      </c>
      <c r="B237" s="23">
        <v>45713</v>
      </c>
      <c r="C237" s="24">
        <f t="shared" si="3"/>
        <v>2</v>
      </c>
      <c r="D237" s="22" t="s">
        <v>103</v>
      </c>
      <c r="E237" s="22" t="s">
        <v>30</v>
      </c>
      <c r="F237" s="22" t="s">
        <v>55</v>
      </c>
      <c r="G237" s="22" t="s">
        <v>109</v>
      </c>
      <c r="H237" s="22" t="s">
        <v>185</v>
      </c>
      <c r="I237" s="22" t="s">
        <v>45</v>
      </c>
      <c r="J237" s="22" t="s">
        <v>34</v>
      </c>
      <c r="K237" s="22" t="s">
        <v>53</v>
      </c>
      <c r="L237" s="22">
        <v>10</v>
      </c>
      <c r="M237" s="22">
        <v>8100</v>
      </c>
      <c r="N237" s="22">
        <v>0.1</v>
      </c>
      <c r="O237" s="22">
        <v>72900</v>
      </c>
      <c r="P237" s="22">
        <v>50660.61</v>
      </c>
      <c r="Q237" s="22">
        <v>22239.39</v>
      </c>
      <c r="R237" s="22" t="s">
        <v>48</v>
      </c>
    </row>
    <row r="238" hidden="1" spans="1:18">
      <c r="A238" s="22" t="s">
        <v>371</v>
      </c>
      <c r="B238" s="23">
        <v>43243</v>
      </c>
      <c r="C238" s="24">
        <f t="shared" si="3"/>
        <v>5</v>
      </c>
      <c r="D238" s="22" t="s">
        <v>79</v>
      </c>
      <c r="E238" s="22" t="s">
        <v>213</v>
      </c>
      <c r="F238" s="22" t="s">
        <v>96</v>
      </c>
      <c r="G238" s="22" t="s">
        <v>113</v>
      </c>
      <c r="H238" s="22" t="s">
        <v>119</v>
      </c>
      <c r="I238" s="22" t="s">
        <v>24</v>
      </c>
      <c r="J238" s="22" t="s">
        <v>170</v>
      </c>
      <c r="K238" s="22" t="s">
        <v>47</v>
      </c>
      <c r="L238" s="22">
        <v>4</v>
      </c>
      <c r="M238" s="22">
        <v>49800</v>
      </c>
      <c r="N238" s="22">
        <v>0.1</v>
      </c>
      <c r="O238" s="22">
        <v>179280</v>
      </c>
      <c r="P238" s="22">
        <v>115305.19</v>
      </c>
      <c r="Q238" s="22">
        <v>63974.81</v>
      </c>
      <c r="R238" s="22" t="s">
        <v>48</v>
      </c>
    </row>
    <row r="239" hidden="1" spans="1:18">
      <c r="A239" s="22" t="s">
        <v>372</v>
      </c>
      <c r="B239" s="23">
        <v>45724</v>
      </c>
      <c r="C239" s="24">
        <f t="shared" si="3"/>
        <v>3</v>
      </c>
      <c r="D239" s="22" t="s">
        <v>103</v>
      </c>
      <c r="E239" s="22" t="s">
        <v>213</v>
      </c>
      <c r="F239" s="22" t="s">
        <v>55</v>
      </c>
      <c r="G239" s="22" t="s">
        <v>80</v>
      </c>
      <c r="H239" s="22" t="s">
        <v>134</v>
      </c>
      <c r="I239" s="22" t="s">
        <v>51</v>
      </c>
      <c r="J239" s="22" t="s">
        <v>34</v>
      </c>
      <c r="K239" s="22" t="s">
        <v>47</v>
      </c>
      <c r="L239" s="22">
        <v>6</v>
      </c>
      <c r="M239" s="22">
        <v>112900</v>
      </c>
      <c r="N239" s="22">
        <v>0.05</v>
      </c>
      <c r="O239" s="22">
        <v>643530</v>
      </c>
      <c r="P239" s="22">
        <v>454972.84</v>
      </c>
      <c r="Q239" s="22">
        <v>188557.16</v>
      </c>
      <c r="R239" s="22" t="s">
        <v>27</v>
      </c>
    </row>
    <row r="240" hidden="1" spans="1:18">
      <c r="A240" s="22" t="s">
        <v>373</v>
      </c>
      <c r="B240" s="23">
        <v>45687</v>
      </c>
      <c r="C240" s="24">
        <f t="shared" si="3"/>
        <v>1</v>
      </c>
      <c r="D240" s="22" t="s">
        <v>79</v>
      </c>
      <c r="E240" s="22" t="s">
        <v>213</v>
      </c>
      <c r="F240" s="22" t="s">
        <v>31</v>
      </c>
      <c r="G240" s="22" t="s">
        <v>172</v>
      </c>
      <c r="H240" s="22" t="s">
        <v>286</v>
      </c>
      <c r="I240" s="22" t="s">
        <v>51</v>
      </c>
      <c r="J240" s="22" t="s">
        <v>46</v>
      </c>
      <c r="K240" s="22" t="s">
        <v>47</v>
      </c>
      <c r="L240" s="22">
        <v>10</v>
      </c>
      <c r="M240" s="22">
        <v>37500</v>
      </c>
      <c r="N240" s="22">
        <v>0.05</v>
      </c>
      <c r="O240" s="22">
        <v>356250</v>
      </c>
      <c r="P240" s="22">
        <v>255683.51</v>
      </c>
      <c r="Q240" s="22">
        <v>100566.49</v>
      </c>
      <c r="R240" s="22" t="s">
        <v>58</v>
      </c>
    </row>
    <row r="241" spans="1:18">
      <c r="A241" s="22" t="s">
        <v>374</v>
      </c>
      <c r="B241" s="23">
        <v>43183</v>
      </c>
      <c r="C241" s="24">
        <f t="shared" si="3"/>
        <v>3</v>
      </c>
      <c r="D241" s="22" t="s">
        <v>90</v>
      </c>
      <c r="E241" s="22" t="s">
        <v>38</v>
      </c>
      <c r="F241" s="22" t="s">
        <v>55</v>
      </c>
      <c r="G241" s="22" t="s">
        <v>56</v>
      </c>
      <c r="H241" s="22" t="s">
        <v>154</v>
      </c>
      <c r="I241" s="22" t="s">
        <v>51</v>
      </c>
      <c r="J241" s="22" t="s">
        <v>124</v>
      </c>
      <c r="K241" s="22" t="s">
        <v>47</v>
      </c>
      <c r="L241" s="22">
        <v>6</v>
      </c>
      <c r="M241" s="22">
        <v>29900</v>
      </c>
      <c r="N241" s="22">
        <v>0</v>
      </c>
      <c r="O241" s="22">
        <v>179400</v>
      </c>
      <c r="P241" s="22">
        <v>133081.88</v>
      </c>
      <c r="Q241" s="22">
        <v>46318.12</v>
      </c>
      <c r="R241" s="22" t="s">
        <v>48</v>
      </c>
    </row>
    <row r="242" spans="1:18">
      <c r="A242" s="22" t="s">
        <v>375</v>
      </c>
      <c r="B242" s="23">
        <v>43363</v>
      </c>
      <c r="C242" s="24">
        <f t="shared" si="3"/>
        <v>9</v>
      </c>
      <c r="D242" s="22" t="s">
        <v>37</v>
      </c>
      <c r="E242" s="22" t="s">
        <v>38</v>
      </c>
      <c r="F242" s="22" t="s">
        <v>31</v>
      </c>
      <c r="G242" s="22" t="s">
        <v>43</v>
      </c>
      <c r="H242" s="22" t="s">
        <v>44</v>
      </c>
      <c r="I242" s="22" t="s">
        <v>24</v>
      </c>
      <c r="J242" s="22" t="s">
        <v>46</v>
      </c>
      <c r="K242" s="22" t="s">
        <v>26</v>
      </c>
      <c r="L242" s="22">
        <v>3</v>
      </c>
      <c r="M242" s="22">
        <v>13600</v>
      </c>
      <c r="N242" s="22">
        <v>0.1</v>
      </c>
      <c r="O242" s="22">
        <v>36720</v>
      </c>
      <c r="P242" s="22">
        <v>28238.61</v>
      </c>
      <c r="Q242" s="22">
        <v>8481.39</v>
      </c>
      <c r="R242" s="22" t="s">
        <v>77</v>
      </c>
    </row>
    <row r="243" hidden="1" spans="1:18">
      <c r="A243" s="22" t="s">
        <v>376</v>
      </c>
      <c r="B243" s="23">
        <v>45749</v>
      </c>
      <c r="C243" s="24">
        <f t="shared" si="3"/>
        <v>4</v>
      </c>
      <c r="D243" s="22" t="s">
        <v>69</v>
      </c>
      <c r="E243" s="22" t="s">
        <v>30</v>
      </c>
      <c r="F243" s="22" t="s">
        <v>96</v>
      </c>
      <c r="G243" s="22" t="s">
        <v>97</v>
      </c>
      <c r="H243" s="22" t="s">
        <v>147</v>
      </c>
      <c r="I243" s="22" t="s">
        <v>51</v>
      </c>
      <c r="J243" s="22" t="s">
        <v>116</v>
      </c>
      <c r="K243" s="22" t="s">
        <v>53</v>
      </c>
      <c r="L243" s="22">
        <v>2</v>
      </c>
      <c r="M243" s="22">
        <v>2900</v>
      </c>
      <c r="N243" s="22">
        <v>0.05</v>
      </c>
      <c r="O243" s="22">
        <v>5510</v>
      </c>
      <c r="P243" s="22">
        <v>4620.94</v>
      </c>
      <c r="Q243" s="22">
        <v>889.06</v>
      </c>
      <c r="R243" s="22" t="s">
        <v>58</v>
      </c>
    </row>
    <row r="244" hidden="1" spans="1:18">
      <c r="A244" s="22" t="s">
        <v>377</v>
      </c>
      <c r="B244" s="23">
        <v>44022</v>
      </c>
      <c r="C244" s="24">
        <f t="shared" si="3"/>
        <v>7</v>
      </c>
      <c r="D244" s="22" t="s">
        <v>65</v>
      </c>
      <c r="E244" s="22" t="s">
        <v>30</v>
      </c>
      <c r="F244" s="22" t="s">
        <v>96</v>
      </c>
      <c r="G244" s="22" t="s">
        <v>97</v>
      </c>
      <c r="H244" s="22" t="s">
        <v>147</v>
      </c>
      <c r="I244" s="22" t="s">
        <v>45</v>
      </c>
      <c r="J244" s="22" t="s">
        <v>34</v>
      </c>
      <c r="K244" s="22" t="s">
        <v>47</v>
      </c>
      <c r="L244" s="22">
        <v>8</v>
      </c>
      <c r="M244" s="22">
        <v>600</v>
      </c>
      <c r="N244" s="22">
        <v>0.05</v>
      </c>
      <c r="O244" s="22">
        <v>4560</v>
      </c>
      <c r="P244" s="22">
        <v>3371.96</v>
      </c>
      <c r="Q244" s="22">
        <v>1188.04</v>
      </c>
      <c r="R244" s="22" t="s">
        <v>35</v>
      </c>
    </row>
    <row r="245" spans="1:18">
      <c r="A245" s="22" t="s">
        <v>378</v>
      </c>
      <c r="B245" s="23">
        <v>43138</v>
      </c>
      <c r="C245" s="24">
        <f t="shared" si="3"/>
        <v>2</v>
      </c>
      <c r="D245" s="22" t="s">
        <v>37</v>
      </c>
      <c r="E245" s="22" t="s">
        <v>38</v>
      </c>
      <c r="F245" s="22" t="s">
        <v>55</v>
      </c>
      <c r="G245" s="22" t="s">
        <v>80</v>
      </c>
      <c r="H245" s="22" t="s">
        <v>160</v>
      </c>
      <c r="I245" s="22" t="s">
        <v>24</v>
      </c>
      <c r="J245" s="22" t="s">
        <v>52</v>
      </c>
      <c r="K245" s="22" t="s">
        <v>53</v>
      </c>
      <c r="L245" s="22">
        <v>6</v>
      </c>
      <c r="M245" s="22">
        <v>29600</v>
      </c>
      <c r="N245" s="22">
        <v>0</v>
      </c>
      <c r="O245" s="22">
        <v>177600</v>
      </c>
      <c r="P245" s="22">
        <v>141143.4</v>
      </c>
      <c r="Q245" s="22">
        <v>36456.6</v>
      </c>
      <c r="R245" s="22" t="s">
        <v>58</v>
      </c>
    </row>
    <row r="246" hidden="1" spans="1:18">
      <c r="A246" s="22" t="s">
        <v>379</v>
      </c>
      <c r="B246" s="23">
        <v>44005</v>
      </c>
      <c r="C246" s="24">
        <f t="shared" si="3"/>
        <v>6</v>
      </c>
      <c r="D246" s="22" t="s">
        <v>85</v>
      </c>
      <c r="E246" s="22" t="s">
        <v>30</v>
      </c>
      <c r="F246" s="22" t="s">
        <v>55</v>
      </c>
      <c r="G246" s="22" t="s">
        <v>195</v>
      </c>
      <c r="H246" s="22" t="s">
        <v>209</v>
      </c>
      <c r="I246" s="22" t="s">
        <v>45</v>
      </c>
      <c r="J246" s="22" t="s">
        <v>34</v>
      </c>
      <c r="K246" s="22" t="s">
        <v>26</v>
      </c>
      <c r="L246" s="22">
        <v>7</v>
      </c>
      <c r="M246" s="22">
        <v>2400</v>
      </c>
      <c r="N246" s="22">
        <v>0</v>
      </c>
      <c r="O246" s="22">
        <v>16800</v>
      </c>
      <c r="P246" s="22">
        <v>11167.11</v>
      </c>
      <c r="Q246" s="22">
        <v>5632.89</v>
      </c>
      <c r="R246" s="22" t="s">
        <v>58</v>
      </c>
    </row>
    <row r="247" hidden="1" spans="1:18">
      <c r="A247" s="22" t="s">
        <v>380</v>
      </c>
      <c r="B247" s="23">
        <v>43799</v>
      </c>
      <c r="C247" s="24">
        <f t="shared" si="3"/>
        <v>11</v>
      </c>
      <c r="D247" s="22" t="s">
        <v>29</v>
      </c>
      <c r="E247" s="22" t="s">
        <v>30</v>
      </c>
      <c r="F247" s="22" t="s">
        <v>96</v>
      </c>
      <c r="G247" s="22" t="s">
        <v>113</v>
      </c>
      <c r="H247" s="22" t="s">
        <v>114</v>
      </c>
      <c r="I247" s="22" t="s">
        <v>45</v>
      </c>
      <c r="J247" s="22" t="s">
        <v>63</v>
      </c>
      <c r="K247" s="22" t="s">
        <v>26</v>
      </c>
      <c r="L247" s="22">
        <v>2</v>
      </c>
      <c r="M247" s="22">
        <v>5900</v>
      </c>
      <c r="N247" s="22">
        <v>0.1</v>
      </c>
      <c r="O247" s="22">
        <v>10620</v>
      </c>
      <c r="P247" s="22">
        <v>7966.16</v>
      </c>
      <c r="Q247" s="22">
        <v>2653.84</v>
      </c>
      <c r="R247" s="22" t="s">
        <v>58</v>
      </c>
    </row>
    <row r="248" hidden="1" spans="1:18">
      <c r="A248" s="22" t="s">
        <v>381</v>
      </c>
      <c r="B248" s="23">
        <v>43317</v>
      </c>
      <c r="C248" s="24">
        <f t="shared" si="3"/>
        <v>8</v>
      </c>
      <c r="D248" s="22" t="s">
        <v>19</v>
      </c>
      <c r="E248" s="22" t="s">
        <v>20</v>
      </c>
      <c r="F248" s="22" t="s">
        <v>60</v>
      </c>
      <c r="G248" s="22" t="s">
        <v>61</v>
      </c>
      <c r="H248" s="22" t="s">
        <v>188</v>
      </c>
      <c r="I248" s="22" t="s">
        <v>45</v>
      </c>
      <c r="J248" s="22" t="s">
        <v>73</v>
      </c>
      <c r="K248" s="22" t="s">
        <v>47</v>
      </c>
      <c r="L248" s="22">
        <v>1</v>
      </c>
      <c r="M248" s="22">
        <v>25600</v>
      </c>
      <c r="N248" s="22">
        <v>0</v>
      </c>
      <c r="O248" s="22">
        <v>25600</v>
      </c>
      <c r="P248" s="22">
        <v>20847.67</v>
      </c>
      <c r="Q248" s="22">
        <v>4752.33</v>
      </c>
      <c r="R248" s="22" t="s">
        <v>27</v>
      </c>
    </row>
    <row r="249" hidden="1" spans="1:18">
      <c r="A249" s="22" t="s">
        <v>382</v>
      </c>
      <c r="B249" s="23">
        <v>43189</v>
      </c>
      <c r="C249" s="24">
        <f t="shared" si="3"/>
        <v>3</v>
      </c>
      <c r="D249" s="22" t="s">
        <v>29</v>
      </c>
      <c r="E249" s="22" t="s">
        <v>30</v>
      </c>
      <c r="F249" s="22" t="s">
        <v>31</v>
      </c>
      <c r="G249" s="22" t="s">
        <v>32</v>
      </c>
      <c r="H249" s="22" t="s">
        <v>50</v>
      </c>
      <c r="I249" s="22" t="s">
        <v>51</v>
      </c>
      <c r="J249" s="22" t="s">
        <v>73</v>
      </c>
      <c r="K249" s="22" t="s">
        <v>53</v>
      </c>
      <c r="L249" s="22">
        <v>6</v>
      </c>
      <c r="M249" s="22">
        <v>8900</v>
      </c>
      <c r="N249" s="22">
        <v>0.1</v>
      </c>
      <c r="O249" s="22">
        <v>48060</v>
      </c>
      <c r="P249" s="22">
        <v>31218.61</v>
      </c>
      <c r="Q249" s="22">
        <v>16841.39</v>
      </c>
      <c r="R249" s="22" t="s">
        <v>58</v>
      </c>
    </row>
    <row r="250" hidden="1" spans="1:18">
      <c r="A250" s="22" t="s">
        <v>383</v>
      </c>
      <c r="B250" s="23">
        <v>44025</v>
      </c>
      <c r="C250" s="24">
        <f t="shared" si="3"/>
        <v>7</v>
      </c>
      <c r="D250" s="22" t="s">
        <v>29</v>
      </c>
      <c r="E250" s="22" t="s">
        <v>30</v>
      </c>
      <c r="F250" s="22" t="s">
        <v>60</v>
      </c>
      <c r="G250" s="22" t="s">
        <v>141</v>
      </c>
      <c r="H250" s="22" t="s">
        <v>200</v>
      </c>
      <c r="I250" s="22" t="s">
        <v>45</v>
      </c>
      <c r="J250" s="22" t="s">
        <v>25</v>
      </c>
      <c r="K250" s="22" t="s">
        <v>26</v>
      </c>
      <c r="L250" s="22">
        <v>3</v>
      </c>
      <c r="M250" s="22">
        <v>12000</v>
      </c>
      <c r="N250" s="22">
        <v>0.1</v>
      </c>
      <c r="O250" s="22">
        <v>32400</v>
      </c>
      <c r="P250" s="22">
        <v>25993.33</v>
      </c>
      <c r="Q250" s="22">
        <v>6406.67</v>
      </c>
      <c r="R250" s="22" t="s">
        <v>58</v>
      </c>
    </row>
    <row r="251" hidden="1" spans="1:18">
      <c r="A251" s="22" t="s">
        <v>384</v>
      </c>
      <c r="B251" s="23">
        <v>43204</v>
      </c>
      <c r="C251" s="24">
        <f t="shared" si="3"/>
        <v>4</v>
      </c>
      <c r="D251" s="22" t="s">
        <v>19</v>
      </c>
      <c r="E251" s="22" t="s">
        <v>20</v>
      </c>
      <c r="F251" s="22" t="s">
        <v>60</v>
      </c>
      <c r="G251" s="22" t="s">
        <v>93</v>
      </c>
      <c r="H251" s="22" t="s">
        <v>101</v>
      </c>
      <c r="I251" s="22" t="s">
        <v>24</v>
      </c>
      <c r="J251" s="22" t="s">
        <v>99</v>
      </c>
      <c r="K251" s="22" t="s">
        <v>26</v>
      </c>
      <c r="L251" s="22">
        <v>8</v>
      </c>
      <c r="M251" s="22">
        <v>26600</v>
      </c>
      <c r="N251" s="22">
        <v>0.15</v>
      </c>
      <c r="O251" s="22">
        <v>180880</v>
      </c>
      <c r="P251" s="22">
        <v>144345.91</v>
      </c>
      <c r="Q251" s="22">
        <v>36534.09</v>
      </c>
      <c r="R251" s="22" t="s">
        <v>35</v>
      </c>
    </row>
    <row r="252" spans="1:18">
      <c r="A252" s="22" t="s">
        <v>385</v>
      </c>
      <c r="B252" s="23">
        <v>43661</v>
      </c>
      <c r="C252" s="24">
        <f t="shared" si="3"/>
        <v>7</v>
      </c>
      <c r="D252" s="22" t="s">
        <v>121</v>
      </c>
      <c r="E252" s="22" t="s">
        <v>38</v>
      </c>
      <c r="F252" s="22" t="s">
        <v>60</v>
      </c>
      <c r="G252" s="22" t="s">
        <v>141</v>
      </c>
      <c r="H252" s="22" t="s">
        <v>183</v>
      </c>
      <c r="I252" s="22" t="s">
        <v>45</v>
      </c>
      <c r="J252" s="22" t="s">
        <v>46</v>
      </c>
      <c r="K252" s="22" t="s">
        <v>47</v>
      </c>
      <c r="L252" s="22">
        <v>4</v>
      </c>
      <c r="M252" s="22">
        <v>71300</v>
      </c>
      <c r="N252" s="22">
        <v>0</v>
      </c>
      <c r="O252" s="22">
        <v>285200</v>
      </c>
      <c r="P252" s="22">
        <v>198710.4</v>
      </c>
      <c r="Q252" s="22">
        <v>86489.6</v>
      </c>
      <c r="R252" s="22" t="s">
        <v>27</v>
      </c>
    </row>
    <row r="253" spans="1:18">
      <c r="A253" s="22" t="s">
        <v>386</v>
      </c>
      <c r="B253" s="23">
        <v>43198</v>
      </c>
      <c r="C253" s="24">
        <f t="shared" si="3"/>
        <v>4</v>
      </c>
      <c r="D253" s="22" t="s">
        <v>121</v>
      </c>
      <c r="E253" s="22" t="s">
        <v>38</v>
      </c>
      <c r="F253" s="22" t="s">
        <v>21</v>
      </c>
      <c r="G253" s="22" t="s">
        <v>70</v>
      </c>
      <c r="H253" s="22" t="s">
        <v>83</v>
      </c>
      <c r="I253" s="22" t="s">
        <v>51</v>
      </c>
      <c r="J253" s="22" t="s">
        <v>46</v>
      </c>
      <c r="K253" s="22" t="s">
        <v>53</v>
      </c>
      <c r="L253" s="22">
        <v>2</v>
      </c>
      <c r="M253" s="22">
        <v>58100</v>
      </c>
      <c r="N253" s="22">
        <v>0.1</v>
      </c>
      <c r="O253" s="22">
        <v>104580</v>
      </c>
      <c r="P253" s="22">
        <v>83119.5</v>
      </c>
      <c r="Q253" s="22">
        <v>21460.5</v>
      </c>
      <c r="R253" s="22" t="s">
        <v>35</v>
      </c>
    </row>
    <row r="254" hidden="1" spans="1:18">
      <c r="A254" s="22" t="s">
        <v>387</v>
      </c>
      <c r="B254" s="23">
        <v>44941</v>
      </c>
      <c r="C254" s="24">
        <f t="shared" si="3"/>
        <v>1</v>
      </c>
      <c r="D254" s="22" t="s">
        <v>69</v>
      </c>
      <c r="E254" s="22" t="s">
        <v>30</v>
      </c>
      <c r="F254" s="22" t="s">
        <v>55</v>
      </c>
      <c r="G254" s="22" t="s">
        <v>80</v>
      </c>
      <c r="H254" s="22" t="s">
        <v>134</v>
      </c>
      <c r="I254" s="22" t="s">
        <v>45</v>
      </c>
      <c r="J254" s="22" t="s">
        <v>124</v>
      </c>
      <c r="K254" s="22" t="s">
        <v>47</v>
      </c>
      <c r="L254" s="22">
        <v>3</v>
      </c>
      <c r="M254" s="22">
        <v>2500</v>
      </c>
      <c r="N254" s="22">
        <v>0.2</v>
      </c>
      <c r="O254" s="22">
        <v>6000</v>
      </c>
      <c r="P254" s="22">
        <v>4254.74</v>
      </c>
      <c r="Q254" s="22">
        <v>1745.26</v>
      </c>
      <c r="R254" s="22" t="s">
        <v>27</v>
      </c>
    </row>
    <row r="255" spans="1:18">
      <c r="A255" s="22" t="s">
        <v>388</v>
      </c>
      <c r="B255" s="23">
        <v>43213</v>
      </c>
      <c r="C255" s="24">
        <f t="shared" si="3"/>
        <v>4</v>
      </c>
      <c r="D255" s="22" t="s">
        <v>79</v>
      </c>
      <c r="E255" s="22" t="s">
        <v>38</v>
      </c>
      <c r="F255" s="22" t="s">
        <v>60</v>
      </c>
      <c r="G255" s="22" t="s">
        <v>141</v>
      </c>
      <c r="H255" s="22" t="s">
        <v>142</v>
      </c>
      <c r="I255" s="22" t="s">
        <v>45</v>
      </c>
      <c r="J255" s="22" t="s">
        <v>88</v>
      </c>
      <c r="K255" s="22" t="s">
        <v>26</v>
      </c>
      <c r="L255" s="22">
        <v>5</v>
      </c>
      <c r="M255" s="22">
        <v>27900</v>
      </c>
      <c r="N255" s="22">
        <v>0.05</v>
      </c>
      <c r="O255" s="22">
        <v>132525</v>
      </c>
      <c r="P255" s="22">
        <v>104312.35</v>
      </c>
      <c r="Q255" s="22">
        <v>28212.65</v>
      </c>
      <c r="R255" s="22" t="s">
        <v>35</v>
      </c>
    </row>
    <row r="256" hidden="1" spans="1:18">
      <c r="A256" s="22" t="s">
        <v>389</v>
      </c>
      <c r="B256" s="23">
        <v>45667</v>
      </c>
      <c r="C256" s="24">
        <f t="shared" si="3"/>
        <v>1</v>
      </c>
      <c r="D256" s="22" t="s">
        <v>19</v>
      </c>
      <c r="E256" s="22" t="s">
        <v>20</v>
      </c>
      <c r="F256" s="22" t="s">
        <v>55</v>
      </c>
      <c r="G256" s="22" t="s">
        <v>195</v>
      </c>
      <c r="H256" s="22" t="s">
        <v>209</v>
      </c>
      <c r="I256" s="22" t="s">
        <v>51</v>
      </c>
      <c r="J256" s="22" t="s">
        <v>99</v>
      </c>
      <c r="K256" s="22" t="s">
        <v>47</v>
      </c>
      <c r="L256" s="22">
        <v>2</v>
      </c>
      <c r="M256" s="22">
        <v>21700</v>
      </c>
      <c r="N256" s="22">
        <v>0.15</v>
      </c>
      <c r="O256" s="22">
        <v>36890</v>
      </c>
      <c r="P256" s="22">
        <v>29396.57</v>
      </c>
      <c r="Q256" s="22">
        <v>7493.43</v>
      </c>
      <c r="R256" s="22" t="s">
        <v>48</v>
      </c>
    </row>
    <row r="257" hidden="1" spans="1:18">
      <c r="A257" s="22" t="s">
        <v>390</v>
      </c>
      <c r="B257" s="23">
        <v>43129</v>
      </c>
      <c r="C257" s="24">
        <f t="shared" si="3"/>
        <v>1</v>
      </c>
      <c r="D257" s="22" t="s">
        <v>90</v>
      </c>
      <c r="E257" s="22" t="s">
        <v>30</v>
      </c>
      <c r="F257" s="22" t="s">
        <v>31</v>
      </c>
      <c r="G257" s="22" t="s">
        <v>43</v>
      </c>
      <c r="H257" s="22" t="s">
        <v>91</v>
      </c>
      <c r="I257" s="22" t="s">
        <v>51</v>
      </c>
      <c r="J257" s="22" t="s">
        <v>52</v>
      </c>
      <c r="K257" s="22" t="s">
        <v>53</v>
      </c>
      <c r="L257" s="22">
        <v>9</v>
      </c>
      <c r="M257" s="22">
        <v>36700</v>
      </c>
      <c r="N257" s="22">
        <v>0.05</v>
      </c>
      <c r="O257" s="22">
        <v>313785</v>
      </c>
      <c r="P257" s="22">
        <v>194556</v>
      </c>
      <c r="Q257" s="22">
        <v>119229</v>
      </c>
      <c r="R257" s="22" t="s">
        <v>58</v>
      </c>
    </row>
    <row r="258" hidden="1" spans="1:18">
      <c r="A258" s="22" t="s">
        <v>391</v>
      </c>
      <c r="B258" s="23">
        <v>46000</v>
      </c>
      <c r="C258" s="24">
        <f t="shared" ref="C258:C321" si="4">MONTH(B258)</f>
        <v>12</v>
      </c>
      <c r="D258" s="22" t="s">
        <v>85</v>
      </c>
      <c r="E258" s="22" t="s">
        <v>30</v>
      </c>
      <c r="F258" s="22" t="s">
        <v>60</v>
      </c>
      <c r="G258" s="22" t="s">
        <v>141</v>
      </c>
      <c r="H258" s="22" t="s">
        <v>142</v>
      </c>
      <c r="I258" s="22" t="s">
        <v>45</v>
      </c>
      <c r="J258" s="22" t="s">
        <v>63</v>
      </c>
      <c r="K258" s="22" t="s">
        <v>47</v>
      </c>
      <c r="L258" s="22">
        <v>9</v>
      </c>
      <c r="M258" s="22">
        <v>1100</v>
      </c>
      <c r="N258" s="22">
        <v>0.2</v>
      </c>
      <c r="O258" s="22">
        <v>7920</v>
      </c>
      <c r="P258" s="22">
        <v>6350.87</v>
      </c>
      <c r="Q258" s="22">
        <v>1569.13</v>
      </c>
      <c r="R258" s="22" t="s">
        <v>48</v>
      </c>
    </row>
    <row r="259" hidden="1" spans="1:18">
      <c r="A259" s="22" t="s">
        <v>392</v>
      </c>
      <c r="B259" s="23">
        <v>44050</v>
      </c>
      <c r="C259" s="24">
        <f t="shared" si="4"/>
        <v>8</v>
      </c>
      <c r="D259" s="22" t="s">
        <v>90</v>
      </c>
      <c r="E259" s="22" t="s">
        <v>30</v>
      </c>
      <c r="F259" s="22" t="s">
        <v>55</v>
      </c>
      <c r="G259" s="22" t="s">
        <v>80</v>
      </c>
      <c r="H259" s="22" t="s">
        <v>134</v>
      </c>
      <c r="I259" s="22" t="s">
        <v>45</v>
      </c>
      <c r="J259" s="22" t="s">
        <v>73</v>
      </c>
      <c r="K259" s="22" t="s">
        <v>47</v>
      </c>
      <c r="L259" s="22">
        <v>3</v>
      </c>
      <c r="M259" s="22">
        <v>26300</v>
      </c>
      <c r="N259" s="22">
        <v>0.2</v>
      </c>
      <c r="O259" s="22">
        <v>63120</v>
      </c>
      <c r="P259" s="22">
        <v>44373.99</v>
      </c>
      <c r="Q259" s="22">
        <v>18746.01</v>
      </c>
      <c r="R259" s="22" t="s">
        <v>35</v>
      </c>
    </row>
    <row r="260" hidden="1" spans="1:18">
      <c r="A260" s="22" t="s">
        <v>393</v>
      </c>
      <c r="B260" s="23">
        <v>43738</v>
      </c>
      <c r="C260" s="24">
        <f t="shared" si="4"/>
        <v>9</v>
      </c>
      <c r="D260" s="22" t="s">
        <v>85</v>
      </c>
      <c r="E260" s="22" t="s">
        <v>30</v>
      </c>
      <c r="F260" s="22" t="s">
        <v>55</v>
      </c>
      <c r="G260" s="22" t="s">
        <v>109</v>
      </c>
      <c r="H260" s="22" t="s">
        <v>185</v>
      </c>
      <c r="I260" s="22" t="s">
        <v>45</v>
      </c>
      <c r="J260" s="22" t="s">
        <v>73</v>
      </c>
      <c r="K260" s="22" t="s">
        <v>47</v>
      </c>
      <c r="L260" s="22">
        <v>8</v>
      </c>
      <c r="M260" s="22">
        <v>3600</v>
      </c>
      <c r="N260" s="22">
        <v>0</v>
      </c>
      <c r="O260" s="22">
        <v>28800</v>
      </c>
      <c r="P260" s="22">
        <v>19466.81</v>
      </c>
      <c r="Q260" s="22">
        <v>9333.19</v>
      </c>
      <c r="R260" s="22" t="s">
        <v>77</v>
      </c>
    </row>
    <row r="261" hidden="1" spans="1:18">
      <c r="A261" s="22" t="s">
        <v>394</v>
      </c>
      <c r="B261" s="23">
        <v>45668</v>
      </c>
      <c r="C261" s="24">
        <f t="shared" si="4"/>
        <v>1</v>
      </c>
      <c r="D261" s="22" t="s">
        <v>42</v>
      </c>
      <c r="E261" s="22" t="s">
        <v>30</v>
      </c>
      <c r="F261" s="22" t="s">
        <v>60</v>
      </c>
      <c r="G261" s="22" t="s">
        <v>141</v>
      </c>
      <c r="H261" s="22" t="s">
        <v>142</v>
      </c>
      <c r="I261" s="22" t="s">
        <v>24</v>
      </c>
      <c r="J261" s="22" t="s">
        <v>73</v>
      </c>
      <c r="K261" s="22" t="s">
        <v>53</v>
      </c>
      <c r="L261" s="22">
        <v>5</v>
      </c>
      <c r="M261" s="22">
        <v>70200</v>
      </c>
      <c r="N261" s="22">
        <v>0.1</v>
      </c>
      <c r="O261" s="22">
        <v>315900</v>
      </c>
      <c r="P261" s="22">
        <v>265318.91</v>
      </c>
      <c r="Q261" s="22">
        <v>50581.09</v>
      </c>
      <c r="R261" s="22" t="s">
        <v>77</v>
      </c>
    </row>
    <row r="262" hidden="1" spans="1:18">
      <c r="A262" s="22" t="s">
        <v>395</v>
      </c>
      <c r="B262" s="23">
        <v>46065</v>
      </c>
      <c r="C262" s="24">
        <f t="shared" si="4"/>
        <v>2</v>
      </c>
      <c r="D262" s="22" t="s">
        <v>85</v>
      </c>
      <c r="E262" s="22" t="s">
        <v>30</v>
      </c>
      <c r="F262" s="22" t="s">
        <v>31</v>
      </c>
      <c r="G262" s="22" t="s">
        <v>32</v>
      </c>
      <c r="H262" s="22" t="s">
        <v>50</v>
      </c>
      <c r="I262" s="22" t="s">
        <v>51</v>
      </c>
      <c r="J262" s="22" t="s">
        <v>73</v>
      </c>
      <c r="K262" s="22" t="s">
        <v>47</v>
      </c>
      <c r="L262" s="22">
        <v>3</v>
      </c>
      <c r="M262" s="22">
        <v>2400</v>
      </c>
      <c r="N262" s="22">
        <v>0</v>
      </c>
      <c r="O262" s="22">
        <v>7200</v>
      </c>
      <c r="P262" s="22">
        <v>5679.83</v>
      </c>
      <c r="Q262" s="22">
        <v>1520.17</v>
      </c>
      <c r="R262" s="22" t="s">
        <v>77</v>
      </c>
    </row>
    <row r="263" hidden="1" spans="1:18">
      <c r="A263" s="22" t="s">
        <v>396</v>
      </c>
      <c r="B263" s="23">
        <v>45688</v>
      </c>
      <c r="C263" s="24">
        <f t="shared" si="4"/>
        <v>1</v>
      </c>
      <c r="D263" s="22" t="s">
        <v>29</v>
      </c>
      <c r="E263" s="22" t="s">
        <v>30</v>
      </c>
      <c r="F263" s="22" t="s">
        <v>60</v>
      </c>
      <c r="G263" s="22" t="s">
        <v>61</v>
      </c>
      <c r="H263" s="22" t="s">
        <v>101</v>
      </c>
      <c r="I263" s="22" t="s">
        <v>24</v>
      </c>
      <c r="J263" s="22" t="s">
        <v>170</v>
      </c>
      <c r="K263" s="22" t="s">
        <v>47</v>
      </c>
      <c r="L263" s="22">
        <v>6</v>
      </c>
      <c r="M263" s="22">
        <v>10700</v>
      </c>
      <c r="N263" s="22">
        <v>0</v>
      </c>
      <c r="O263" s="22">
        <v>64200</v>
      </c>
      <c r="P263" s="22">
        <v>49377.43</v>
      </c>
      <c r="Q263" s="22">
        <v>14822.57</v>
      </c>
      <c r="R263" s="22" t="s">
        <v>77</v>
      </c>
    </row>
    <row r="264" hidden="1" spans="1:18">
      <c r="A264" s="22" t="s">
        <v>397</v>
      </c>
      <c r="B264" s="23">
        <v>43152</v>
      </c>
      <c r="C264" s="24">
        <f t="shared" si="4"/>
        <v>2</v>
      </c>
      <c r="D264" s="22" t="s">
        <v>29</v>
      </c>
      <c r="E264" s="22" t="s">
        <v>30</v>
      </c>
      <c r="F264" s="22" t="s">
        <v>55</v>
      </c>
      <c r="G264" s="22" t="s">
        <v>195</v>
      </c>
      <c r="H264" s="22" t="s">
        <v>196</v>
      </c>
      <c r="I264" s="22" t="s">
        <v>45</v>
      </c>
      <c r="J264" s="22" t="s">
        <v>63</v>
      </c>
      <c r="K264" s="22" t="s">
        <v>47</v>
      </c>
      <c r="L264" s="22">
        <v>8</v>
      </c>
      <c r="M264" s="22">
        <v>6100</v>
      </c>
      <c r="N264" s="22">
        <v>0.1</v>
      </c>
      <c r="O264" s="22">
        <v>43920</v>
      </c>
      <c r="P264" s="22">
        <v>28055</v>
      </c>
      <c r="Q264" s="22">
        <v>15865</v>
      </c>
      <c r="R264" s="22" t="s">
        <v>58</v>
      </c>
    </row>
    <row r="265" hidden="1" spans="1:18">
      <c r="A265" s="22" t="s">
        <v>398</v>
      </c>
      <c r="B265" s="23">
        <v>46077</v>
      </c>
      <c r="C265" s="24">
        <f t="shared" si="4"/>
        <v>2</v>
      </c>
      <c r="D265" s="22" t="s">
        <v>103</v>
      </c>
      <c r="E265" s="22" t="s">
        <v>30</v>
      </c>
      <c r="F265" s="22" t="s">
        <v>31</v>
      </c>
      <c r="G265" s="22" t="s">
        <v>172</v>
      </c>
      <c r="H265" s="22" t="s">
        <v>173</v>
      </c>
      <c r="I265" s="22" t="s">
        <v>51</v>
      </c>
      <c r="J265" s="22" t="s">
        <v>124</v>
      </c>
      <c r="K265" s="22" t="s">
        <v>47</v>
      </c>
      <c r="L265" s="22">
        <v>5</v>
      </c>
      <c r="M265" s="22">
        <v>56300</v>
      </c>
      <c r="N265" s="22">
        <v>0</v>
      </c>
      <c r="O265" s="22">
        <v>281500</v>
      </c>
      <c r="P265" s="22">
        <v>230952.48</v>
      </c>
      <c r="Q265" s="22">
        <v>50547.52</v>
      </c>
      <c r="R265" s="22" t="s">
        <v>77</v>
      </c>
    </row>
    <row r="266" hidden="1" spans="1:18">
      <c r="A266" s="22" t="s">
        <v>399</v>
      </c>
      <c r="B266" s="23">
        <v>43984</v>
      </c>
      <c r="C266" s="24">
        <f t="shared" si="4"/>
        <v>6</v>
      </c>
      <c r="D266" s="22" t="s">
        <v>75</v>
      </c>
      <c r="E266" s="22" t="s">
        <v>30</v>
      </c>
      <c r="F266" s="22" t="s">
        <v>21</v>
      </c>
      <c r="G266" s="22" t="s">
        <v>70</v>
      </c>
      <c r="H266" s="22" t="s">
        <v>83</v>
      </c>
      <c r="I266" s="22" t="s">
        <v>24</v>
      </c>
      <c r="J266" s="22" t="s">
        <v>99</v>
      </c>
      <c r="K266" s="22" t="s">
        <v>53</v>
      </c>
      <c r="L266" s="22">
        <v>1</v>
      </c>
      <c r="M266" s="22">
        <v>91200</v>
      </c>
      <c r="N266" s="22">
        <v>0</v>
      </c>
      <c r="O266" s="22">
        <v>91200</v>
      </c>
      <c r="P266" s="22">
        <v>71087.52</v>
      </c>
      <c r="Q266" s="22">
        <v>20112.48</v>
      </c>
      <c r="R266" s="22" t="s">
        <v>77</v>
      </c>
    </row>
    <row r="267" hidden="1" spans="1:18">
      <c r="A267" s="22" t="s">
        <v>400</v>
      </c>
      <c r="B267" s="23">
        <v>44181</v>
      </c>
      <c r="C267" s="24">
        <f t="shared" si="4"/>
        <v>12</v>
      </c>
      <c r="D267" s="22" t="s">
        <v>65</v>
      </c>
      <c r="E267" s="22" t="s">
        <v>30</v>
      </c>
      <c r="F267" s="22" t="s">
        <v>55</v>
      </c>
      <c r="G267" s="22" t="s">
        <v>109</v>
      </c>
      <c r="H267" s="22" t="s">
        <v>110</v>
      </c>
      <c r="I267" s="22" t="s">
        <v>24</v>
      </c>
      <c r="J267" s="22" t="s">
        <v>52</v>
      </c>
      <c r="K267" s="22" t="s">
        <v>26</v>
      </c>
      <c r="L267" s="22">
        <v>1</v>
      </c>
      <c r="M267" s="22">
        <v>1800</v>
      </c>
      <c r="N267" s="22">
        <v>0.2</v>
      </c>
      <c r="O267" s="22">
        <v>1440</v>
      </c>
      <c r="P267" s="22">
        <v>932.57</v>
      </c>
      <c r="Q267" s="22">
        <v>507.43</v>
      </c>
      <c r="R267" s="22" t="s">
        <v>58</v>
      </c>
    </row>
    <row r="268" hidden="1" spans="1:18">
      <c r="A268" s="22" t="s">
        <v>401</v>
      </c>
      <c r="B268" s="23">
        <v>44049</v>
      </c>
      <c r="C268" s="24">
        <f t="shared" si="4"/>
        <v>8</v>
      </c>
      <c r="D268" s="22" t="s">
        <v>79</v>
      </c>
      <c r="E268" s="22" t="s">
        <v>30</v>
      </c>
      <c r="F268" s="22" t="s">
        <v>96</v>
      </c>
      <c r="G268" s="22" t="s">
        <v>97</v>
      </c>
      <c r="H268" s="22" t="s">
        <v>147</v>
      </c>
      <c r="I268" s="22" t="s">
        <v>45</v>
      </c>
      <c r="J268" s="22" t="s">
        <v>73</v>
      </c>
      <c r="K268" s="22" t="s">
        <v>47</v>
      </c>
      <c r="L268" s="22">
        <v>7</v>
      </c>
      <c r="M268" s="22">
        <v>46100</v>
      </c>
      <c r="N268" s="22">
        <v>0.05</v>
      </c>
      <c r="O268" s="22">
        <v>306565</v>
      </c>
      <c r="P268" s="22">
        <v>215142</v>
      </c>
      <c r="Q268" s="22">
        <v>91423</v>
      </c>
      <c r="R268" s="22" t="s">
        <v>77</v>
      </c>
    </row>
    <row r="269" hidden="1" spans="1:18">
      <c r="A269" s="22" t="s">
        <v>402</v>
      </c>
      <c r="B269" s="23">
        <v>44318</v>
      </c>
      <c r="C269" s="24">
        <f t="shared" si="4"/>
        <v>5</v>
      </c>
      <c r="D269" s="22" t="s">
        <v>65</v>
      </c>
      <c r="E269" s="22" t="s">
        <v>30</v>
      </c>
      <c r="F269" s="22" t="s">
        <v>21</v>
      </c>
      <c r="G269" s="22" t="s">
        <v>22</v>
      </c>
      <c r="H269" s="22" t="s">
        <v>23</v>
      </c>
      <c r="I269" s="22" t="s">
        <v>45</v>
      </c>
      <c r="J269" s="22" t="s">
        <v>40</v>
      </c>
      <c r="K269" s="22" t="s">
        <v>47</v>
      </c>
      <c r="L269" s="22">
        <v>7</v>
      </c>
      <c r="M269" s="22">
        <v>2500</v>
      </c>
      <c r="N269" s="22">
        <v>0.05</v>
      </c>
      <c r="O269" s="22">
        <v>16625</v>
      </c>
      <c r="P269" s="22">
        <v>11763.2</v>
      </c>
      <c r="Q269" s="22">
        <v>4861.8</v>
      </c>
      <c r="R269" s="22" t="s">
        <v>35</v>
      </c>
    </row>
    <row r="270" hidden="1" spans="1:18">
      <c r="A270" s="22" t="s">
        <v>403</v>
      </c>
      <c r="B270" s="23">
        <v>43753</v>
      </c>
      <c r="C270" s="24">
        <f t="shared" si="4"/>
        <v>10</v>
      </c>
      <c r="D270" s="22" t="s">
        <v>85</v>
      </c>
      <c r="E270" s="22" t="s">
        <v>30</v>
      </c>
      <c r="F270" s="22" t="s">
        <v>55</v>
      </c>
      <c r="G270" s="22" t="s">
        <v>109</v>
      </c>
      <c r="H270" s="22" t="s">
        <v>178</v>
      </c>
      <c r="I270" s="22" t="s">
        <v>51</v>
      </c>
      <c r="J270" s="22" t="s">
        <v>34</v>
      </c>
      <c r="K270" s="22" t="s">
        <v>26</v>
      </c>
      <c r="L270" s="22">
        <v>4</v>
      </c>
      <c r="M270" s="22">
        <v>4800</v>
      </c>
      <c r="N270" s="22">
        <v>0.2</v>
      </c>
      <c r="O270" s="22">
        <v>15360</v>
      </c>
      <c r="P270" s="22">
        <v>12176.51</v>
      </c>
      <c r="Q270" s="22">
        <v>3183.49</v>
      </c>
      <c r="R270" s="22" t="s">
        <v>77</v>
      </c>
    </row>
    <row r="271" hidden="1" spans="1:18">
      <c r="A271" s="22" t="s">
        <v>404</v>
      </c>
      <c r="B271" s="23">
        <v>43161</v>
      </c>
      <c r="C271" s="24">
        <f t="shared" si="4"/>
        <v>3</v>
      </c>
      <c r="D271" s="22" t="s">
        <v>37</v>
      </c>
      <c r="E271" s="22" t="s">
        <v>30</v>
      </c>
      <c r="F271" s="22" t="s">
        <v>21</v>
      </c>
      <c r="G271" s="22" t="s">
        <v>167</v>
      </c>
      <c r="H271" s="22" t="s">
        <v>254</v>
      </c>
      <c r="I271" s="22" t="s">
        <v>45</v>
      </c>
      <c r="J271" s="22" t="s">
        <v>34</v>
      </c>
      <c r="K271" s="22" t="s">
        <v>47</v>
      </c>
      <c r="L271" s="22">
        <v>10</v>
      </c>
      <c r="M271" s="22">
        <v>32300</v>
      </c>
      <c r="N271" s="22">
        <v>0.15</v>
      </c>
      <c r="O271" s="22">
        <v>274550</v>
      </c>
      <c r="P271" s="22">
        <v>189256.2</v>
      </c>
      <c r="Q271" s="22">
        <v>85293.8</v>
      </c>
      <c r="R271" s="22" t="s">
        <v>27</v>
      </c>
    </row>
    <row r="272" hidden="1" spans="1:18">
      <c r="A272" s="22" t="s">
        <v>405</v>
      </c>
      <c r="B272" s="23">
        <v>44212</v>
      </c>
      <c r="C272" s="24">
        <f t="shared" si="4"/>
        <v>1</v>
      </c>
      <c r="D272" s="22" t="s">
        <v>133</v>
      </c>
      <c r="E272" s="22" t="s">
        <v>213</v>
      </c>
      <c r="F272" s="22" t="s">
        <v>55</v>
      </c>
      <c r="G272" s="22" t="s">
        <v>109</v>
      </c>
      <c r="H272" s="22" t="s">
        <v>110</v>
      </c>
      <c r="I272" s="22" t="s">
        <v>24</v>
      </c>
      <c r="J272" s="22" t="s">
        <v>40</v>
      </c>
      <c r="K272" s="22" t="s">
        <v>53</v>
      </c>
      <c r="L272" s="22">
        <v>1</v>
      </c>
      <c r="M272" s="22">
        <v>10300</v>
      </c>
      <c r="N272" s="22">
        <v>0.2</v>
      </c>
      <c r="O272" s="22">
        <v>8240</v>
      </c>
      <c r="P272" s="22">
        <v>5635.43</v>
      </c>
      <c r="Q272" s="22">
        <v>2604.57</v>
      </c>
      <c r="R272" s="22" t="s">
        <v>35</v>
      </c>
    </row>
    <row r="273" hidden="1" spans="1:18">
      <c r="A273" s="22" t="s">
        <v>406</v>
      </c>
      <c r="B273" s="23">
        <v>43174</v>
      </c>
      <c r="C273" s="24">
        <f t="shared" si="4"/>
        <v>3</v>
      </c>
      <c r="D273" s="22" t="s">
        <v>79</v>
      </c>
      <c r="E273" s="22" t="s">
        <v>30</v>
      </c>
      <c r="F273" s="22" t="s">
        <v>96</v>
      </c>
      <c r="G273" s="22" t="s">
        <v>113</v>
      </c>
      <c r="H273" s="22" t="s">
        <v>126</v>
      </c>
      <c r="I273" s="22" t="s">
        <v>45</v>
      </c>
      <c r="J273" s="22" t="s">
        <v>52</v>
      </c>
      <c r="K273" s="22" t="s">
        <v>47</v>
      </c>
      <c r="L273" s="22">
        <v>8</v>
      </c>
      <c r="M273" s="22">
        <v>23100</v>
      </c>
      <c r="N273" s="22">
        <v>0.2</v>
      </c>
      <c r="O273" s="22">
        <v>147840</v>
      </c>
      <c r="P273" s="22">
        <v>108887.88</v>
      </c>
      <c r="Q273" s="22">
        <v>38952.12</v>
      </c>
      <c r="R273" s="22" t="s">
        <v>27</v>
      </c>
    </row>
    <row r="274" hidden="1" spans="1:18">
      <c r="A274" s="22" t="s">
        <v>407</v>
      </c>
      <c r="B274" s="23">
        <v>43208</v>
      </c>
      <c r="C274" s="24">
        <f t="shared" si="4"/>
        <v>4</v>
      </c>
      <c r="D274" s="22" t="s">
        <v>133</v>
      </c>
      <c r="E274" s="22" t="s">
        <v>213</v>
      </c>
      <c r="F274" s="22" t="s">
        <v>31</v>
      </c>
      <c r="G274" s="22" t="s">
        <v>43</v>
      </c>
      <c r="H274" s="22" t="s">
        <v>91</v>
      </c>
      <c r="I274" s="22" t="s">
        <v>45</v>
      </c>
      <c r="J274" s="22" t="s">
        <v>46</v>
      </c>
      <c r="K274" s="22" t="s">
        <v>47</v>
      </c>
      <c r="L274" s="22">
        <v>3</v>
      </c>
      <c r="M274" s="22">
        <v>6200</v>
      </c>
      <c r="N274" s="22">
        <v>0.05</v>
      </c>
      <c r="O274" s="22">
        <v>17670</v>
      </c>
      <c r="P274" s="22">
        <v>11768.59</v>
      </c>
      <c r="Q274" s="22">
        <v>5901.41</v>
      </c>
      <c r="R274" s="22" t="s">
        <v>58</v>
      </c>
    </row>
    <row r="275" hidden="1" spans="1:18">
      <c r="A275" s="22" t="s">
        <v>408</v>
      </c>
      <c r="B275" s="23">
        <v>43792</v>
      </c>
      <c r="C275" s="24">
        <f t="shared" si="4"/>
        <v>11</v>
      </c>
      <c r="D275" s="22" t="s">
        <v>42</v>
      </c>
      <c r="E275" s="22" t="s">
        <v>30</v>
      </c>
      <c r="F275" s="22" t="s">
        <v>31</v>
      </c>
      <c r="G275" s="22" t="s">
        <v>66</v>
      </c>
      <c r="H275" s="22" t="s">
        <v>244</v>
      </c>
      <c r="I275" s="22" t="s">
        <v>45</v>
      </c>
      <c r="J275" s="22" t="s">
        <v>52</v>
      </c>
      <c r="K275" s="22" t="s">
        <v>53</v>
      </c>
      <c r="L275" s="22">
        <v>6</v>
      </c>
      <c r="M275" s="22">
        <v>35300</v>
      </c>
      <c r="N275" s="22">
        <v>0.1</v>
      </c>
      <c r="O275" s="22">
        <v>190620</v>
      </c>
      <c r="P275" s="22">
        <v>139078.62</v>
      </c>
      <c r="Q275" s="22">
        <v>51541.38</v>
      </c>
      <c r="R275" s="22" t="s">
        <v>58</v>
      </c>
    </row>
    <row r="276" hidden="1" spans="1:18">
      <c r="A276" s="22" t="s">
        <v>409</v>
      </c>
      <c r="B276" s="23">
        <v>43329</v>
      </c>
      <c r="C276" s="24">
        <f t="shared" si="4"/>
        <v>8</v>
      </c>
      <c r="D276" s="22" t="s">
        <v>90</v>
      </c>
      <c r="E276" s="22" t="s">
        <v>30</v>
      </c>
      <c r="F276" s="22" t="s">
        <v>60</v>
      </c>
      <c r="G276" s="22" t="s">
        <v>141</v>
      </c>
      <c r="H276" s="22" t="s">
        <v>200</v>
      </c>
      <c r="I276" s="22" t="s">
        <v>45</v>
      </c>
      <c r="J276" s="22" t="s">
        <v>34</v>
      </c>
      <c r="K276" s="22" t="s">
        <v>47</v>
      </c>
      <c r="L276" s="22">
        <v>7</v>
      </c>
      <c r="M276" s="22">
        <v>14400</v>
      </c>
      <c r="N276" s="22">
        <v>0.1</v>
      </c>
      <c r="O276" s="22">
        <v>90720</v>
      </c>
      <c r="P276" s="22">
        <v>75829.14</v>
      </c>
      <c r="Q276" s="22">
        <v>14890.86</v>
      </c>
      <c r="R276" s="22" t="s">
        <v>35</v>
      </c>
    </row>
    <row r="277" hidden="1" spans="1:18">
      <c r="A277" s="22" t="s">
        <v>410</v>
      </c>
      <c r="B277" s="23">
        <v>43150</v>
      </c>
      <c r="C277" s="24">
        <f t="shared" si="4"/>
        <v>2</v>
      </c>
      <c r="D277" s="22" t="s">
        <v>42</v>
      </c>
      <c r="E277" s="22" t="s">
        <v>30</v>
      </c>
      <c r="F277" s="22" t="s">
        <v>96</v>
      </c>
      <c r="G277" s="22" t="s">
        <v>113</v>
      </c>
      <c r="H277" s="22" t="s">
        <v>119</v>
      </c>
      <c r="I277" s="22" t="s">
        <v>45</v>
      </c>
      <c r="J277" s="22" t="s">
        <v>88</v>
      </c>
      <c r="K277" s="22" t="s">
        <v>26</v>
      </c>
      <c r="L277" s="22">
        <v>2</v>
      </c>
      <c r="M277" s="22">
        <v>96900</v>
      </c>
      <c r="N277" s="22">
        <v>0</v>
      </c>
      <c r="O277" s="22">
        <v>193800</v>
      </c>
      <c r="P277" s="22">
        <v>140489.11</v>
      </c>
      <c r="Q277" s="22">
        <v>53310.89</v>
      </c>
      <c r="R277" s="22" t="s">
        <v>58</v>
      </c>
    </row>
    <row r="278" hidden="1" spans="1:18">
      <c r="A278" s="22" t="s">
        <v>411</v>
      </c>
      <c r="B278" s="23">
        <v>45844</v>
      </c>
      <c r="C278" s="24">
        <f t="shared" si="4"/>
        <v>7</v>
      </c>
      <c r="D278" s="22" t="s">
        <v>42</v>
      </c>
      <c r="E278" s="22" t="s">
        <v>30</v>
      </c>
      <c r="F278" s="22" t="s">
        <v>31</v>
      </c>
      <c r="G278" s="22" t="s">
        <v>43</v>
      </c>
      <c r="H278" s="22" t="s">
        <v>44</v>
      </c>
      <c r="I278" s="22" t="s">
        <v>51</v>
      </c>
      <c r="J278" s="22" t="s">
        <v>34</v>
      </c>
      <c r="K278" s="22" t="s">
        <v>47</v>
      </c>
      <c r="L278" s="22">
        <v>6</v>
      </c>
      <c r="M278" s="22">
        <v>82300</v>
      </c>
      <c r="N278" s="22">
        <v>0.15</v>
      </c>
      <c r="O278" s="22">
        <v>419730</v>
      </c>
      <c r="P278" s="22">
        <v>332666.49</v>
      </c>
      <c r="Q278" s="22">
        <v>87063.51</v>
      </c>
      <c r="R278" s="22" t="s">
        <v>35</v>
      </c>
    </row>
    <row r="279" hidden="1" spans="1:18">
      <c r="A279" s="22" t="s">
        <v>412</v>
      </c>
      <c r="B279" s="23">
        <v>43823</v>
      </c>
      <c r="C279" s="24">
        <f t="shared" si="4"/>
        <v>12</v>
      </c>
      <c r="D279" s="22" t="s">
        <v>79</v>
      </c>
      <c r="E279" s="22" t="s">
        <v>30</v>
      </c>
      <c r="F279" s="22" t="s">
        <v>21</v>
      </c>
      <c r="G279" s="22" t="s">
        <v>167</v>
      </c>
      <c r="H279" s="22" t="s">
        <v>168</v>
      </c>
      <c r="I279" s="22" t="s">
        <v>24</v>
      </c>
      <c r="J279" s="22" t="s">
        <v>124</v>
      </c>
      <c r="K279" s="22" t="s">
        <v>26</v>
      </c>
      <c r="L279" s="22">
        <v>9</v>
      </c>
      <c r="M279" s="22">
        <v>39200</v>
      </c>
      <c r="N279" s="22">
        <v>0.15</v>
      </c>
      <c r="O279" s="22">
        <v>299880</v>
      </c>
      <c r="P279" s="22">
        <v>185954.81</v>
      </c>
      <c r="Q279" s="22">
        <v>113925.19</v>
      </c>
      <c r="R279" s="22" t="s">
        <v>48</v>
      </c>
    </row>
    <row r="280" hidden="1" spans="1:18">
      <c r="A280" s="22" t="s">
        <v>413</v>
      </c>
      <c r="B280" s="23">
        <v>45691</v>
      </c>
      <c r="C280" s="24">
        <f t="shared" si="4"/>
        <v>2</v>
      </c>
      <c r="D280" s="22" t="s">
        <v>42</v>
      </c>
      <c r="E280" s="22" t="s">
        <v>30</v>
      </c>
      <c r="F280" s="22" t="s">
        <v>60</v>
      </c>
      <c r="G280" s="22" t="s">
        <v>61</v>
      </c>
      <c r="H280" s="22" t="s">
        <v>62</v>
      </c>
      <c r="I280" s="22" t="s">
        <v>45</v>
      </c>
      <c r="J280" s="22" t="s">
        <v>88</v>
      </c>
      <c r="K280" s="22" t="s">
        <v>26</v>
      </c>
      <c r="L280" s="22">
        <v>1</v>
      </c>
      <c r="M280" s="22">
        <v>85400</v>
      </c>
      <c r="N280" s="22">
        <v>0</v>
      </c>
      <c r="O280" s="22">
        <v>85400</v>
      </c>
      <c r="P280" s="22">
        <v>53560.83</v>
      </c>
      <c r="Q280" s="22">
        <v>31839.17</v>
      </c>
      <c r="R280" s="22" t="s">
        <v>48</v>
      </c>
    </row>
    <row r="281" hidden="1" spans="1:18">
      <c r="A281" s="22" t="s">
        <v>414</v>
      </c>
      <c r="B281" s="23">
        <v>44182</v>
      </c>
      <c r="C281" s="24">
        <f t="shared" si="4"/>
        <v>12</v>
      </c>
      <c r="D281" s="22" t="s">
        <v>37</v>
      </c>
      <c r="E281" s="22" t="s">
        <v>30</v>
      </c>
      <c r="F281" s="22" t="s">
        <v>31</v>
      </c>
      <c r="G281" s="22" t="s">
        <v>172</v>
      </c>
      <c r="H281" s="22" t="s">
        <v>286</v>
      </c>
      <c r="I281" s="22" t="s">
        <v>24</v>
      </c>
      <c r="J281" s="22" t="s">
        <v>52</v>
      </c>
      <c r="K281" s="22" t="s">
        <v>53</v>
      </c>
      <c r="L281" s="22">
        <v>4</v>
      </c>
      <c r="M281" s="22">
        <v>23900</v>
      </c>
      <c r="N281" s="22">
        <v>0.05</v>
      </c>
      <c r="O281" s="22">
        <v>90820</v>
      </c>
      <c r="P281" s="22">
        <v>73237.23</v>
      </c>
      <c r="Q281" s="22">
        <v>17582.77</v>
      </c>
      <c r="R281" s="22" t="s">
        <v>27</v>
      </c>
    </row>
    <row r="282" hidden="1" spans="1:18">
      <c r="A282" s="22" t="s">
        <v>415</v>
      </c>
      <c r="B282" s="23">
        <v>44340</v>
      </c>
      <c r="C282" s="24">
        <f t="shared" si="4"/>
        <v>5</v>
      </c>
      <c r="D282" s="22" t="s">
        <v>121</v>
      </c>
      <c r="E282" s="22" t="s">
        <v>30</v>
      </c>
      <c r="F282" s="22" t="s">
        <v>21</v>
      </c>
      <c r="G282" s="22" t="s">
        <v>70</v>
      </c>
      <c r="H282" s="22" t="s">
        <v>71</v>
      </c>
      <c r="I282" s="22" t="s">
        <v>24</v>
      </c>
      <c r="J282" s="22" t="s">
        <v>40</v>
      </c>
      <c r="K282" s="22" t="s">
        <v>47</v>
      </c>
      <c r="L282" s="22">
        <v>9</v>
      </c>
      <c r="M282" s="22">
        <v>64100</v>
      </c>
      <c r="N282" s="22">
        <v>0.2</v>
      </c>
      <c r="O282" s="22">
        <v>461520</v>
      </c>
      <c r="P282" s="22">
        <v>301187.56</v>
      </c>
      <c r="Q282" s="22">
        <v>160332.44</v>
      </c>
      <c r="R282" s="22" t="s">
        <v>77</v>
      </c>
    </row>
    <row r="283" hidden="1" spans="1:18">
      <c r="A283" s="22" t="s">
        <v>416</v>
      </c>
      <c r="B283" s="23">
        <v>43672</v>
      </c>
      <c r="C283" s="24">
        <f t="shared" si="4"/>
        <v>7</v>
      </c>
      <c r="D283" s="22" t="s">
        <v>29</v>
      </c>
      <c r="E283" s="22" t="s">
        <v>30</v>
      </c>
      <c r="F283" s="22" t="s">
        <v>21</v>
      </c>
      <c r="G283" s="22" t="s">
        <v>122</v>
      </c>
      <c r="H283" s="22" t="s">
        <v>138</v>
      </c>
      <c r="I283" s="22" t="s">
        <v>45</v>
      </c>
      <c r="J283" s="22" t="s">
        <v>25</v>
      </c>
      <c r="K283" s="22" t="s">
        <v>53</v>
      </c>
      <c r="L283" s="22">
        <v>10</v>
      </c>
      <c r="M283" s="22">
        <v>10200</v>
      </c>
      <c r="N283" s="22">
        <v>0</v>
      </c>
      <c r="O283" s="22">
        <v>102000</v>
      </c>
      <c r="P283" s="22">
        <v>72891.51</v>
      </c>
      <c r="Q283" s="22">
        <v>29108.49</v>
      </c>
      <c r="R283" s="22" t="s">
        <v>27</v>
      </c>
    </row>
    <row r="284" hidden="1" spans="1:18">
      <c r="A284" s="22" t="s">
        <v>417</v>
      </c>
      <c r="B284" s="23">
        <v>43973</v>
      </c>
      <c r="C284" s="24">
        <f t="shared" si="4"/>
        <v>5</v>
      </c>
      <c r="D284" s="22" t="s">
        <v>75</v>
      </c>
      <c r="E284" s="22" t="s">
        <v>20</v>
      </c>
      <c r="F284" s="22" t="s">
        <v>55</v>
      </c>
      <c r="G284" s="22" t="s">
        <v>109</v>
      </c>
      <c r="H284" s="22" t="s">
        <v>178</v>
      </c>
      <c r="I284" s="22" t="s">
        <v>45</v>
      </c>
      <c r="J284" s="22" t="s">
        <v>46</v>
      </c>
      <c r="K284" s="22" t="s">
        <v>53</v>
      </c>
      <c r="L284" s="22">
        <v>4</v>
      </c>
      <c r="M284" s="22">
        <v>10500</v>
      </c>
      <c r="N284" s="22">
        <v>0</v>
      </c>
      <c r="O284" s="22">
        <v>42000</v>
      </c>
      <c r="P284" s="22">
        <v>28772.22</v>
      </c>
      <c r="Q284" s="22">
        <v>13227.78</v>
      </c>
      <c r="R284" s="22" t="s">
        <v>58</v>
      </c>
    </row>
    <row r="285" hidden="1" spans="1:18">
      <c r="A285" s="22" t="s">
        <v>418</v>
      </c>
      <c r="B285" s="23">
        <v>43300</v>
      </c>
      <c r="C285" s="24">
        <f t="shared" si="4"/>
        <v>7</v>
      </c>
      <c r="D285" s="22" t="s">
        <v>90</v>
      </c>
      <c r="E285" s="22" t="s">
        <v>30</v>
      </c>
      <c r="F285" s="22" t="s">
        <v>21</v>
      </c>
      <c r="G285" s="22" t="s">
        <v>122</v>
      </c>
      <c r="H285" s="22" t="s">
        <v>156</v>
      </c>
      <c r="I285" s="22" t="s">
        <v>51</v>
      </c>
      <c r="J285" s="22" t="s">
        <v>116</v>
      </c>
      <c r="K285" s="22" t="s">
        <v>53</v>
      </c>
      <c r="L285" s="22">
        <v>3</v>
      </c>
      <c r="M285" s="22">
        <v>15100</v>
      </c>
      <c r="N285" s="22">
        <v>0.15</v>
      </c>
      <c r="O285" s="22">
        <v>38505</v>
      </c>
      <c r="P285" s="22">
        <v>24276.67</v>
      </c>
      <c r="Q285" s="22">
        <v>14228.33</v>
      </c>
      <c r="R285" s="22" t="s">
        <v>77</v>
      </c>
    </row>
    <row r="286" hidden="1" spans="1:18">
      <c r="A286" s="22" t="s">
        <v>419</v>
      </c>
      <c r="B286" s="23">
        <v>43296</v>
      </c>
      <c r="C286" s="24">
        <f t="shared" si="4"/>
        <v>7</v>
      </c>
      <c r="D286" s="22" t="s">
        <v>85</v>
      </c>
      <c r="E286" s="22" t="s">
        <v>30</v>
      </c>
      <c r="F286" s="22" t="s">
        <v>60</v>
      </c>
      <c r="G286" s="22" t="s">
        <v>93</v>
      </c>
      <c r="H286" s="22" t="s">
        <v>101</v>
      </c>
      <c r="I286" s="22" t="s">
        <v>24</v>
      </c>
      <c r="J286" s="22" t="s">
        <v>40</v>
      </c>
      <c r="K286" s="22" t="s">
        <v>47</v>
      </c>
      <c r="L286" s="22">
        <v>8</v>
      </c>
      <c r="M286" s="22">
        <v>2000</v>
      </c>
      <c r="N286" s="22">
        <v>0.2</v>
      </c>
      <c r="O286" s="22">
        <v>12800</v>
      </c>
      <c r="P286" s="22">
        <v>9039.38</v>
      </c>
      <c r="Q286" s="22">
        <v>3760.62</v>
      </c>
      <c r="R286" s="22" t="s">
        <v>27</v>
      </c>
    </row>
    <row r="287" hidden="1" spans="1:18">
      <c r="A287" s="22" t="s">
        <v>420</v>
      </c>
      <c r="B287" s="23">
        <v>43814</v>
      </c>
      <c r="C287" s="24">
        <f t="shared" si="4"/>
        <v>12</v>
      </c>
      <c r="D287" s="22" t="s">
        <v>121</v>
      </c>
      <c r="E287" s="22" t="s">
        <v>30</v>
      </c>
      <c r="F287" s="22" t="s">
        <v>96</v>
      </c>
      <c r="G287" s="22" t="s">
        <v>97</v>
      </c>
      <c r="H287" s="22" t="s">
        <v>289</v>
      </c>
      <c r="I287" s="22" t="s">
        <v>45</v>
      </c>
      <c r="J287" s="22" t="s">
        <v>63</v>
      </c>
      <c r="K287" s="22" t="s">
        <v>53</v>
      </c>
      <c r="L287" s="22">
        <v>8</v>
      </c>
      <c r="M287" s="22">
        <v>64000</v>
      </c>
      <c r="N287" s="22">
        <v>0.05</v>
      </c>
      <c r="O287" s="22">
        <v>486400</v>
      </c>
      <c r="P287" s="22">
        <v>334092.28</v>
      </c>
      <c r="Q287" s="22">
        <v>152307.72</v>
      </c>
      <c r="R287" s="22" t="s">
        <v>77</v>
      </c>
    </row>
    <row r="288" hidden="1" spans="1:18">
      <c r="A288" s="22" t="s">
        <v>421</v>
      </c>
      <c r="B288" s="23">
        <v>43330</v>
      </c>
      <c r="C288" s="24">
        <f t="shared" si="4"/>
        <v>8</v>
      </c>
      <c r="D288" s="22" t="s">
        <v>79</v>
      </c>
      <c r="E288" s="22" t="s">
        <v>30</v>
      </c>
      <c r="F288" s="22" t="s">
        <v>55</v>
      </c>
      <c r="G288" s="22" t="s">
        <v>109</v>
      </c>
      <c r="H288" s="22" t="s">
        <v>185</v>
      </c>
      <c r="I288" s="22" t="s">
        <v>24</v>
      </c>
      <c r="J288" s="22" t="s">
        <v>40</v>
      </c>
      <c r="K288" s="22" t="s">
        <v>26</v>
      </c>
      <c r="L288" s="22">
        <v>5</v>
      </c>
      <c r="M288" s="22">
        <v>60500</v>
      </c>
      <c r="N288" s="22">
        <v>0.1</v>
      </c>
      <c r="O288" s="22">
        <v>272250</v>
      </c>
      <c r="P288" s="22">
        <v>222463.36</v>
      </c>
      <c r="Q288" s="22">
        <v>49786.64</v>
      </c>
      <c r="R288" s="22" t="s">
        <v>48</v>
      </c>
    </row>
    <row r="289" hidden="1" spans="1:18">
      <c r="A289" s="22" t="s">
        <v>422</v>
      </c>
      <c r="B289" s="23">
        <v>43697</v>
      </c>
      <c r="C289" s="24">
        <f t="shared" si="4"/>
        <v>8</v>
      </c>
      <c r="D289" s="22" t="s">
        <v>79</v>
      </c>
      <c r="E289" s="22" t="s">
        <v>30</v>
      </c>
      <c r="F289" s="22" t="s">
        <v>21</v>
      </c>
      <c r="G289" s="22" t="s">
        <v>70</v>
      </c>
      <c r="H289" s="22" t="s">
        <v>83</v>
      </c>
      <c r="I289" s="22" t="s">
        <v>24</v>
      </c>
      <c r="J289" s="22" t="s">
        <v>116</v>
      </c>
      <c r="K289" s="22" t="s">
        <v>47</v>
      </c>
      <c r="L289" s="22">
        <v>4</v>
      </c>
      <c r="M289" s="22">
        <v>74100</v>
      </c>
      <c r="N289" s="22">
        <v>0.15</v>
      </c>
      <c r="O289" s="22">
        <v>251940</v>
      </c>
      <c r="P289" s="22">
        <v>177996.35</v>
      </c>
      <c r="Q289" s="22">
        <v>73943.65</v>
      </c>
      <c r="R289" s="22" t="s">
        <v>48</v>
      </c>
    </row>
    <row r="290" hidden="1" spans="1:18">
      <c r="A290" s="22" t="s">
        <v>423</v>
      </c>
      <c r="B290" s="23">
        <v>43190</v>
      </c>
      <c r="C290" s="24">
        <f t="shared" si="4"/>
        <v>3</v>
      </c>
      <c r="D290" s="22" t="s">
        <v>29</v>
      </c>
      <c r="E290" s="22" t="s">
        <v>30</v>
      </c>
      <c r="F290" s="22" t="s">
        <v>21</v>
      </c>
      <c r="G290" s="22" t="s">
        <v>167</v>
      </c>
      <c r="H290" s="22" t="s">
        <v>254</v>
      </c>
      <c r="I290" s="22" t="s">
        <v>24</v>
      </c>
      <c r="J290" s="22" t="s">
        <v>99</v>
      </c>
      <c r="K290" s="22" t="s">
        <v>26</v>
      </c>
      <c r="L290" s="22">
        <v>9</v>
      </c>
      <c r="M290" s="22">
        <v>4000</v>
      </c>
      <c r="N290" s="22">
        <v>0.1</v>
      </c>
      <c r="O290" s="22">
        <v>32400</v>
      </c>
      <c r="P290" s="22">
        <v>23522.75</v>
      </c>
      <c r="Q290" s="22">
        <v>8877.25</v>
      </c>
      <c r="R290" s="22" t="s">
        <v>58</v>
      </c>
    </row>
    <row r="291" hidden="1" spans="1:18">
      <c r="A291" s="22" t="s">
        <v>424</v>
      </c>
      <c r="B291" s="23">
        <v>45780</v>
      </c>
      <c r="C291" s="24">
        <f t="shared" si="4"/>
        <v>5</v>
      </c>
      <c r="D291" s="22" t="s">
        <v>75</v>
      </c>
      <c r="E291" s="22" t="s">
        <v>30</v>
      </c>
      <c r="F291" s="22" t="s">
        <v>60</v>
      </c>
      <c r="G291" s="22" t="s">
        <v>61</v>
      </c>
      <c r="H291" s="22" t="s">
        <v>62</v>
      </c>
      <c r="I291" s="22" t="s">
        <v>51</v>
      </c>
      <c r="J291" s="22" t="s">
        <v>116</v>
      </c>
      <c r="K291" s="22" t="s">
        <v>26</v>
      </c>
      <c r="L291" s="22">
        <v>9</v>
      </c>
      <c r="M291" s="22">
        <v>2900</v>
      </c>
      <c r="N291" s="22">
        <v>0.2</v>
      </c>
      <c r="O291" s="22">
        <v>20880</v>
      </c>
      <c r="P291" s="22">
        <v>15007.27</v>
      </c>
      <c r="Q291" s="22">
        <v>5872.73</v>
      </c>
      <c r="R291" s="22" t="s">
        <v>48</v>
      </c>
    </row>
    <row r="292" hidden="1" spans="1:18">
      <c r="A292" s="22" t="s">
        <v>425</v>
      </c>
      <c r="B292" s="23">
        <v>43675</v>
      </c>
      <c r="C292" s="24">
        <f t="shared" si="4"/>
        <v>7</v>
      </c>
      <c r="D292" s="22" t="s">
        <v>133</v>
      </c>
      <c r="E292" s="22" t="s">
        <v>213</v>
      </c>
      <c r="F292" s="22" t="s">
        <v>31</v>
      </c>
      <c r="G292" s="22" t="s">
        <v>66</v>
      </c>
      <c r="H292" s="22" t="s">
        <v>316</v>
      </c>
      <c r="I292" s="22" t="s">
        <v>24</v>
      </c>
      <c r="J292" s="22" t="s">
        <v>124</v>
      </c>
      <c r="K292" s="22" t="s">
        <v>53</v>
      </c>
      <c r="L292" s="22">
        <v>9</v>
      </c>
      <c r="M292" s="22">
        <v>8700</v>
      </c>
      <c r="N292" s="22">
        <v>0.15</v>
      </c>
      <c r="O292" s="22">
        <v>66555</v>
      </c>
      <c r="P292" s="22">
        <v>44122.83</v>
      </c>
      <c r="Q292" s="22">
        <v>22432.17</v>
      </c>
      <c r="R292" s="22" t="s">
        <v>77</v>
      </c>
    </row>
    <row r="293" hidden="1" spans="1:18">
      <c r="A293" s="22" t="s">
        <v>426</v>
      </c>
      <c r="B293" s="23">
        <v>43256</v>
      </c>
      <c r="C293" s="24">
        <f t="shared" si="4"/>
        <v>6</v>
      </c>
      <c r="D293" s="22" t="s">
        <v>79</v>
      </c>
      <c r="E293" s="22" t="s">
        <v>30</v>
      </c>
      <c r="F293" s="22" t="s">
        <v>60</v>
      </c>
      <c r="G293" s="22" t="s">
        <v>93</v>
      </c>
      <c r="H293" s="22" t="s">
        <v>101</v>
      </c>
      <c r="I293" s="22" t="s">
        <v>51</v>
      </c>
      <c r="J293" s="22" t="s">
        <v>88</v>
      </c>
      <c r="K293" s="22" t="s">
        <v>26</v>
      </c>
      <c r="L293" s="22">
        <v>7</v>
      </c>
      <c r="M293" s="22">
        <v>48000</v>
      </c>
      <c r="N293" s="22">
        <v>0.05</v>
      </c>
      <c r="O293" s="22">
        <v>319200</v>
      </c>
      <c r="P293" s="22">
        <v>231787.11</v>
      </c>
      <c r="Q293" s="22">
        <v>87412.89</v>
      </c>
      <c r="R293" s="22" t="s">
        <v>48</v>
      </c>
    </row>
    <row r="294" hidden="1" spans="1:18">
      <c r="A294" s="22" t="s">
        <v>427</v>
      </c>
      <c r="B294" s="23">
        <v>44644</v>
      </c>
      <c r="C294" s="24">
        <f t="shared" si="4"/>
        <v>3</v>
      </c>
      <c r="D294" s="22" t="s">
        <v>29</v>
      </c>
      <c r="E294" s="22" t="s">
        <v>30</v>
      </c>
      <c r="F294" s="22" t="s">
        <v>31</v>
      </c>
      <c r="G294" s="22" t="s">
        <v>172</v>
      </c>
      <c r="H294" s="22" t="s">
        <v>173</v>
      </c>
      <c r="I294" s="22" t="s">
        <v>24</v>
      </c>
      <c r="J294" s="22" t="s">
        <v>88</v>
      </c>
      <c r="K294" s="22" t="s">
        <v>26</v>
      </c>
      <c r="L294" s="22">
        <v>4</v>
      </c>
      <c r="M294" s="22">
        <v>7100</v>
      </c>
      <c r="N294" s="22">
        <v>0.1</v>
      </c>
      <c r="O294" s="22">
        <v>25560</v>
      </c>
      <c r="P294" s="22">
        <v>19818.27</v>
      </c>
      <c r="Q294" s="22">
        <v>5741.73</v>
      </c>
      <c r="R294" s="22" t="s">
        <v>27</v>
      </c>
    </row>
    <row r="295" hidden="1" spans="1:18">
      <c r="A295" s="22" t="s">
        <v>428</v>
      </c>
      <c r="B295" s="23">
        <v>43666</v>
      </c>
      <c r="C295" s="24">
        <f t="shared" si="4"/>
        <v>7</v>
      </c>
      <c r="D295" s="22" t="s">
        <v>90</v>
      </c>
      <c r="E295" s="22" t="s">
        <v>30</v>
      </c>
      <c r="F295" s="22" t="s">
        <v>96</v>
      </c>
      <c r="G295" s="22" t="s">
        <v>113</v>
      </c>
      <c r="H295" s="22" t="s">
        <v>119</v>
      </c>
      <c r="I295" s="22" t="s">
        <v>24</v>
      </c>
      <c r="J295" s="22" t="s">
        <v>99</v>
      </c>
      <c r="K295" s="22" t="s">
        <v>26</v>
      </c>
      <c r="L295" s="22">
        <v>3</v>
      </c>
      <c r="M295" s="22">
        <v>43400</v>
      </c>
      <c r="N295" s="22">
        <v>0</v>
      </c>
      <c r="O295" s="22">
        <v>130200</v>
      </c>
      <c r="P295" s="22">
        <v>105911.84</v>
      </c>
      <c r="Q295" s="22">
        <v>24288.16</v>
      </c>
      <c r="R295" s="22" t="s">
        <v>77</v>
      </c>
    </row>
    <row r="296" hidden="1" spans="1:18">
      <c r="A296" s="22" t="s">
        <v>429</v>
      </c>
      <c r="B296" s="23">
        <v>44017</v>
      </c>
      <c r="C296" s="24">
        <f t="shared" si="4"/>
        <v>7</v>
      </c>
      <c r="D296" s="22" t="s">
        <v>90</v>
      </c>
      <c r="E296" s="22" t="s">
        <v>30</v>
      </c>
      <c r="F296" s="22" t="s">
        <v>21</v>
      </c>
      <c r="G296" s="22" t="s">
        <v>122</v>
      </c>
      <c r="H296" s="22" t="s">
        <v>156</v>
      </c>
      <c r="I296" s="22" t="s">
        <v>45</v>
      </c>
      <c r="J296" s="22" t="s">
        <v>63</v>
      </c>
      <c r="K296" s="22" t="s">
        <v>26</v>
      </c>
      <c r="L296" s="22">
        <v>8</v>
      </c>
      <c r="M296" s="22">
        <v>20300</v>
      </c>
      <c r="N296" s="22">
        <v>0.1</v>
      </c>
      <c r="O296" s="22">
        <v>146160</v>
      </c>
      <c r="P296" s="22">
        <v>109003.81</v>
      </c>
      <c r="Q296" s="22">
        <v>37156.19</v>
      </c>
      <c r="R296" s="22" t="s">
        <v>35</v>
      </c>
    </row>
    <row r="297" hidden="1" spans="1:18">
      <c r="A297" s="22" t="s">
        <v>430</v>
      </c>
      <c r="B297" s="23">
        <v>43316</v>
      </c>
      <c r="C297" s="24">
        <f t="shared" si="4"/>
        <v>8</v>
      </c>
      <c r="D297" s="22" t="s">
        <v>121</v>
      </c>
      <c r="E297" s="22" t="s">
        <v>30</v>
      </c>
      <c r="F297" s="22" t="s">
        <v>60</v>
      </c>
      <c r="G297" s="22" t="s">
        <v>86</v>
      </c>
      <c r="H297" s="22" t="s">
        <v>104</v>
      </c>
      <c r="I297" s="22" t="s">
        <v>24</v>
      </c>
      <c r="J297" s="22" t="s">
        <v>73</v>
      </c>
      <c r="K297" s="22" t="s">
        <v>47</v>
      </c>
      <c r="L297" s="22">
        <v>5</v>
      </c>
      <c r="M297" s="22">
        <v>67300</v>
      </c>
      <c r="N297" s="22">
        <v>0.05</v>
      </c>
      <c r="O297" s="22">
        <v>319675</v>
      </c>
      <c r="P297" s="22">
        <v>241893.07</v>
      </c>
      <c r="Q297" s="22">
        <v>77781.93</v>
      </c>
      <c r="R297" s="22" t="s">
        <v>77</v>
      </c>
    </row>
    <row r="298" hidden="1" spans="1:18">
      <c r="A298" s="22" t="s">
        <v>431</v>
      </c>
      <c r="B298" s="23">
        <v>43335</v>
      </c>
      <c r="C298" s="24">
        <f t="shared" si="4"/>
        <v>8</v>
      </c>
      <c r="D298" s="22" t="s">
        <v>65</v>
      </c>
      <c r="E298" s="22" t="s">
        <v>30</v>
      </c>
      <c r="F298" s="22" t="s">
        <v>21</v>
      </c>
      <c r="G298" s="22" t="s">
        <v>122</v>
      </c>
      <c r="H298" s="22" t="s">
        <v>123</v>
      </c>
      <c r="I298" s="22" t="s">
        <v>51</v>
      </c>
      <c r="J298" s="22" t="s">
        <v>25</v>
      </c>
      <c r="K298" s="22" t="s">
        <v>47</v>
      </c>
      <c r="L298" s="22">
        <v>2</v>
      </c>
      <c r="M298" s="22">
        <v>1600</v>
      </c>
      <c r="N298" s="22">
        <v>0.1</v>
      </c>
      <c r="O298" s="22">
        <v>2880</v>
      </c>
      <c r="P298" s="22">
        <v>1996.24</v>
      </c>
      <c r="Q298" s="22">
        <v>883.76</v>
      </c>
      <c r="R298" s="22" t="s">
        <v>27</v>
      </c>
    </row>
    <row r="299" hidden="1" spans="1:18">
      <c r="A299" s="22" t="s">
        <v>432</v>
      </c>
      <c r="B299" s="23">
        <v>45741</v>
      </c>
      <c r="C299" s="24">
        <f t="shared" si="4"/>
        <v>3</v>
      </c>
      <c r="D299" s="22" t="s">
        <v>65</v>
      </c>
      <c r="E299" s="22" t="s">
        <v>30</v>
      </c>
      <c r="F299" s="22" t="s">
        <v>21</v>
      </c>
      <c r="G299" s="22" t="s">
        <v>22</v>
      </c>
      <c r="H299" s="22" t="s">
        <v>215</v>
      </c>
      <c r="I299" s="22" t="s">
        <v>24</v>
      </c>
      <c r="J299" s="22" t="s">
        <v>40</v>
      </c>
      <c r="K299" s="22" t="s">
        <v>53</v>
      </c>
      <c r="L299" s="22">
        <v>8</v>
      </c>
      <c r="M299" s="22">
        <v>3000</v>
      </c>
      <c r="N299" s="22">
        <v>0.05</v>
      </c>
      <c r="O299" s="22">
        <v>22800</v>
      </c>
      <c r="P299" s="22">
        <v>18857.42</v>
      </c>
      <c r="Q299" s="22">
        <v>3942.58</v>
      </c>
      <c r="R299" s="22" t="s">
        <v>27</v>
      </c>
    </row>
    <row r="300" hidden="1" spans="1:18">
      <c r="A300" s="22" t="s">
        <v>433</v>
      </c>
      <c r="B300" s="23">
        <v>43687</v>
      </c>
      <c r="C300" s="24">
        <f t="shared" si="4"/>
        <v>8</v>
      </c>
      <c r="D300" s="22" t="s">
        <v>79</v>
      </c>
      <c r="E300" s="22" t="s">
        <v>30</v>
      </c>
      <c r="F300" s="22" t="s">
        <v>31</v>
      </c>
      <c r="G300" s="22" t="s">
        <v>172</v>
      </c>
      <c r="H300" s="22" t="s">
        <v>269</v>
      </c>
      <c r="I300" s="22" t="s">
        <v>45</v>
      </c>
      <c r="J300" s="22" t="s">
        <v>88</v>
      </c>
      <c r="K300" s="22" t="s">
        <v>26</v>
      </c>
      <c r="L300" s="22">
        <v>9</v>
      </c>
      <c r="M300" s="22">
        <v>59300</v>
      </c>
      <c r="N300" s="22">
        <v>0.1</v>
      </c>
      <c r="O300" s="22">
        <v>480330</v>
      </c>
      <c r="P300" s="22">
        <v>342475.43</v>
      </c>
      <c r="Q300" s="22">
        <v>137854.57</v>
      </c>
      <c r="R300" s="22" t="s">
        <v>48</v>
      </c>
    </row>
    <row r="301" hidden="1" spans="1:18">
      <c r="A301" s="22" t="s">
        <v>434</v>
      </c>
      <c r="B301" s="23">
        <v>43134</v>
      </c>
      <c r="C301" s="24">
        <f t="shared" si="4"/>
        <v>2</v>
      </c>
      <c r="D301" s="22" t="s">
        <v>85</v>
      </c>
      <c r="E301" s="22" t="s">
        <v>30</v>
      </c>
      <c r="F301" s="22" t="s">
        <v>21</v>
      </c>
      <c r="G301" s="22" t="s">
        <v>22</v>
      </c>
      <c r="H301" s="22" t="s">
        <v>215</v>
      </c>
      <c r="I301" s="22" t="s">
        <v>45</v>
      </c>
      <c r="J301" s="22" t="s">
        <v>34</v>
      </c>
      <c r="K301" s="22" t="s">
        <v>47</v>
      </c>
      <c r="L301" s="22">
        <v>8</v>
      </c>
      <c r="M301" s="22">
        <v>3600</v>
      </c>
      <c r="N301" s="22">
        <v>0.2</v>
      </c>
      <c r="O301" s="22">
        <v>23040</v>
      </c>
      <c r="P301" s="22">
        <v>17344.52</v>
      </c>
      <c r="Q301" s="22">
        <v>5695.48</v>
      </c>
      <c r="R301" s="22" t="s">
        <v>77</v>
      </c>
    </row>
    <row r="302" hidden="1" spans="1:18">
      <c r="A302" s="22" t="s">
        <v>435</v>
      </c>
      <c r="B302" s="23">
        <v>46066</v>
      </c>
      <c r="C302" s="24">
        <f t="shared" si="4"/>
        <v>2</v>
      </c>
      <c r="D302" s="22" t="s">
        <v>121</v>
      </c>
      <c r="E302" s="22" t="s">
        <v>30</v>
      </c>
      <c r="F302" s="22" t="s">
        <v>55</v>
      </c>
      <c r="G302" s="22" t="s">
        <v>109</v>
      </c>
      <c r="H302" s="22" t="s">
        <v>110</v>
      </c>
      <c r="I302" s="22" t="s">
        <v>45</v>
      </c>
      <c r="J302" s="22" t="s">
        <v>34</v>
      </c>
      <c r="K302" s="22" t="s">
        <v>53</v>
      </c>
      <c r="L302" s="22">
        <v>2</v>
      </c>
      <c r="M302" s="22">
        <v>65700</v>
      </c>
      <c r="N302" s="22">
        <v>0</v>
      </c>
      <c r="O302" s="22">
        <v>131400</v>
      </c>
      <c r="P302" s="22">
        <v>109364.66</v>
      </c>
      <c r="Q302" s="22">
        <v>22035.34</v>
      </c>
      <c r="R302" s="22" t="s">
        <v>58</v>
      </c>
    </row>
    <row r="303" hidden="1" spans="1:18">
      <c r="A303" s="22" t="s">
        <v>436</v>
      </c>
      <c r="B303" s="23">
        <v>44196</v>
      </c>
      <c r="C303" s="24">
        <f t="shared" si="4"/>
        <v>12</v>
      </c>
      <c r="D303" s="22" t="s">
        <v>65</v>
      </c>
      <c r="E303" s="22" t="s">
        <v>30</v>
      </c>
      <c r="F303" s="22" t="s">
        <v>60</v>
      </c>
      <c r="G303" s="22" t="s">
        <v>93</v>
      </c>
      <c r="H303" s="22" t="s">
        <v>181</v>
      </c>
      <c r="I303" s="22" t="s">
        <v>51</v>
      </c>
      <c r="J303" s="22" t="s">
        <v>73</v>
      </c>
      <c r="K303" s="22" t="s">
        <v>26</v>
      </c>
      <c r="L303" s="22">
        <v>2</v>
      </c>
      <c r="M303" s="22">
        <v>2700</v>
      </c>
      <c r="N303" s="22">
        <v>0.2</v>
      </c>
      <c r="O303" s="22">
        <v>4320</v>
      </c>
      <c r="P303" s="22">
        <v>2779.05</v>
      </c>
      <c r="Q303" s="22">
        <v>1540.95</v>
      </c>
      <c r="R303" s="22" t="s">
        <v>48</v>
      </c>
    </row>
    <row r="304" hidden="1" spans="1:18">
      <c r="A304" s="22" t="s">
        <v>437</v>
      </c>
      <c r="B304" s="23">
        <v>44016</v>
      </c>
      <c r="C304" s="24">
        <f t="shared" si="4"/>
        <v>7</v>
      </c>
      <c r="D304" s="22" t="s">
        <v>133</v>
      </c>
      <c r="E304" s="22" t="s">
        <v>213</v>
      </c>
      <c r="F304" s="22" t="s">
        <v>96</v>
      </c>
      <c r="G304" s="22" t="s">
        <v>97</v>
      </c>
      <c r="H304" s="22" t="s">
        <v>289</v>
      </c>
      <c r="I304" s="22" t="s">
        <v>24</v>
      </c>
      <c r="J304" s="22" t="s">
        <v>99</v>
      </c>
      <c r="K304" s="22" t="s">
        <v>26</v>
      </c>
      <c r="L304" s="22">
        <v>4</v>
      </c>
      <c r="M304" s="22">
        <v>18300</v>
      </c>
      <c r="N304" s="22">
        <v>0.1</v>
      </c>
      <c r="O304" s="22">
        <v>65880</v>
      </c>
      <c r="P304" s="22">
        <v>46761.19</v>
      </c>
      <c r="Q304" s="22">
        <v>19118.81</v>
      </c>
      <c r="R304" s="22" t="s">
        <v>58</v>
      </c>
    </row>
    <row r="305" hidden="1" spans="1:18">
      <c r="A305" s="22" t="s">
        <v>438</v>
      </c>
      <c r="B305" s="23">
        <v>43980</v>
      </c>
      <c r="C305" s="24">
        <f t="shared" si="4"/>
        <v>5</v>
      </c>
      <c r="D305" s="22" t="s">
        <v>75</v>
      </c>
      <c r="E305" s="22" t="s">
        <v>30</v>
      </c>
      <c r="F305" s="22" t="s">
        <v>60</v>
      </c>
      <c r="G305" s="22" t="s">
        <v>141</v>
      </c>
      <c r="H305" s="22" t="s">
        <v>142</v>
      </c>
      <c r="I305" s="22" t="s">
        <v>51</v>
      </c>
      <c r="J305" s="22" t="s">
        <v>170</v>
      </c>
      <c r="K305" s="22" t="s">
        <v>26</v>
      </c>
      <c r="L305" s="22">
        <v>10</v>
      </c>
      <c r="M305" s="22">
        <v>28200</v>
      </c>
      <c r="N305" s="22">
        <v>0</v>
      </c>
      <c r="O305" s="22">
        <v>282000</v>
      </c>
      <c r="P305" s="22">
        <v>216096.26</v>
      </c>
      <c r="Q305" s="22">
        <v>65903.74</v>
      </c>
      <c r="R305" s="22" t="s">
        <v>35</v>
      </c>
    </row>
    <row r="306" hidden="1" spans="1:18">
      <c r="A306" s="22" t="s">
        <v>439</v>
      </c>
      <c r="B306" s="23">
        <v>43805</v>
      </c>
      <c r="C306" s="24">
        <f t="shared" si="4"/>
        <v>12</v>
      </c>
      <c r="D306" s="22" t="s">
        <v>29</v>
      </c>
      <c r="E306" s="22" t="s">
        <v>30</v>
      </c>
      <c r="F306" s="22" t="s">
        <v>60</v>
      </c>
      <c r="G306" s="22" t="s">
        <v>86</v>
      </c>
      <c r="H306" s="22" t="s">
        <v>106</v>
      </c>
      <c r="I306" s="22" t="s">
        <v>24</v>
      </c>
      <c r="J306" s="22" t="s">
        <v>34</v>
      </c>
      <c r="K306" s="22" t="s">
        <v>47</v>
      </c>
      <c r="L306" s="22">
        <v>4</v>
      </c>
      <c r="M306" s="22">
        <v>5800</v>
      </c>
      <c r="N306" s="22">
        <v>0.1</v>
      </c>
      <c r="O306" s="22">
        <v>20880</v>
      </c>
      <c r="P306" s="22">
        <v>12987.19</v>
      </c>
      <c r="Q306" s="22">
        <v>7892.81</v>
      </c>
      <c r="R306" s="22" t="s">
        <v>58</v>
      </c>
    </row>
    <row r="307" hidden="1" spans="1:18">
      <c r="A307" s="22" t="s">
        <v>440</v>
      </c>
      <c r="B307" s="23">
        <v>44079</v>
      </c>
      <c r="C307" s="24">
        <f t="shared" si="4"/>
        <v>9</v>
      </c>
      <c r="D307" s="22" t="s">
        <v>29</v>
      </c>
      <c r="E307" s="22" t="s">
        <v>30</v>
      </c>
      <c r="F307" s="22" t="s">
        <v>96</v>
      </c>
      <c r="G307" s="22" t="s">
        <v>113</v>
      </c>
      <c r="H307" s="22" t="s">
        <v>114</v>
      </c>
      <c r="I307" s="22" t="s">
        <v>45</v>
      </c>
      <c r="J307" s="22" t="s">
        <v>88</v>
      </c>
      <c r="K307" s="22" t="s">
        <v>47</v>
      </c>
      <c r="L307" s="22">
        <v>1</v>
      </c>
      <c r="M307" s="22">
        <v>10000</v>
      </c>
      <c r="N307" s="22">
        <v>0</v>
      </c>
      <c r="O307" s="22">
        <v>10000</v>
      </c>
      <c r="P307" s="22">
        <v>8205.35</v>
      </c>
      <c r="Q307" s="22">
        <v>1794.65</v>
      </c>
      <c r="R307" s="22" t="s">
        <v>27</v>
      </c>
    </row>
    <row r="308" hidden="1" spans="1:18">
      <c r="A308" s="22" t="s">
        <v>441</v>
      </c>
      <c r="B308" s="23">
        <v>43226</v>
      </c>
      <c r="C308" s="24">
        <f t="shared" si="4"/>
        <v>5</v>
      </c>
      <c r="D308" s="22" t="s">
        <v>79</v>
      </c>
      <c r="E308" s="22" t="s">
        <v>30</v>
      </c>
      <c r="F308" s="22" t="s">
        <v>21</v>
      </c>
      <c r="G308" s="22" t="s">
        <v>122</v>
      </c>
      <c r="H308" s="22" t="s">
        <v>123</v>
      </c>
      <c r="I308" s="22" t="s">
        <v>51</v>
      </c>
      <c r="J308" s="22" t="s">
        <v>25</v>
      </c>
      <c r="K308" s="22" t="s">
        <v>53</v>
      </c>
      <c r="L308" s="22">
        <v>3</v>
      </c>
      <c r="M308" s="22">
        <v>27900</v>
      </c>
      <c r="N308" s="22">
        <v>0.1</v>
      </c>
      <c r="O308" s="22">
        <v>75330</v>
      </c>
      <c r="P308" s="22">
        <v>56562.04</v>
      </c>
      <c r="Q308" s="22">
        <v>18767.96</v>
      </c>
      <c r="R308" s="22" t="s">
        <v>35</v>
      </c>
    </row>
    <row r="309" hidden="1" spans="1:18">
      <c r="A309" s="22" t="s">
        <v>442</v>
      </c>
      <c r="B309" s="23">
        <v>45695</v>
      </c>
      <c r="C309" s="24">
        <f t="shared" si="4"/>
        <v>2</v>
      </c>
      <c r="D309" s="22" t="s">
        <v>37</v>
      </c>
      <c r="E309" s="22" t="s">
        <v>30</v>
      </c>
      <c r="F309" s="22" t="s">
        <v>55</v>
      </c>
      <c r="G309" s="22" t="s">
        <v>109</v>
      </c>
      <c r="H309" s="22" t="s">
        <v>110</v>
      </c>
      <c r="I309" s="22" t="s">
        <v>45</v>
      </c>
      <c r="J309" s="22" t="s">
        <v>116</v>
      </c>
      <c r="K309" s="22" t="s">
        <v>26</v>
      </c>
      <c r="L309" s="22">
        <v>8</v>
      </c>
      <c r="M309" s="22">
        <v>14200</v>
      </c>
      <c r="N309" s="22">
        <v>0.1</v>
      </c>
      <c r="O309" s="22">
        <v>102240</v>
      </c>
      <c r="P309" s="22">
        <v>80098.28</v>
      </c>
      <c r="Q309" s="22">
        <v>22141.72</v>
      </c>
      <c r="R309" s="22" t="s">
        <v>35</v>
      </c>
    </row>
    <row r="310" hidden="1" spans="1:18">
      <c r="A310" s="22" t="s">
        <v>443</v>
      </c>
      <c r="B310" s="23">
        <v>43708</v>
      </c>
      <c r="C310" s="24">
        <f t="shared" si="4"/>
        <v>8</v>
      </c>
      <c r="D310" s="22" t="s">
        <v>133</v>
      </c>
      <c r="E310" s="22" t="s">
        <v>213</v>
      </c>
      <c r="F310" s="22" t="s">
        <v>21</v>
      </c>
      <c r="G310" s="22" t="s">
        <v>122</v>
      </c>
      <c r="H310" s="22" t="s">
        <v>138</v>
      </c>
      <c r="I310" s="22" t="s">
        <v>51</v>
      </c>
      <c r="J310" s="22" t="s">
        <v>116</v>
      </c>
      <c r="K310" s="22" t="s">
        <v>26</v>
      </c>
      <c r="L310" s="22">
        <v>1</v>
      </c>
      <c r="M310" s="22">
        <v>22000</v>
      </c>
      <c r="N310" s="22">
        <v>0.2</v>
      </c>
      <c r="O310" s="22">
        <v>17600</v>
      </c>
      <c r="P310" s="22">
        <v>14241.24</v>
      </c>
      <c r="Q310" s="22">
        <v>3358.76</v>
      </c>
      <c r="R310" s="22" t="s">
        <v>27</v>
      </c>
    </row>
    <row r="311" hidden="1" spans="1:18">
      <c r="A311" s="22" t="s">
        <v>444</v>
      </c>
      <c r="B311" s="23">
        <v>43109</v>
      </c>
      <c r="C311" s="24">
        <f t="shared" si="4"/>
        <v>1</v>
      </c>
      <c r="D311" s="22" t="s">
        <v>65</v>
      </c>
      <c r="E311" s="22" t="s">
        <v>30</v>
      </c>
      <c r="F311" s="22" t="s">
        <v>21</v>
      </c>
      <c r="G311" s="22" t="s">
        <v>70</v>
      </c>
      <c r="H311" s="22" t="s">
        <v>83</v>
      </c>
      <c r="I311" s="22" t="s">
        <v>45</v>
      </c>
      <c r="J311" s="22" t="s">
        <v>46</v>
      </c>
      <c r="K311" s="22" t="s">
        <v>53</v>
      </c>
      <c r="L311" s="22">
        <v>10</v>
      </c>
      <c r="M311" s="22">
        <v>1700</v>
      </c>
      <c r="N311" s="22">
        <v>0.1</v>
      </c>
      <c r="O311" s="22">
        <v>15300</v>
      </c>
      <c r="P311" s="22">
        <v>9972.01</v>
      </c>
      <c r="Q311" s="22">
        <v>5327.99</v>
      </c>
      <c r="R311" s="22" t="s">
        <v>35</v>
      </c>
    </row>
    <row r="312" hidden="1" spans="1:18">
      <c r="A312" s="22" t="s">
        <v>445</v>
      </c>
      <c r="B312" s="23">
        <v>45720</v>
      </c>
      <c r="C312" s="24">
        <f t="shared" si="4"/>
        <v>3</v>
      </c>
      <c r="D312" s="22" t="s">
        <v>103</v>
      </c>
      <c r="E312" s="22" t="s">
        <v>30</v>
      </c>
      <c r="F312" s="22" t="s">
        <v>21</v>
      </c>
      <c r="G312" s="22" t="s">
        <v>167</v>
      </c>
      <c r="H312" s="22" t="s">
        <v>168</v>
      </c>
      <c r="I312" s="22" t="s">
        <v>45</v>
      </c>
      <c r="J312" s="22" t="s">
        <v>88</v>
      </c>
      <c r="K312" s="22" t="s">
        <v>26</v>
      </c>
      <c r="L312" s="22">
        <v>4</v>
      </c>
      <c r="M312" s="22">
        <v>31500</v>
      </c>
      <c r="N312" s="22">
        <v>0.05</v>
      </c>
      <c r="O312" s="22">
        <v>119700</v>
      </c>
      <c r="P312" s="22">
        <v>86578.49</v>
      </c>
      <c r="Q312" s="22">
        <v>33121.51</v>
      </c>
      <c r="R312" s="22" t="s">
        <v>48</v>
      </c>
    </row>
    <row r="313" hidden="1" spans="1:18">
      <c r="A313" s="22" t="s">
        <v>446</v>
      </c>
      <c r="B313" s="23">
        <v>43800</v>
      </c>
      <c r="C313" s="24">
        <f t="shared" si="4"/>
        <v>12</v>
      </c>
      <c r="D313" s="22" t="s">
        <v>37</v>
      </c>
      <c r="E313" s="22" t="s">
        <v>30</v>
      </c>
      <c r="F313" s="22" t="s">
        <v>96</v>
      </c>
      <c r="G313" s="22" t="s">
        <v>113</v>
      </c>
      <c r="H313" s="22" t="s">
        <v>126</v>
      </c>
      <c r="I313" s="22" t="s">
        <v>45</v>
      </c>
      <c r="J313" s="22" t="s">
        <v>99</v>
      </c>
      <c r="K313" s="22" t="s">
        <v>26</v>
      </c>
      <c r="L313" s="22">
        <v>5</v>
      </c>
      <c r="M313" s="22">
        <v>29400</v>
      </c>
      <c r="N313" s="22">
        <v>0.2</v>
      </c>
      <c r="O313" s="22">
        <v>117600</v>
      </c>
      <c r="P313" s="22">
        <v>92232.61</v>
      </c>
      <c r="Q313" s="22">
        <v>25367.39</v>
      </c>
      <c r="R313" s="22" t="s">
        <v>48</v>
      </c>
    </row>
    <row r="314" hidden="1" spans="1:18">
      <c r="A314" s="22" t="s">
        <v>447</v>
      </c>
      <c r="B314" s="23">
        <v>45726</v>
      </c>
      <c r="C314" s="24">
        <f t="shared" si="4"/>
        <v>3</v>
      </c>
      <c r="D314" s="22" t="s">
        <v>103</v>
      </c>
      <c r="E314" s="22" t="s">
        <v>30</v>
      </c>
      <c r="F314" s="22" t="s">
        <v>55</v>
      </c>
      <c r="G314" s="22" t="s">
        <v>195</v>
      </c>
      <c r="H314" s="22" t="s">
        <v>448</v>
      </c>
      <c r="I314" s="22" t="s">
        <v>51</v>
      </c>
      <c r="J314" s="22" t="s">
        <v>99</v>
      </c>
      <c r="K314" s="22" t="s">
        <v>47</v>
      </c>
      <c r="L314" s="22">
        <v>8</v>
      </c>
      <c r="M314" s="22">
        <v>77100</v>
      </c>
      <c r="N314" s="22">
        <v>0</v>
      </c>
      <c r="O314" s="22">
        <v>616800</v>
      </c>
      <c r="P314" s="22">
        <v>483174.46</v>
      </c>
      <c r="Q314" s="22">
        <v>133625.54</v>
      </c>
      <c r="R314" s="22" t="s">
        <v>27</v>
      </c>
    </row>
    <row r="315" hidden="1" spans="1:18">
      <c r="A315" s="22" t="s">
        <v>449</v>
      </c>
      <c r="B315" s="23">
        <v>43263</v>
      </c>
      <c r="C315" s="24">
        <f t="shared" si="4"/>
        <v>6</v>
      </c>
      <c r="D315" s="22" t="s">
        <v>79</v>
      </c>
      <c r="E315" s="22" t="s">
        <v>30</v>
      </c>
      <c r="F315" s="22" t="s">
        <v>96</v>
      </c>
      <c r="G315" s="22" t="s">
        <v>113</v>
      </c>
      <c r="H315" s="22" t="s">
        <v>119</v>
      </c>
      <c r="I315" s="22" t="s">
        <v>24</v>
      </c>
      <c r="J315" s="22" t="s">
        <v>73</v>
      </c>
      <c r="K315" s="22" t="s">
        <v>47</v>
      </c>
      <c r="L315" s="22">
        <v>10</v>
      </c>
      <c r="M315" s="22">
        <v>37400</v>
      </c>
      <c r="N315" s="22">
        <v>0</v>
      </c>
      <c r="O315" s="22">
        <v>374000</v>
      </c>
      <c r="P315" s="22">
        <v>250951.15</v>
      </c>
      <c r="Q315" s="22">
        <v>123048.85</v>
      </c>
      <c r="R315" s="22" t="s">
        <v>58</v>
      </c>
    </row>
    <row r="316" hidden="1" spans="1:18">
      <c r="A316" s="22" t="s">
        <v>450</v>
      </c>
      <c r="B316" s="23">
        <v>45663</v>
      </c>
      <c r="C316" s="24">
        <f t="shared" si="4"/>
        <v>1</v>
      </c>
      <c r="D316" s="22" t="s">
        <v>85</v>
      </c>
      <c r="E316" s="22" t="s">
        <v>30</v>
      </c>
      <c r="F316" s="22" t="s">
        <v>21</v>
      </c>
      <c r="G316" s="22" t="s">
        <v>70</v>
      </c>
      <c r="H316" s="22" t="s">
        <v>83</v>
      </c>
      <c r="I316" s="22" t="s">
        <v>45</v>
      </c>
      <c r="J316" s="22" t="s">
        <v>25</v>
      </c>
      <c r="K316" s="22" t="s">
        <v>53</v>
      </c>
      <c r="L316" s="22">
        <v>9</v>
      </c>
      <c r="M316" s="22">
        <v>4400</v>
      </c>
      <c r="N316" s="22">
        <v>0.1</v>
      </c>
      <c r="O316" s="22">
        <v>35640</v>
      </c>
      <c r="P316" s="22">
        <v>28666.67</v>
      </c>
      <c r="Q316" s="22">
        <v>6973.33</v>
      </c>
      <c r="R316" s="22" t="s">
        <v>58</v>
      </c>
    </row>
    <row r="317" hidden="1" spans="1:18">
      <c r="A317" s="22" t="s">
        <v>451</v>
      </c>
      <c r="B317" s="23">
        <v>43726</v>
      </c>
      <c r="C317" s="24">
        <f t="shared" si="4"/>
        <v>9</v>
      </c>
      <c r="D317" s="22" t="s">
        <v>90</v>
      </c>
      <c r="E317" s="22" t="s">
        <v>30</v>
      </c>
      <c r="F317" s="22" t="s">
        <v>96</v>
      </c>
      <c r="G317" s="22" t="s">
        <v>97</v>
      </c>
      <c r="H317" s="22" t="s">
        <v>147</v>
      </c>
      <c r="I317" s="22" t="s">
        <v>24</v>
      </c>
      <c r="J317" s="22" t="s">
        <v>170</v>
      </c>
      <c r="K317" s="22" t="s">
        <v>47</v>
      </c>
      <c r="L317" s="22">
        <v>4</v>
      </c>
      <c r="M317" s="22">
        <v>19600</v>
      </c>
      <c r="N317" s="22">
        <v>0</v>
      </c>
      <c r="O317" s="22">
        <v>78400</v>
      </c>
      <c r="P317" s="22">
        <v>51458.83</v>
      </c>
      <c r="Q317" s="22">
        <v>26941.17</v>
      </c>
      <c r="R317" s="22" t="s">
        <v>77</v>
      </c>
    </row>
    <row r="318" hidden="1" spans="1:18">
      <c r="A318" s="22" t="s">
        <v>452</v>
      </c>
      <c r="B318" s="23">
        <v>45675</v>
      </c>
      <c r="C318" s="24">
        <f t="shared" si="4"/>
        <v>1</v>
      </c>
      <c r="D318" s="22" t="s">
        <v>69</v>
      </c>
      <c r="E318" s="22" t="s">
        <v>30</v>
      </c>
      <c r="F318" s="22" t="s">
        <v>60</v>
      </c>
      <c r="G318" s="22" t="s">
        <v>141</v>
      </c>
      <c r="H318" s="22" t="s">
        <v>142</v>
      </c>
      <c r="I318" s="22" t="s">
        <v>45</v>
      </c>
      <c r="J318" s="22" t="s">
        <v>99</v>
      </c>
      <c r="K318" s="22" t="s">
        <v>53</v>
      </c>
      <c r="L318" s="22">
        <v>10</v>
      </c>
      <c r="M318" s="22">
        <v>41100</v>
      </c>
      <c r="N318" s="22">
        <v>0</v>
      </c>
      <c r="O318" s="22">
        <v>411000</v>
      </c>
      <c r="P318" s="22">
        <v>312204.08</v>
      </c>
      <c r="Q318" s="22">
        <v>98795.92</v>
      </c>
      <c r="R318" s="22" t="s">
        <v>58</v>
      </c>
    </row>
    <row r="319" hidden="1" spans="1:18">
      <c r="A319" s="22" t="s">
        <v>453</v>
      </c>
      <c r="B319" s="23">
        <v>43776</v>
      </c>
      <c r="C319" s="24">
        <f t="shared" si="4"/>
        <v>11</v>
      </c>
      <c r="D319" s="22" t="s">
        <v>65</v>
      </c>
      <c r="E319" s="22" t="s">
        <v>30</v>
      </c>
      <c r="F319" s="22" t="s">
        <v>21</v>
      </c>
      <c r="G319" s="22" t="s">
        <v>167</v>
      </c>
      <c r="H319" s="22" t="s">
        <v>254</v>
      </c>
      <c r="I319" s="22" t="s">
        <v>51</v>
      </c>
      <c r="J319" s="22" t="s">
        <v>88</v>
      </c>
      <c r="K319" s="22" t="s">
        <v>26</v>
      </c>
      <c r="L319" s="22">
        <v>8</v>
      </c>
      <c r="M319" s="22">
        <v>2000</v>
      </c>
      <c r="N319" s="22">
        <v>0.1</v>
      </c>
      <c r="O319" s="22">
        <v>14400</v>
      </c>
      <c r="P319" s="22">
        <v>10245.18</v>
      </c>
      <c r="Q319" s="22">
        <v>4154.82</v>
      </c>
      <c r="R319" s="22" t="s">
        <v>48</v>
      </c>
    </row>
    <row r="320" hidden="1" spans="1:18">
      <c r="A320" s="22" t="s">
        <v>454</v>
      </c>
      <c r="B320" s="23">
        <v>43321</v>
      </c>
      <c r="C320" s="24">
        <f t="shared" si="4"/>
        <v>8</v>
      </c>
      <c r="D320" s="22" t="s">
        <v>37</v>
      </c>
      <c r="E320" s="22" t="s">
        <v>30</v>
      </c>
      <c r="F320" s="22" t="s">
        <v>31</v>
      </c>
      <c r="G320" s="22" t="s">
        <v>172</v>
      </c>
      <c r="H320" s="22" t="s">
        <v>286</v>
      </c>
      <c r="I320" s="22" t="s">
        <v>24</v>
      </c>
      <c r="J320" s="22" t="s">
        <v>88</v>
      </c>
      <c r="K320" s="22" t="s">
        <v>47</v>
      </c>
      <c r="L320" s="22">
        <v>2</v>
      </c>
      <c r="M320" s="22">
        <v>17500</v>
      </c>
      <c r="N320" s="22">
        <v>0.1</v>
      </c>
      <c r="O320" s="22">
        <v>31500</v>
      </c>
      <c r="P320" s="22">
        <v>23517.59</v>
      </c>
      <c r="Q320" s="22">
        <v>7982.41</v>
      </c>
      <c r="R320" s="22" t="s">
        <v>27</v>
      </c>
    </row>
    <row r="321" hidden="1" spans="1:18">
      <c r="A321" s="22" t="s">
        <v>455</v>
      </c>
      <c r="B321" s="23">
        <v>43215</v>
      </c>
      <c r="C321" s="24">
        <f t="shared" si="4"/>
        <v>4</v>
      </c>
      <c r="D321" s="22" t="s">
        <v>79</v>
      </c>
      <c r="E321" s="22" t="s">
        <v>30</v>
      </c>
      <c r="F321" s="22" t="s">
        <v>31</v>
      </c>
      <c r="G321" s="22" t="s">
        <v>172</v>
      </c>
      <c r="H321" s="22" t="s">
        <v>173</v>
      </c>
      <c r="I321" s="22" t="s">
        <v>45</v>
      </c>
      <c r="J321" s="22" t="s">
        <v>73</v>
      </c>
      <c r="K321" s="22" t="s">
        <v>47</v>
      </c>
      <c r="L321" s="22">
        <v>5</v>
      </c>
      <c r="M321" s="22">
        <v>60900</v>
      </c>
      <c r="N321" s="22">
        <v>0.1</v>
      </c>
      <c r="O321" s="22">
        <v>274050</v>
      </c>
      <c r="P321" s="22">
        <v>216515.14</v>
      </c>
      <c r="Q321" s="22">
        <v>57534.86</v>
      </c>
      <c r="R321" s="22" t="s">
        <v>58</v>
      </c>
    </row>
    <row r="322" hidden="1" spans="1:18">
      <c r="A322" s="22" t="s">
        <v>456</v>
      </c>
      <c r="B322" s="23">
        <v>45719</v>
      </c>
      <c r="C322" s="24">
        <f t="shared" ref="C322:C385" si="5">MONTH(B322)</f>
        <v>3</v>
      </c>
      <c r="D322" s="22" t="s">
        <v>103</v>
      </c>
      <c r="E322" s="22" t="s">
        <v>20</v>
      </c>
      <c r="F322" s="22" t="s">
        <v>60</v>
      </c>
      <c r="G322" s="22" t="s">
        <v>93</v>
      </c>
      <c r="H322" s="22" t="s">
        <v>101</v>
      </c>
      <c r="I322" s="22" t="s">
        <v>24</v>
      </c>
      <c r="J322" s="22" t="s">
        <v>124</v>
      </c>
      <c r="K322" s="22" t="s">
        <v>47</v>
      </c>
      <c r="L322" s="22">
        <v>3</v>
      </c>
      <c r="M322" s="22">
        <v>18300</v>
      </c>
      <c r="N322" s="22">
        <v>0.1</v>
      </c>
      <c r="O322" s="22">
        <v>49410</v>
      </c>
      <c r="P322" s="22">
        <v>38119.76</v>
      </c>
      <c r="Q322" s="22">
        <v>11290.24</v>
      </c>
      <c r="R322" s="22" t="s">
        <v>58</v>
      </c>
    </row>
    <row r="323" hidden="1" spans="1:18">
      <c r="A323" s="22" t="s">
        <v>457</v>
      </c>
      <c r="B323" s="23">
        <v>45750</v>
      </c>
      <c r="C323" s="24">
        <f t="shared" si="5"/>
        <v>4</v>
      </c>
      <c r="D323" s="22" t="s">
        <v>69</v>
      </c>
      <c r="E323" s="22" t="s">
        <v>20</v>
      </c>
      <c r="F323" s="22" t="s">
        <v>60</v>
      </c>
      <c r="G323" s="22" t="s">
        <v>93</v>
      </c>
      <c r="H323" s="22" t="s">
        <v>181</v>
      </c>
      <c r="I323" s="22" t="s">
        <v>51</v>
      </c>
      <c r="J323" s="22" t="s">
        <v>40</v>
      </c>
      <c r="K323" s="22" t="s">
        <v>47</v>
      </c>
      <c r="L323" s="22">
        <v>6</v>
      </c>
      <c r="M323" s="22">
        <v>23400</v>
      </c>
      <c r="N323" s="22">
        <v>0.05</v>
      </c>
      <c r="O323" s="22">
        <v>133380</v>
      </c>
      <c r="P323" s="22">
        <v>88078.45</v>
      </c>
      <c r="Q323" s="22">
        <v>45301.55</v>
      </c>
      <c r="R323" s="22" t="s">
        <v>48</v>
      </c>
    </row>
    <row r="324" hidden="1" spans="1:18">
      <c r="A324" s="22" t="s">
        <v>458</v>
      </c>
      <c r="B324" s="23">
        <v>43986</v>
      </c>
      <c r="C324" s="24">
        <f t="shared" si="5"/>
        <v>6</v>
      </c>
      <c r="D324" s="22" t="s">
        <v>75</v>
      </c>
      <c r="E324" s="22" t="s">
        <v>30</v>
      </c>
      <c r="F324" s="22" t="s">
        <v>60</v>
      </c>
      <c r="G324" s="22" t="s">
        <v>86</v>
      </c>
      <c r="H324" s="22" t="s">
        <v>104</v>
      </c>
      <c r="I324" s="22" t="s">
        <v>51</v>
      </c>
      <c r="J324" s="22" t="s">
        <v>46</v>
      </c>
      <c r="K324" s="22" t="s">
        <v>26</v>
      </c>
      <c r="L324" s="22">
        <v>3</v>
      </c>
      <c r="M324" s="22">
        <v>66200</v>
      </c>
      <c r="N324" s="22">
        <v>0</v>
      </c>
      <c r="O324" s="22">
        <v>198600</v>
      </c>
      <c r="P324" s="22">
        <v>124966.43</v>
      </c>
      <c r="Q324" s="22">
        <v>73633.57</v>
      </c>
      <c r="R324" s="22" t="s">
        <v>58</v>
      </c>
    </row>
    <row r="325" hidden="1" spans="1:18">
      <c r="A325" s="22" t="s">
        <v>459</v>
      </c>
      <c r="B325" s="23">
        <v>44214</v>
      </c>
      <c r="C325" s="24">
        <f t="shared" si="5"/>
        <v>1</v>
      </c>
      <c r="D325" s="22" t="s">
        <v>42</v>
      </c>
      <c r="E325" s="22" t="s">
        <v>30</v>
      </c>
      <c r="F325" s="22" t="s">
        <v>55</v>
      </c>
      <c r="G325" s="22" t="s">
        <v>195</v>
      </c>
      <c r="H325" s="22" t="s">
        <v>196</v>
      </c>
      <c r="I325" s="22" t="s">
        <v>45</v>
      </c>
      <c r="J325" s="22" t="s">
        <v>99</v>
      </c>
      <c r="K325" s="22" t="s">
        <v>47</v>
      </c>
      <c r="L325" s="22">
        <v>1</v>
      </c>
      <c r="M325" s="22">
        <v>32000</v>
      </c>
      <c r="N325" s="22">
        <v>0.05</v>
      </c>
      <c r="O325" s="22">
        <v>30400</v>
      </c>
      <c r="P325" s="22">
        <v>24223.91</v>
      </c>
      <c r="Q325" s="22">
        <v>6176.09</v>
      </c>
      <c r="R325" s="22" t="s">
        <v>48</v>
      </c>
    </row>
    <row r="326" hidden="1" spans="1:18">
      <c r="A326" s="22" t="s">
        <v>460</v>
      </c>
      <c r="B326" s="23">
        <v>43778</v>
      </c>
      <c r="C326" s="24">
        <f t="shared" si="5"/>
        <v>11</v>
      </c>
      <c r="D326" s="22" t="s">
        <v>90</v>
      </c>
      <c r="E326" s="22" t="s">
        <v>30</v>
      </c>
      <c r="F326" s="22" t="s">
        <v>21</v>
      </c>
      <c r="G326" s="22" t="s">
        <v>70</v>
      </c>
      <c r="H326" s="22" t="s">
        <v>83</v>
      </c>
      <c r="I326" s="22" t="s">
        <v>45</v>
      </c>
      <c r="J326" s="22" t="s">
        <v>52</v>
      </c>
      <c r="K326" s="22" t="s">
        <v>26</v>
      </c>
      <c r="L326" s="22">
        <v>8</v>
      </c>
      <c r="M326" s="22">
        <v>14300</v>
      </c>
      <c r="N326" s="22">
        <v>0.05</v>
      </c>
      <c r="O326" s="22">
        <v>108680</v>
      </c>
      <c r="P326" s="22">
        <v>78481.36</v>
      </c>
      <c r="Q326" s="22">
        <v>30198.64</v>
      </c>
      <c r="R326" s="22" t="s">
        <v>48</v>
      </c>
    </row>
    <row r="327" hidden="1" spans="1:18">
      <c r="A327" s="22" t="s">
        <v>461</v>
      </c>
      <c r="B327" s="23">
        <v>45753</v>
      </c>
      <c r="C327" s="24">
        <f t="shared" si="5"/>
        <v>4</v>
      </c>
      <c r="D327" s="22" t="s">
        <v>69</v>
      </c>
      <c r="E327" s="22" t="s">
        <v>30</v>
      </c>
      <c r="F327" s="22" t="s">
        <v>21</v>
      </c>
      <c r="G327" s="22" t="s">
        <v>167</v>
      </c>
      <c r="H327" s="22" t="s">
        <v>206</v>
      </c>
      <c r="I327" s="22" t="s">
        <v>45</v>
      </c>
      <c r="J327" s="22" t="s">
        <v>40</v>
      </c>
      <c r="K327" s="22" t="s">
        <v>47</v>
      </c>
      <c r="L327" s="22">
        <v>1</v>
      </c>
      <c r="M327" s="22">
        <v>69900</v>
      </c>
      <c r="N327" s="22">
        <v>0.1</v>
      </c>
      <c r="O327" s="22">
        <v>62910</v>
      </c>
      <c r="P327" s="22">
        <v>40324.16</v>
      </c>
      <c r="Q327" s="22">
        <v>22585.84</v>
      </c>
      <c r="R327" s="22" t="s">
        <v>35</v>
      </c>
    </row>
    <row r="328" hidden="1" spans="1:18">
      <c r="A328" s="22" t="s">
        <v>462</v>
      </c>
      <c r="B328" s="23">
        <v>43274</v>
      </c>
      <c r="C328" s="24">
        <f t="shared" si="5"/>
        <v>6</v>
      </c>
      <c r="D328" s="22" t="s">
        <v>29</v>
      </c>
      <c r="E328" s="22" t="s">
        <v>30</v>
      </c>
      <c r="F328" s="22" t="s">
        <v>96</v>
      </c>
      <c r="G328" s="22" t="s">
        <v>113</v>
      </c>
      <c r="H328" s="22" t="s">
        <v>114</v>
      </c>
      <c r="I328" s="22" t="s">
        <v>24</v>
      </c>
      <c r="J328" s="22" t="s">
        <v>34</v>
      </c>
      <c r="K328" s="22" t="s">
        <v>26</v>
      </c>
      <c r="L328" s="22">
        <v>10</v>
      </c>
      <c r="M328" s="22">
        <v>9300</v>
      </c>
      <c r="N328" s="22">
        <v>0</v>
      </c>
      <c r="O328" s="22">
        <v>93000</v>
      </c>
      <c r="P328" s="22">
        <v>61900.18</v>
      </c>
      <c r="Q328" s="22">
        <v>31099.82</v>
      </c>
      <c r="R328" s="22" t="s">
        <v>77</v>
      </c>
    </row>
    <row r="329" hidden="1" spans="1:18">
      <c r="A329" s="22" t="s">
        <v>463</v>
      </c>
      <c r="B329" s="23">
        <v>43130</v>
      </c>
      <c r="C329" s="24">
        <f t="shared" si="5"/>
        <v>1</v>
      </c>
      <c r="D329" s="22" t="s">
        <v>90</v>
      </c>
      <c r="E329" s="22" t="s">
        <v>30</v>
      </c>
      <c r="F329" s="22" t="s">
        <v>96</v>
      </c>
      <c r="G329" s="22" t="s">
        <v>113</v>
      </c>
      <c r="H329" s="22" t="s">
        <v>126</v>
      </c>
      <c r="I329" s="22" t="s">
        <v>51</v>
      </c>
      <c r="J329" s="22" t="s">
        <v>73</v>
      </c>
      <c r="K329" s="22" t="s">
        <v>47</v>
      </c>
      <c r="L329" s="22">
        <v>7</v>
      </c>
      <c r="M329" s="22">
        <v>32000</v>
      </c>
      <c r="N329" s="22">
        <v>0.05</v>
      </c>
      <c r="O329" s="22">
        <v>212800</v>
      </c>
      <c r="P329" s="22">
        <v>168185.75</v>
      </c>
      <c r="Q329" s="22">
        <v>44614.25</v>
      </c>
      <c r="R329" s="22" t="s">
        <v>35</v>
      </c>
    </row>
    <row r="330" hidden="1" spans="1:18">
      <c r="A330" s="22" t="s">
        <v>464</v>
      </c>
      <c r="B330" s="23">
        <v>43328</v>
      </c>
      <c r="C330" s="24">
        <f t="shared" si="5"/>
        <v>8</v>
      </c>
      <c r="D330" s="22" t="s">
        <v>85</v>
      </c>
      <c r="E330" s="22" t="s">
        <v>30</v>
      </c>
      <c r="F330" s="22" t="s">
        <v>96</v>
      </c>
      <c r="G330" s="22" t="s">
        <v>97</v>
      </c>
      <c r="H330" s="22" t="s">
        <v>289</v>
      </c>
      <c r="I330" s="22" t="s">
        <v>51</v>
      </c>
      <c r="J330" s="22" t="s">
        <v>46</v>
      </c>
      <c r="K330" s="22" t="s">
        <v>53</v>
      </c>
      <c r="L330" s="22">
        <v>8</v>
      </c>
      <c r="M330" s="22">
        <v>3300</v>
      </c>
      <c r="N330" s="22">
        <v>0</v>
      </c>
      <c r="O330" s="22">
        <v>26400</v>
      </c>
      <c r="P330" s="22">
        <v>19851.47</v>
      </c>
      <c r="Q330" s="22">
        <v>6548.53</v>
      </c>
      <c r="R330" s="22" t="s">
        <v>77</v>
      </c>
    </row>
    <row r="331" hidden="1" spans="1:18">
      <c r="A331" s="22" t="s">
        <v>465</v>
      </c>
      <c r="B331" s="23">
        <v>43702</v>
      </c>
      <c r="C331" s="24">
        <f t="shared" si="5"/>
        <v>8</v>
      </c>
      <c r="D331" s="22" t="s">
        <v>85</v>
      </c>
      <c r="E331" s="22" t="s">
        <v>30</v>
      </c>
      <c r="F331" s="22" t="s">
        <v>31</v>
      </c>
      <c r="G331" s="22" t="s">
        <v>43</v>
      </c>
      <c r="H331" s="22" t="s">
        <v>91</v>
      </c>
      <c r="I331" s="22" t="s">
        <v>51</v>
      </c>
      <c r="J331" s="22" t="s">
        <v>124</v>
      </c>
      <c r="K331" s="22" t="s">
        <v>47</v>
      </c>
      <c r="L331" s="22">
        <v>3</v>
      </c>
      <c r="M331" s="22">
        <v>4300</v>
      </c>
      <c r="N331" s="22">
        <v>0.1</v>
      </c>
      <c r="O331" s="22">
        <v>11610</v>
      </c>
      <c r="P331" s="22">
        <v>9231.96</v>
      </c>
      <c r="Q331" s="22">
        <v>2378.04</v>
      </c>
      <c r="R331" s="22" t="s">
        <v>48</v>
      </c>
    </row>
    <row r="332" hidden="1" spans="1:18">
      <c r="A332" s="22" t="s">
        <v>466</v>
      </c>
      <c r="B332" s="23">
        <v>44066</v>
      </c>
      <c r="C332" s="24">
        <f t="shared" si="5"/>
        <v>8</v>
      </c>
      <c r="D332" s="22" t="s">
        <v>29</v>
      </c>
      <c r="E332" s="22" t="s">
        <v>30</v>
      </c>
      <c r="F332" s="22" t="s">
        <v>96</v>
      </c>
      <c r="G332" s="22" t="s">
        <v>97</v>
      </c>
      <c r="H332" s="22" t="s">
        <v>289</v>
      </c>
      <c r="I332" s="22" t="s">
        <v>51</v>
      </c>
      <c r="J332" s="22" t="s">
        <v>52</v>
      </c>
      <c r="K332" s="22" t="s">
        <v>26</v>
      </c>
      <c r="L332" s="22">
        <v>5</v>
      </c>
      <c r="M332" s="22">
        <v>8600</v>
      </c>
      <c r="N332" s="22">
        <v>0</v>
      </c>
      <c r="O332" s="22">
        <v>43000</v>
      </c>
      <c r="P332" s="22">
        <v>32291.57</v>
      </c>
      <c r="Q332" s="22">
        <v>10708.43</v>
      </c>
      <c r="R332" s="22" t="s">
        <v>27</v>
      </c>
    </row>
    <row r="333" hidden="1" spans="1:18">
      <c r="A333" s="22" t="s">
        <v>467</v>
      </c>
      <c r="B333" s="23">
        <v>43704</v>
      </c>
      <c r="C333" s="24">
        <f t="shared" si="5"/>
        <v>8</v>
      </c>
      <c r="D333" s="22" t="s">
        <v>29</v>
      </c>
      <c r="E333" s="22" t="s">
        <v>30</v>
      </c>
      <c r="F333" s="22" t="s">
        <v>55</v>
      </c>
      <c r="G333" s="22" t="s">
        <v>80</v>
      </c>
      <c r="H333" s="22" t="s">
        <v>160</v>
      </c>
      <c r="I333" s="22" t="s">
        <v>45</v>
      </c>
      <c r="J333" s="22" t="s">
        <v>124</v>
      </c>
      <c r="K333" s="22" t="s">
        <v>53</v>
      </c>
      <c r="L333" s="22">
        <v>4</v>
      </c>
      <c r="M333" s="22">
        <v>5100</v>
      </c>
      <c r="N333" s="22">
        <v>0.05</v>
      </c>
      <c r="O333" s="22">
        <v>19380</v>
      </c>
      <c r="P333" s="22">
        <v>12148.41</v>
      </c>
      <c r="Q333" s="22">
        <v>7231.59</v>
      </c>
      <c r="R333" s="22" t="s">
        <v>27</v>
      </c>
    </row>
    <row r="334" hidden="1" spans="1:18">
      <c r="A334" s="22" t="s">
        <v>468</v>
      </c>
      <c r="B334" s="23">
        <v>45753</v>
      </c>
      <c r="C334" s="24">
        <f t="shared" si="5"/>
        <v>4</v>
      </c>
      <c r="D334" s="22" t="s">
        <v>69</v>
      </c>
      <c r="E334" s="22" t="s">
        <v>30</v>
      </c>
      <c r="F334" s="22" t="s">
        <v>96</v>
      </c>
      <c r="G334" s="22" t="s">
        <v>113</v>
      </c>
      <c r="H334" s="22" t="s">
        <v>119</v>
      </c>
      <c r="I334" s="22" t="s">
        <v>45</v>
      </c>
      <c r="J334" s="22" t="s">
        <v>25</v>
      </c>
      <c r="K334" s="22" t="s">
        <v>47</v>
      </c>
      <c r="L334" s="22">
        <v>2</v>
      </c>
      <c r="M334" s="22">
        <v>62000</v>
      </c>
      <c r="N334" s="22">
        <v>0.05</v>
      </c>
      <c r="O334" s="22">
        <v>117800</v>
      </c>
      <c r="P334" s="22">
        <v>78246.8</v>
      </c>
      <c r="Q334" s="22">
        <v>39553.2</v>
      </c>
      <c r="R334" s="22" t="s">
        <v>35</v>
      </c>
    </row>
    <row r="335" hidden="1" spans="1:18">
      <c r="A335" s="22" t="s">
        <v>469</v>
      </c>
      <c r="B335" s="23">
        <v>43111</v>
      </c>
      <c r="C335" s="24">
        <f t="shared" si="5"/>
        <v>1</v>
      </c>
      <c r="D335" s="22" t="s">
        <v>29</v>
      </c>
      <c r="E335" s="22" t="s">
        <v>30</v>
      </c>
      <c r="F335" s="22" t="s">
        <v>60</v>
      </c>
      <c r="G335" s="22" t="s">
        <v>141</v>
      </c>
      <c r="H335" s="22" t="s">
        <v>142</v>
      </c>
      <c r="I335" s="22" t="s">
        <v>45</v>
      </c>
      <c r="J335" s="22" t="s">
        <v>34</v>
      </c>
      <c r="K335" s="22" t="s">
        <v>47</v>
      </c>
      <c r="L335" s="22">
        <v>6</v>
      </c>
      <c r="M335" s="22">
        <v>2000</v>
      </c>
      <c r="N335" s="22">
        <v>0.2</v>
      </c>
      <c r="O335" s="22">
        <v>9600</v>
      </c>
      <c r="P335" s="22">
        <v>6641.86</v>
      </c>
      <c r="Q335" s="22">
        <v>2958.14</v>
      </c>
      <c r="R335" s="22" t="s">
        <v>35</v>
      </c>
    </row>
    <row r="336" hidden="1" spans="1:18">
      <c r="A336" s="22" t="s">
        <v>470</v>
      </c>
      <c r="B336" s="23">
        <v>44223</v>
      </c>
      <c r="C336" s="24">
        <f t="shared" si="5"/>
        <v>1</v>
      </c>
      <c r="D336" s="22" t="s">
        <v>37</v>
      </c>
      <c r="E336" s="22" t="s">
        <v>30</v>
      </c>
      <c r="F336" s="22" t="s">
        <v>96</v>
      </c>
      <c r="G336" s="22" t="s">
        <v>97</v>
      </c>
      <c r="H336" s="22" t="s">
        <v>147</v>
      </c>
      <c r="I336" s="22" t="s">
        <v>45</v>
      </c>
      <c r="J336" s="22" t="s">
        <v>46</v>
      </c>
      <c r="K336" s="22" t="s">
        <v>47</v>
      </c>
      <c r="L336" s="22">
        <v>3</v>
      </c>
      <c r="M336" s="22">
        <v>9600</v>
      </c>
      <c r="N336" s="22">
        <v>0.05</v>
      </c>
      <c r="O336" s="22">
        <v>27360</v>
      </c>
      <c r="P336" s="22">
        <v>21680.68</v>
      </c>
      <c r="Q336" s="22">
        <v>5679.32</v>
      </c>
      <c r="R336" s="22" t="s">
        <v>48</v>
      </c>
    </row>
    <row r="337" hidden="1" spans="1:18">
      <c r="A337" s="22" t="s">
        <v>471</v>
      </c>
      <c r="B337" s="23">
        <v>45743</v>
      </c>
      <c r="C337" s="24">
        <f t="shared" si="5"/>
        <v>3</v>
      </c>
      <c r="D337" s="22" t="s">
        <v>121</v>
      </c>
      <c r="E337" s="22" t="s">
        <v>30</v>
      </c>
      <c r="F337" s="22" t="s">
        <v>31</v>
      </c>
      <c r="G337" s="22" t="s">
        <v>172</v>
      </c>
      <c r="H337" s="22" t="s">
        <v>173</v>
      </c>
      <c r="I337" s="22" t="s">
        <v>51</v>
      </c>
      <c r="J337" s="22" t="s">
        <v>25</v>
      </c>
      <c r="K337" s="22" t="s">
        <v>47</v>
      </c>
      <c r="L337" s="22">
        <v>10</v>
      </c>
      <c r="M337" s="22">
        <v>77500</v>
      </c>
      <c r="N337" s="22">
        <v>0.1</v>
      </c>
      <c r="O337" s="22">
        <v>697500</v>
      </c>
      <c r="P337" s="22">
        <v>565097.28</v>
      </c>
      <c r="Q337" s="22">
        <v>132402.72</v>
      </c>
      <c r="R337" s="22" t="s">
        <v>77</v>
      </c>
    </row>
    <row r="338" hidden="1" spans="1:18">
      <c r="A338" s="22" t="s">
        <v>472</v>
      </c>
      <c r="B338" s="23">
        <v>45718</v>
      </c>
      <c r="C338" s="24">
        <f t="shared" si="5"/>
        <v>3</v>
      </c>
      <c r="D338" s="22" t="s">
        <v>103</v>
      </c>
      <c r="E338" s="22" t="s">
        <v>30</v>
      </c>
      <c r="F338" s="22" t="s">
        <v>21</v>
      </c>
      <c r="G338" s="22" t="s">
        <v>70</v>
      </c>
      <c r="H338" s="22" t="s">
        <v>83</v>
      </c>
      <c r="I338" s="22" t="s">
        <v>45</v>
      </c>
      <c r="J338" s="22" t="s">
        <v>116</v>
      </c>
      <c r="K338" s="22" t="s">
        <v>26</v>
      </c>
      <c r="L338" s="22">
        <v>10</v>
      </c>
      <c r="M338" s="22">
        <v>800</v>
      </c>
      <c r="N338" s="22">
        <v>0.1</v>
      </c>
      <c r="O338" s="22">
        <v>7200</v>
      </c>
      <c r="P338" s="22">
        <v>5366.06</v>
      </c>
      <c r="Q338" s="22">
        <v>1833.94</v>
      </c>
      <c r="R338" s="22" t="s">
        <v>35</v>
      </c>
    </row>
    <row r="339" hidden="1" spans="1:18">
      <c r="A339" s="22" t="s">
        <v>473</v>
      </c>
      <c r="B339" s="23">
        <v>45840</v>
      </c>
      <c r="C339" s="24">
        <f t="shared" si="5"/>
        <v>7</v>
      </c>
      <c r="D339" s="22" t="s">
        <v>65</v>
      </c>
      <c r="E339" s="22" t="s">
        <v>30</v>
      </c>
      <c r="F339" s="22" t="s">
        <v>21</v>
      </c>
      <c r="G339" s="22" t="s">
        <v>122</v>
      </c>
      <c r="H339" s="22" t="s">
        <v>138</v>
      </c>
      <c r="I339" s="22" t="s">
        <v>51</v>
      </c>
      <c r="J339" s="22" t="s">
        <v>40</v>
      </c>
      <c r="K339" s="22" t="s">
        <v>53</v>
      </c>
      <c r="L339" s="22">
        <v>5</v>
      </c>
      <c r="M339" s="22">
        <v>3000</v>
      </c>
      <c r="N339" s="22">
        <v>0.1</v>
      </c>
      <c r="O339" s="22">
        <v>13500</v>
      </c>
      <c r="P339" s="22">
        <v>10759.11</v>
      </c>
      <c r="Q339" s="22">
        <v>2740.89</v>
      </c>
      <c r="R339" s="22" t="s">
        <v>48</v>
      </c>
    </row>
    <row r="340" hidden="1" spans="1:18">
      <c r="A340" s="22" t="s">
        <v>474</v>
      </c>
      <c r="B340" s="23">
        <v>43193</v>
      </c>
      <c r="C340" s="24">
        <f t="shared" si="5"/>
        <v>4</v>
      </c>
      <c r="D340" s="22" t="s">
        <v>37</v>
      </c>
      <c r="E340" s="22" t="s">
        <v>30</v>
      </c>
      <c r="F340" s="22" t="s">
        <v>31</v>
      </c>
      <c r="G340" s="22" t="s">
        <v>66</v>
      </c>
      <c r="H340" s="22" t="s">
        <v>244</v>
      </c>
      <c r="I340" s="22" t="s">
        <v>24</v>
      </c>
      <c r="J340" s="22" t="s">
        <v>25</v>
      </c>
      <c r="K340" s="22" t="s">
        <v>47</v>
      </c>
      <c r="L340" s="22">
        <v>6</v>
      </c>
      <c r="M340" s="22">
        <v>18700</v>
      </c>
      <c r="N340" s="22">
        <v>0.2</v>
      </c>
      <c r="O340" s="22">
        <v>89760</v>
      </c>
      <c r="P340" s="22">
        <v>58956.03</v>
      </c>
      <c r="Q340" s="22">
        <v>30803.97</v>
      </c>
      <c r="R340" s="22" t="s">
        <v>48</v>
      </c>
    </row>
    <row r="341" hidden="1" spans="1:18">
      <c r="A341" s="22" t="s">
        <v>475</v>
      </c>
      <c r="B341" s="23">
        <v>44179</v>
      </c>
      <c r="C341" s="24">
        <f t="shared" si="5"/>
        <v>12</v>
      </c>
      <c r="D341" s="22" t="s">
        <v>65</v>
      </c>
      <c r="E341" s="22" t="s">
        <v>30</v>
      </c>
      <c r="F341" s="22" t="s">
        <v>31</v>
      </c>
      <c r="G341" s="22" t="s">
        <v>43</v>
      </c>
      <c r="H341" s="22" t="s">
        <v>258</v>
      </c>
      <c r="I341" s="22" t="s">
        <v>51</v>
      </c>
      <c r="J341" s="22" t="s">
        <v>124</v>
      </c>
      <c r="K341" s="22" t="s">
        <v>53</v>
      </c>
      <c r="L341" s="22">
        <v>1</v>
      </c>
      <c r="M341" s="22">
        <v>2100</v>
      </c>
      <c r="N341" s="22">
        <v>0.1</v>
      </c>
      <c r="O341" s="22">
        <v>1890</v>
      </c>
      <c r="P341" s="22">
        <v>1246.38</v>
      </c>
      <c r="Q341" s="22">
        <v>643.62</v>
      </c>
      <c r="R341" s="22" t="s">
        <v>58</v>
      </c>
    </row>
    <row r="342" hidden="1" spans="1:18">
      <c r="A342" s="22" t="s">
        <v>476</v>
      </c>
      <c r="B342" s="23">
        <v>45750</v>
      </c>
      <c r="C342" s="24">
        <f t="shared" si="5"/>
        <v>4</v>
      </c>
      <c r="D342" s="22" t="s">
        <v>69</v>
      </c>
      <c r="E342" s="22" t="s">
        <v>213</v>
      </c>
      <c r="F342" s="22" t="s">
        <v>31</v>
      </c>
      <c r="G342" s="22" t="s">
        <v>32</v>
      </c>
      <c r="H342" s="22" t="s">
        <v>50</v>
      </c>
      <c r="I342" s="22" t="s">
        <v>51</v>
      </c>
      <c r="J342" s="22" t="s">
        <v>99</v>
      </c>
      <c r="K342" s="22" t="s">
        <v>53</v>
      </c>
      <c r="L342" s="22">
        <v>1</v>
      </c>
      <c r="M342" s="22">
        <v>16200</v>
      </c>
      <c r="N342" s="22">
        <v>0.1</v>
      </c>
      <c r="O342" s="22">
        <v>14580</v>
      </c>
      <c r="P342" s="22">
        <v>11728.07</v>
      </c>
      <c r="Q342" s="22">
        <v>2851.93</v>
      </c>
      <c r="R342" s="22" t="s">
        <v>48</v>
      </c>
    </row>
    <row r="343" hidden="1" spans="1:18">
      <c r="A343" s="22" t="s">
        <v>477</v>
      </c>
      <c r="B343" s="23">
        <v>44037</v>
      </c>
      <c r="C343" s="24">
        <f t="shared" si="5"/>
        <v>7</v>
      </c>
      <c r="D343" s="22" t="s">
        <v>85</v>
      </c>
      <c r="E343" s="22" t="s">
        <v>30</v>
      </c>
      <c r="F343" s="22" t="s">
        <v>96</v>
      </c>
      <c r="G343" s="22" t="s">
        <v>97</v>
      </c>
      <c r="H343" s="22" t="s">
        <v>289</v>
      </c>
      <c r="I343" s="22" t="s">
        <v>45</v>
      </c>
      <c r="J343" s="22" t="s">
        <v>116</v>
      </c>
      <c r="K343" s="22" t="s">
        <v>26</v>
      </c>
      <c r="L343" s="22">
        <v>5</v>
      </c>
      <c r="M343" s="22">
        <v>4300</v>
      </c>
      <c r="N343" s="22">
        <v>0.1</v>
      </c>
      <c r="O343" s="22">
        <v>19350</v>
      </c>
      <c r="P343" s="22">
        <v>12331.42</v>
      </c>
      <c r="Q343" s="22">
        <v>7018.58</v>
      </c>
      <c r="R343" s="22" t="s">
        <v>77</v>
      </c>
    </row>
    <row r="344" hidden="1" spans="1:18">
      <c r="A344" s="22" t="s">
        <v>478</v>
      </c>
      <c r="B344" s="23">
        <v>45299</v>
      </c>
      <c r="C344" s="24">
        <f t="shared" si="5"/>
        <v>1</v>
      </c>
      <c r="D344" s="22" t="s">
        <v>121</v>
      </c>
      <c r="E344" s="22" t="s">
        <v>30</v>
      </c>
      <c r="F344" s="22" t="s">
        <v>31</v>
      </c>
      <c r="G344" s="22" t="s">
        <v>43</v>
      </c>
      <c r="H344" s="22" t="s">
        <v>44</v>
      </c>
      <c r="I344" s="22" t="s">
        <v>45</v>
      </c>
      <c r="J344" s="22" t="s">
        <v>34</v>
      </c>
      <c r="K344" s="22" t="s">
        <v>26</v>
      </c>
      <c r="L344" s="22">
        <v>4</v>
      </c>
      <c r="M344" s="22">
        <v>90200</v>
      </c>
      <c r="N344" s="22">
        <v>0.15</v>
      </c>
      <c r="O344" s="22">
        <v>306680</v>
      </c>
      <c r="P344" s="22">
        <v>234607.13</v>
      </c>
      <c r="Q344" s="22">
        <v>72072.87</v>
      </c>
      <c r="R344" s="22" t="s">
        <v>48</v>
      </c>
    </row>
    <row r="345" hidden="1" spans="1:18">
      <c r="A345" s="22" t="s">
        <v>479</v>
      </c>
      <c r="B345" s="23">
        <v>44108</v>
      </c>
      <c r="C345" s="24">
        <f t="shared" si="5"/>
        <v>10</v>
      </c>
      <c r="D345" s="22" t="s">
        <v>19</v>
      </c>
      <c r="E345" s="22" t="s">
        <v>20</v>
      </c>
      <c r="F345" s="22" t="s">
        <v>60</v>
      </c>
      <c r="G345" s="22" t="s">
        <v>93</v>
      </c>
      <c r="H345" s="22" t="s">
        <v>181</v>
      </c>
      <c r="I345" s="22" t="s">
        <v>24</v>
      </c>
      <c r="J345" s="22" t="s">
        <v>116</v>
      </c>
      <c r="K345" s="22" t="s">
        <v>26</v>
      </c>
      <c r="L345" s="22">
        <v>4</v>
      </c>
      <c r="M345" s="22">
        <v>10800</v>
      </c>
      <c r="N345" s="22">
        <v>0.1</v>
      </c>
      <c r="O345" s="22">
        <v>38880</v>
      </c>
      <c r="P345" s="22">
        <v>29263.76</v>
      </c>
      <c r="Q345" s="22">
        <v>9616.24</v>
      </c>
      <c r="R345" s="22" t="s">
        <v>27</v>
      </c>
    </row>
    <row r="346" hidden="1" spans="1:18">
      <c r="A346" s="22" t="s">
        <v>480</v>
      </c>
      <c r="B346" s="23">
        <v>43747</v>
      </c>
      <c r="C346" s="24">
        <f t="shared" si="5"/>
        <v>10</v>
      </c>
      <c r="D346" s="22" t="s">
        <v>79</v>
      </c>
      <c r="E346" s="22" t="s">
        <v>30</v>
      </c>
      <c r="F346" s="22" t="s">
        <v>55</v>
      </c>
      <c r="G346" s="22" t="s">
        <v>109</v>
      </c>
      <c r="H346" s="22" t="s">
        <v>185</v>
      </c>
      <c r="I346" s="22" t="s">
        <v>24</v>
      </c>
      <c r="J346" s="22" t="s">
        <v>63</v>
      </c>
      <c r="K346" s="22" t="s">
        <v>53</v>
      </c>
      <c r="L346" s="22">
        <v>7</v>
      </c>
      <c r="M346" s="22">
        <v>38800</v>
      </c>
      <c r="N346" s="22">
        <v>0.1</v>
      </c>
      <c r="O346" s="22">
        <v>244440</v>
      </c>
      <c r="P346" s="22">
        <v>199515.96</v>
      </c>
      <c r="Q346" s="22">
        <v>44924.04</v>
      </c>
      <c r="R346" s="22" t="s">
        <v>48</v>
      </c>
    </row>
    <row r="347" hidden="1" spans="1:18">
      <c r="A347" s="22" t="s">
        <v>481</v>
      </c>
      <c r="B347" s="23">
        <v>45755</v>
      </c>
      <c r="C347" s="24">
        <f t="shared" si="5"/>
        <v>4</v>
      </c>
      <c r="D347" s="22" t="s">
        <v>69</v>
      </c>
      <c r="E347" s="22" t="s">
        <v>30</v>
      </c>
      <c r="F347" s="22" t="s">
        <v>55</v>
      </c>
      <c r="G347" s="22" t="s">
        <v>80</v>
      </c>
      <c r="H347" s="22" t="s">
        <v>81</v>
      </c>
      <c r="I347" s="22" t="s">
        <v>45</v>
      </c>
      <c r="J347" s="22" t="s">
        <v>73</v>
      </c>
      <c r="K347" s="22" t="s">
        <v>26</v>
      </c>
      <c r="L347" s="22">
        <v>4</v>
      </c>
      <c r="M347" s="22">
        <v>57200</v>
      </c>
      <c r="N347" s="22">
        <v>0.2</v>
      </c>
      <c r="O347" s="22">
        <v>183040</v>
      </c>
      <c r="P347" s="22">
        <v>116497.76</v>
      </c>
      <c r="Q347" s="22">
        <v>66542.24</v>
      </c>
      <c r="R347" s="22" t="s">
        <v>27</v>
      </c>
    </row>
    <row r="348" hidden="1" spans="1:18">
      <c r="A348" s="22" t="s">
        <v>482</v>
      </c>
      <c r="B348" s="23">
        <v>45783</v>
      </c>
      <c r="C348" s="24">
        <f t="shared" si="5"/>
        <v>5</v>
      </c>
      <c r="D348" s="22" t="s">
        <v>75</v>
      </c>
      <c r="E348" s="22" t="s">
        <v>30</v>
      </c>
      <c r="F348" s="22" t="s">
        <v>55</v>
      </c>
      <c r="G348" s="22" t="s">
        <v>195</v>
      </c>
      <c r="H348" s="22" t="s">
        <v>448</v>
      </c>
      <c r="I348" s="22" t="s">
        <v>51</v>
      </c>
      <c r="J348" s="22" t="s">
        <v>25</v>
      </c>
      <c r="K348" s="22" t="s">
        <v>47</v>
      </c>
      <c r="L348" s="22">
        <v>8</v>
      </c>
      <c r="M348" s="22">
        <v>27400</v>
      </c>
      <c r="N348" s="22">
        <v>0.1</v>
      </c>
      <c r="O348" s="22">
        <v>197280</v>
      </c>
      <c r="P348" s="22">
        <v>131849.23</v>
      </c>
      <c r="Q348" s="22">
        <v>65430.77</v>
      </c>
      <c r="R348" s="22" t="s">
        <v>77</v>
      </c>
    </row>
    <row r="349" hidden="1" spans="1:18">
      <c r="A349" s="22" t="s">
        <v>483</v>
      </c>
      <c r="B349" s="23">
        <v>45782</v>
      </c>
      <c r="C349" s="24">
        <f t="shared" si="5"/>
        <v>5</v>
      </c>
      <c r="D349" s="22" t="s">
        <v>75</v>
      </c>
      <c r="E349" s="22" t="s">
        <v>30</v>
      </c>
      <c r="F349" s="22" t="s">
        <v>55</v>
      </c>
      <c r="G349" s="22" t="s">
        <v>56</v>
      </c>
      <c r="H349" s="22" t="s">
        <v>57</v>
      </c>
      <c r="I349" s="22" t="s">
        <v>45</v>
      </c>
      <c r="J349" s="22" t="s">
        <v>116</v>
      </c>
      <c r="K349" s="22" t="s">
        <v>26</v>
      </c>
      <c r="L349" s="22">
        <v>6</v>
      </c>
      <c r="M349" s="22">
        <v>41600</v>
      </c>
      <c r="N349" s="22">
        <v>0.15</v>
      </c>
      <c r="O349" s="22">
        <v>212160</v>
      </c>
      <c r="P349" s="22">
        <v>135108.92</v>
      </c>
      <c r="Q349" s="22">
        <v>77051.08</v>
      </c>
      <c r="R349" s="22" t="s">
        <v>35</v>
      </c>
    </row>
    <row r="350" hidden="1" spans="1:18">
      <c r="A350" s="22" t="s">
        <v>484</v>
      </c>
      <c r="B350" s="23">
        <v>45688</v>
      </c>
      <c r="C350" s="24">
        <f t="shared" si="5"/>
        <v>1</v>
      </c>
      <c r="D350" s="22" t="s">
        <v>90</v>
      </c>
      <c r="E350" s="22" t="s">
        <v>30</v>
      </c>
      <c r="F350" s="22" t="s">
        <v>55</v>
      </c>
      <c r="G350" s="22" t="s">
        <v>80</v>
      </c>
      <c r="H350" s="22" t="s">
        <v>81</v>
      </c>
      <c r="I350" s="22" t="s">
        <v>45</v>
      </c>
      <c r="J350" s="22" t="s">
        <v>46</v>
      </c>
      <c r="K350" s="22" t="s">
        <v>53</v>
      </c>
      <c r="L350" s="22">
        <v>5</v>
      </c>
      <c r="M350" s="22">
        <v>27800</v>
      </c>
      <c r="N350" s="22">
        <v>0.15</v>
      </c>
      <c r="O350" s="22">
        <v>118150</v>
      </c>
      <c r="P350" s="22">
        <v>81145.1</v>
      </c>
      <c r="Q350" s="22">
        <v>37004.9</v>
      </c>
      <c r="R350" s="22" t="s">
        <v>58</v>
      </c>
    </row>
    <row r="351" hidden="1" spans="1:18">
      <c r="A351" s="22" t="s">
        <v>485</v>
      </c>
      <c r="B351" s="23">
        <v>45722</v>
      </c>
      <c r="C351" s="24">
        <f t="shared" si="5"/>
        <v>3</v>
      </c>
      <c r="D351" s="22" t="s">
        <v>103</v>
      </c>
      <c r="E351" s="22" t="s">
        <v>30</v>
      </c>
      <c r="F351" s="22" t="s">
        <v>31</v>
      </c>
      <c r="G351" s="22" t="s">
        <v>172</v>
      </c>
      <c r="H351" s="22" t="s">
        <v>173</v>
      </c>
      <c r="I351" s="22" t="s">
        <v>24</v>
      </c>
      <c r="J351" s="22" t="s">
        <v>170</v>
      </c>
      <c r="K351" s="22" t="s">
        <v>26</v>
      </c>
      <c r="L351" s="22">
        <v>10</v>
      </c>
      <c r="M351" s="22">
        <v>16300</v>
      </c>
      <c r="N351" s="22">
        <v>0.05</v>
      </c>
      <c r="O351" s="22">
        <v>154850</v>
      </c>
      <c r="P351" s="22">
        <v>102504.46</v>
      </c>
      <c r="Q351" s="22">
        <v>52345.54</v>
      </c>
      <c r="R351" s="22" t="s">
        <v>77</v>
      </c>
    </row>
    <row r="352" hidden="1" spans="1:18">
      <c r="A352" s="22" t="s">
        <v>486</v>
      </c>
      <c r="B352" s="23">
        <v>44315</v>
      </c>
      <c r="C352" s="24">
        <f t="shared" si="5"/>
        <v>4</v>
      </c>
      <c r="D352" s="22" t="s">
        <v>90</v>
      </c>
      <c r="E352" s="22" t="s">
        <v>30</v>
      </c>
      <c r="F352" s="22" t="s">
        <v>96</v>
      </c>
      <c r="G352" s="22" t="s">
        <v>97</v>
      </c>
      <c r="H352" s="22" t="s">
        <v>147</v>
      </c>
      <c r="I352" s="22" t="s">
        <v>24</v>
      </c>
      <c r="J352" s="22" t="s">
        <v>46</v>
      </c>
      <c r="K352" s="22" t="s">
        <v>53</v>
      </c>
      <c r="L352" s="22">
        <v>8</v>
      </c>
      <c r="M352" s="22">
        <v>24300</v>
      </c>
      <c r="N352" s="22">
        <v>0</v>
      </c>
      <c r="O352" s="22">
        <v>194400</v>
      </c>
      <c r="P352" s="22">
        <v>141458.34</v>
      </c>
      <c r="Q352" s="22">
        <v>52941.66</v>
      </c>
      <c r="R352" s="22" t="s">
        <v>48</v>
      </c>
    </row>
    <row r="353" hidden="1" spans="1:18">
      <c r="A353" s="22" t="s">
        <v>487</v>
      </c>
      <c r="B353" s="23">
        <v>43312</v>
      </c>
      <c r="C353" s="24">
        <f t="shared" si="5"/>
        <v>7</v>
      </c>
      <c r="D353" s="22" t="s">
        <v>79</v>
      </c>
      <c r="E353" s="22" t="s">
        <v>30</v>
      </c>
      <c r="F353" s="22" t="s">
        <v>31</v>
      </c>
      <c r="G353" s="22" t="s">
        <v>32</v>
      </c>
      <c r="H353" s="22" t="s">
        <v>226</v>
      </c>
      <c r="I353" s="22" t="s">
        <v>24</v>
      </c>
      <c r="J353" s="22" t="s">
        <v>88</v>
      </c>
      <c r="K353" s="22" t="s">
        <v>47</v>
      </c>
      <c r="L353" s="22">
        <v>7</v>
      </c>
      <c r="M353" s="22">
        <v>42200</v>
      </c>
      <c r="N353" s="22">
        <v>0.15</v>
      </c>
      <c r="O353" s="22">
        <v>251090</v>
      </c>
      <c r="P353" s="22">
        <v>162636.13</v>
      </c>
      <c r="Q353" s="22">
        <v>88453.87</v>
      </c>
      <c r="R353" s="22" t="s">
        <v>27</v>
      </c>
    </row>
    <row r="354" hidden="1" spans="1:18">
      <c r="A354" s="22" t="s">
        <v>488</v>
      </c>
      <c r="B354" s="23">
        <v>44643</v>
      </c>
      <c r="C354" s="24">
        <f t="shared" si="5"/>
        <v>3</v>
      </c>
      <c r="D354" s="22" t="s">
        <v>85</v>
      </c>
      <c r="E354" s="22" t="s">
        <v>30</v>
      </c>
      <c r="F354" s="22" t="s">
        <v>31</v>
      </c>
      <c r="G354" s="22" t="s">
        <v>43</v>
      </c>
      <c r="H354" s="22" t="s">
        <v>258</v>
      </c>
      <c r="I354" s="22" t="s">
        <v>45</v>
      </c>
      <c r="J354" s="22" t="s">
        <v>124</v>
      </c>
      <c r="K354" s="22" t="s">
        <v>26</v>
      </c>
      <c r="L354" s="22">
        <v>6</v>
      </c>
      <c r="M354" s="22">
        <v>1800</v>
      </c>
      <c r="N354" s="22">
        <v>0.1</v>
      </c>
      <c r="O354" s="22">
        <v>9720</v>
      </c>
      <c r="P354" s="22">
        <v>6822.26</v>
      </c>
      <c r="Q354" s="22">
        <v>2897.74</v>
      </c>
      <c r="R354" s="22" t="s">
        <v>77</v>
      </c>
    </row>
    <row r="355" hidden="1" spans="1:18">
      <c r="A355" s="22" t="s">
        <v>489</v>
      </c>
      <c r="B355" s="23">
        <v>45710</v>
      </c>
      <c r="C355" s="24">
        <f t="shared" si="5"/>
        <v>2</v>
      </c>
      <c r="D355" s="22" t="s">
        <v>103</v>
      </c>
      <c r="E355" s="22" t="s">
        <v>30</v>
      </c>
      <c r="F355" s="22" t="s">
        <v>55</v>
      </c>
      <c r="G355" s="22" t="s">
        <v>109</v>
      </c>
      <c r="H355" s="22" t="s">
        <v>185</v>
      </c>
      <c r="I355" s="22" t="s">
        <v>45</v>
      </c>
      <c r="J355" s="22" t="s">
        <v>116</v>
      </c>
      <c r="K355" s="22" t="s">
        <v>53</v>
      </c>
      <c r="L355" s="22">
        <v>6</v>
      </c>
      <c r="M355" s="22">
        <v>39200</v>
      </c>
      <c r="N355" s="22">
        <v>0</v>
      </c>
      <c r="O355" s="22">
        <v>235200</v>
      </c>
      <c r="P355" s="22">
        <v>193797.09</v>
      </c>
      <c r="Q355" s="22">
        <v>41402.91</v>
      </c>
      <c r="R355" s="22" t="s">
        <v>58</v>
      </c>
    </row>
    <row r="356" hidden="1" spans="1:18">
      <c r="A356" s="22" t="s">
        <v>490</v>
      </c>
      <c r="B356" s="23">
        <v>45297</v>
      </c>
      <c r="C356" s="24">
        <f t="shared" si="5"/>
        <v>1</v>
      </c>
      <c r="D356" s="22" t="s">
        <v>37</v>
      </c>
      <c r="E356" s="22" t="s">
        <v>30</v>
      </c>
      <c r="F356" s="22" t="s">
        <v>21</v>
      </c>
      <c r="G356" s="22" t="s">
        <v>167</v>
      </c>
      <c r="H356" s="22" t="s">
        <v>254</v>
      </c>
      <c r="I356" s="22" t="s">
        <v>24</v>
      </c>
      <c r="J356" s="22" t="s">
        <v>40</v>
      </c>
      <c r="K356" s="22" t="s">
        <v>26</v>
      </c>
      <c r="L356" s="22">
        <v>1</v>
      </c>
      <c r="M356" s="22">
        <v>28000</v>
      </c>
      <c r="N356" s="22">
        <v>0.1</v>
      </c>
      <c r="O356" s="22">
        <v>25200</v>
      </c>
      <c r="P356" s="22">
        <v>17495.93</v>
      </c>
      <c r="Q356" s="22">
        <v>7704.07</v>
      </c>
      <c r="R356" s="22" t="s">
        <v>27</v>
      </c>
    </row>
    <row r="357" hidden="1" spans="1:18">
      <c r="A357" s="22" t="s">
        <v>491</v>
      </c>
      <c r="B357" s="23">
        <v>43817</v>
      </c>
      <c r="C357" s="24">
        <f t="shared" si="5"/>
        <v>12</v>
      </c>
      <c r="D357" s="22" t="s">
        <v>85</v>
      </c>
      <c r="E357" s="22" t="s">
        <v>30</v>
      </c>
      <c r="F357" s="22" t="s">
        <v>55</v>
      </c>
      <c r="G357" s="22" t="s">
        <v>56</v>
      </c>
      <c r="H357" s="22" t="s">
        <v>154</v>
      </c>
      <c r="I357" s="22" t="s">
        <v>51</v>
      </c>
      <c r="J357" s="22" t="s">
        <v>99</v>
      </c>
      <c r="K357" s="22" t="s">
        <v>47</v>
      </c>
      <c r="L357" s="22">
        <v>10</v>
      </c>
      <c r="M357" s="22">
        <v>4100</v>
      </c>
      <c r="N357" s="22">
        <v>0.1</v>
      </c>
      <c r="O357" s="22">
        <v>36900</v>
      </c>
      <c r="P357" s="22">
        <v>28968.66</v>
      </c>
      <c r="Q357" s="22">
        <v>7931.34</v>
      </c>
      <c r="R357" s="22" t="s">
        <v>58</v>
      </c>
    </row>
    <row r="358" hidden="1" spans="1:18">
      <c r="A358" s="22" t="s">
        <v>492</v>
      </c>
      <c r="B358" s="23">
        <v>43151</v>
      </c>
      <c r="C358" s="24">
        <f t="shared" si="5"/>
        <v>2</v>
      </c>
      <c r="D358" s="22" t="s">
        <v>90</v>
      </c>
      <c r="E358" s="22" t="s">
        <v>30</v>
      </c>
      <c r="F358" s="22" t="s">
        <v>31</v>
      </c>
      <c r="G358" s="22" t="s">
        <v>66</v>
      </c>
      <c r="H358" s="22" t="s">
        <v>316</v>
      </c>
      <c r="I358" s="22" t="s">
        <v>45</v>
      </c>
      <c r="J358" s="22" t="s">
        <v>25</v>
      </c>
      <c r="K358" s="22" t="s">
        <v>47</v>
      </c>
      <c r="L358" s="22">
        <v>7</v>
      </c>
      <c r="M358" s="22">
        <v>21600</v>
      </c>
      <c r="N358" s="22">
        <v>0</v>
      </c>
      <c r="O358" s="22">
        <v>151200</v>
      </c>
      <c r="P358" s="22">
        <v>101665.71</v>
      </c>
      <c r="Q358" s="22">
        <v>49534.29</v>
      </c>
      <c r="R358" s="22" t="s">
        <v>58</v>
      </c>
    </row>
    <row r="359" hidden="1" spans="1:18">
      <c r="A359" s="22" t="s">
        <v>493</v>
      </c>
      <c r="B359" s="23">
        <v>44038</v>
      </c>
      <c r="C359" s="24">
        <f t="shared" si="5"/>
        <v>7</v>
      </c>
      <c r="D359" s="22" t="s">
        <v>29</v>
      </c>
      <c r="E359" s="22" t="s">
        <v>30</v>
      </c>
      <c r="F359" s="22" t="s">
        <v>31</v>
      </c>
      <c r="G359" s="22" t="s">
        <v>43</v>
      </c>
      <c r="H359" s="22" t="s">
        <v>91</v>
      </c>
      <c r="I359" s="22" t="s">
        <v>51</v>
      </c>
      <c r="J359" s="22" t="s">
        <v>170</v>
      </c>
      <c r="K359" s="22" t="s">
        <v>47</v>
      </c>
      <c r="L359" s="22">
        <v>1</v>
      </c>
      <c r="M359" s="22">
        <v>8700</v>
      </c>
      <c r="N359" s="22">
        <v>0.2</v>
      </c>
      <c r="O359" s="22">
        <v>6960</v>
      </c>
      <c r="P359" s="22">
        <v>4890.63</v>
      </c>
      <c r="Q359" s="22">
        <v>2069.37</v>
      </c>
      <c r="R359" s="22" t="s">
        <v>48</v>
      </c>
    </row>
    <row r="360" hidden="1" spans="1:18">
      <c r="A360" s="22" t="s">
        <v>494</v>
      </c>
      <c r="B360" s="23">
        <v>45751</v>
      </c>
      <c r="C360" s="24">
        <f t="shared" si="5"/>
        <v>4</v>
      </c>
      <c r="D360" s="22" t="s">
        <v>69</v>
      </c>
      <c r="E360" s="22" t="s">
        <v>30</v>
      </c>
      <c r="F360" s="22" t="s">
        <v>60</v>
      </c>
      <c r="G360" s="22" t="s">
        <v>86</v>
      </c>
      <c r="H360" s="22" t="s">
        <v>106</v>
      </c>
      <c r="I360" s="22" t="s">
        <v>24</v>
      </c>
      <c r="J360" s="22" t="s">
        <v>25</v>
      </c>
      <c r="K360" s="22" t="s">
        <v>53</v>
      </c>
      <c r="L360" s="22">
        <v>4</v>
      </c>
      <c r="M360" s="22">
        <v>55200</v>
      </c>
      <c r="N360" s="22">
        <v>0.05</v>
      </c>
      <c r="O360" s="22">
        <v>209760</v>
      </c>
      <c r="P360" s="22">
        <v>165748.49</v>
      </c>
      <c r="Q360" s="22">
        <v>44011.51</v>
      </c>
      <c r="R360" s="22" t="s">
        <v>58</v>
      </c>
    </row>
    <row r="361" hidden="1" spans="1:18">
      <c r="A361" s="22" t="s">
        <v>495</v>
      </c>
      <c r="B361" s="23">
        <v>43271</v>
      </c>
      <c r="C361" s="24">
        <f t="shared" si="5"/>
        <v>6</v>
      </c>
      <c r="D361" s="22" t="s">
        <v>37</v>
      </c>
      <c r="E361" s="22" t="s">
        <v>30</v>
      </c>
      <c r="F361" s="22" t="s">
        <v>60</v>
      </c>
      <c r="G361" s="22" t="s">
        <v>86</v>
      </c>
      <c r="H361" s="22" t="s">
        <v>106</v>
      </c>
      <c r="I361" s="22" t="s">
        <v>24</v>
      </c>
      <c r="J361" s="22" t="s">
        <v>40</v>
      </c>
      <c r="K361" s="22" t="s">
        <v>47</v>
      </c>
      <c r="L361" s="22">
        <v>2</v>
      </c>
      <c r="M361" s="22">
        <v>14600</v>
      </c>
      <c r="N361" s="22">
        <v>0.05</v>
      </c>
      <c r="O361" s="22">
        <v>27740</v>
      </c>
      <c r="P361" s="22">
        <v>20040.77</v>
      </c>
      <c r="Q361" s="22">
        <v>7699.23</v>
      </c>
      <c r="R361" s="22" t="s">
        <v>48</v>
      </c>
    </row>
    <row r="362" hidden="1" spans="1:18">
      <c r="A362" s="22" t="s">
        <v>496</v>
      </c>
      <c r="B362" s="23">
        <v>43660</v>
      </c>
      <c r="C362" s="24">
        <f t="shared" si="5"/>
        <v>7</v>
      </c>
      <c r="D362" s="22" t="s">
        <v>29</v>
      </c>
      <c r="E362" s="22" t="s">
        <v>30</v>
      </c>
      <c r="F362" s="22" t="s">
        <v>21</v>
      </c>
      <c r="G362" s="22" t="s">
        <v>22</v>
      </c>
      <c r="H362" s="22" t="s">
        <v>215</v>
      </c>
      <c r="I362" s="22" t="s">
        <v>51</v>
      </c>
      <c r="J362" s="22" t="s">
        <v>73</v>
      </c>
      <c r="K362" s="22" t="s">
        <v>47</v>
      </c>
      <c r="L362" s="22">
        <v>3</v>
      </c>
      <c r="M362" s="22">
        <v>9300</v>
      </c>
      <c r="N362" s="22">
        <v>0</v>
      </c>
      <c r="O362" s="22">
        <v>27900</v>
      </c>
      <c r="P362" s="22">
        <v>22041.27</v>
      </c>
      <c r="Q362" s="22">
        <v>5858.73</v>
      </c>
      <c r="R362" s="22" t="s">
        <v>35</v>
      </c>
    </row>
    <row r="363" hidden="1" spans="1:18">
      <c r="A363" s="22" t="s">
        <v>497</v>
      </c>
      <c r="B363" s="23">
        <v>44303</v>
      </c>
      <c r="C363" s="24">
        <f t="shared" si="5"/>
        <v>4</v>
      </c>
      <c r="D363" s="22" t="s">
        <v>121</v>
      </c>
      <c r="E363" s="22" t="s">
        <v>30</v>
      </c>
      <c r="F363" s="22" t="s">
        <v>21</v>
      </c>
      <c r="G363" s="22" t="s">
        <v>167</v>
      </c>
      <c r="H363" s="22" t="s">
        <v>168</v>
      </c>
      <c r="I363" s="22" t="s">
        <v>45</v>
      </c>
      <c r="J363" s="22" t="s">
        <v>170</v>
      </c>
      <c r="K363" s="22" t="s">
        <v>26</v>
      </c>
      <c r="L363" s="22">
        <v>1</v>
      </c>
      <c r="M363" s="22">
        <v>64400</v>
      </c>
      <c r="N363" s="22">
        <v>0.05</v>
      </c>
      <c r="O363" s="22">
        <v>61180</v>
      </c>
      <c r="P363" s="22">
        <v>38336.79</v>
      </c>
      <c r="Q363" s="22">
        <v>22843.21</v>
      </c>
      <c r="R363" s="22" t="s">
        <v>48</v>
      </c>
    </row>
    <row r="364" hidden="1" spans="1:18">
      <c r="A364" s="22" t="s">
        <v>498</v>
      </c>
      <c r="B364" s="23">
        <v>44211</v>
      </c>
      <c r="C364" s="24">
        <f t="shared" si="5"/>
        <v>1</v>
      </c>
      <c r="D364" s="22" t="s">
        <v>90</v>
      </c>
      <c r="E364" s="22" t="s">
        <v>30</v>
      </c>
      <c r="F364" s="22" t="s">
        <v>60</v>
      </c>
      <c r="G364" s="22" t="s">
        <v>141</v>
      </c>
      <c r="H364" s="22" t="s">
        <v>200</v>
      </c>
      <c r="I364" s="22" t="s">
        <v>45</v>
      </c>
      <c r="J364" s="22" t="s">
        <v>99</v>
      </c>
      <c r="K364" s="22" t="s">
        <v>53</v>
      </c>
      <c r="L364" s="22">
        <v>8</v>
      </c>
      <c r="M364" s="22">
        <v>22500</v>
      </c>
      <c r="N364" s="22">
        <v>0.15</v>
      </c>
      <c r="O364" s="22">
        <v>153000</v>
      </c>
      <c r="P364" s="22">
        <v>126741.45</v>
      </c>
      <c r="Q364" s="22">
        <v>26258.55</v>
      </c>
      <c r="R364" s="22" t="s">
        <v>35</v>
      </c>
    </row>
    <row r="365" hidden="1" spans="1:18">
      <c r="A365" s="22" t="s">
        <v>499</v>
      </c>
      <c r="B365" s="23">
        <v>44095</v>
      </c>
      <c r="C365" s="24">
        <f t="shared" si="5"/>
        <v>9</v>
      </c>
      <c r="D365" s="22" t="s">
        <v>90</v>
      </c>
      <c r="E365" s="22" t="s">
        <v>30</v>
      </c>
      <c r="F365" s="22" t="s">
        <v>31</v>
      </c>
      <c r="G365" s="22" t="s">
        <v>172</v>
      </c>
      <c r="H365" s="22" t="s">
        <v>269</v>
      </c>
      <c r="I365" s="22" t="s">
        <v>51</v>
      </c>
      <c r="J365" s="22" t="s">
        <v>46</v>
      </c>
      <c r="K365" s="22" t="s">
        <v>26</v>
      </c>
      <c r="L365" s="22">
        <v>1</v>
      </c>
      <c r="M365" s="22">
        <v>35300</v>
      </c>
      <c r="N365" s="22">
        <v>0.1</v>
      </c>
      <c r="O365" s="22">
        <v>31770</v>
      </c>
      <c r="P365" s="22">
        <v>26617.67</v>
      </c>
      <c r="Q365" s="22">
        <v>5152.33</v>
      </c>
      <c r="R365" s="22" t="s">
        <v>48</v>
      </c>
    </row>
    <row r="366" hidden="1" spans="1:18">
      <c r="A366" s="22" t="s">
        <v>500</v>
      </c>
      <c r="B366" s="23">
        <v>43180</v>
      </c>
      <c r="C366" s="24">
        <f t="shared" si="5"/>
        <v>3</v>
      </c>
      <c r="D366" s="22" t="s">
        <v>90</v>
      </c>
      <c r="E366" s="22" t="s">
        <v>30</v>
      </c>
      <c r="F366" s="22" t="s">
        <v>31</v>
      </c>
      <c r="G366" s="22" t="s">
        <v>32</v>
      </c>
      <c r="H366" s="22" t="s">
        <v>33</v>
      </c>
      <c r="I366" s="22" t="s">
        <v>45</v>
      </c>
      <c r="J366" s="22" t="s">
        <v>40</v>
      </c>
      <c r="K366" s="22" t="s">
        <v>26</v>
      </c>
      <c r="L366" s="22">
        <v>8</v>
      </c>
      <c r="M366" s="22">
        <v>43000</v>
      </c>
      <c r="N366" s="22">
        <v>0.05</v>
      </c>
      <c r="O366" s="22">
        <v>326800</v>
      </c>
      <c r="P366" s="22">
        <v>216886.71</v>
      </c>
      <c r="Q366" s="22">
        <v>109913.29</v>
      </c>
      <c r="R366" s="22" t="s">
        <v>77</v>
      </c>
    </row>
    <row r="367" hidden="1" spans="1:18">
      <c r="A367" s="22" t="s">
        <v>501</v>
      </c>
      <c r="B367" s="23">
        <v>43191</v>
      </c>
      <c r="C367" s="24">
        <f t="shared" si="5"/>
        <v>4</v>
      </c>
      <c r="D367" s="22" t="s">
        <v>79</v>
      </c>
      <c r="E367" s="22" t="s">
        <v>30</v>
      </c>
      <c r="F367" s="22" t="s">
        <v>96</v>
      </c>
      <c r="G367" s="22" t="s">
        <v>97</v>
      </c>
      <c r="H367" s="22" t="s">
        <v>98</v>
      </c>
      <c r="I367" s="22" t="s">
        <v>24</v>
      </c>
      <c r="J367" s="22" t="s">
        <v>52</v>
      </c>
      <c r="K367" s="22" t="s">
        <v>53</v>
      </c>
      <c r="L367" s="22">
        <v>2</v>
      </c>
      <c r="M367" s="22">
        <v>26400</v>
      </c>
      <c r="N367" s="22">
        <v>0</v>
      </c>
      <c r="O367" s="22">
        <v>52800</v>
      </c>
      <c r="P367" s="22">
        <v>33434.08</v>
      </c>
      <c r="Q367" s="22">
        <v>19365.92</v>
      </c>
      <c r="R367" s="22" t="s">
        <v>48</v>
      </c>
    </row>
    <row r="368" hidden="1" spans="1:18">
      <c r="A368" s="22" t="s">
        <v>502</v>
      </c>
      <c r="B368" s="23">
        <v>43295</v>
      </c>
      <c r="C368" s="24">
        <f t="shared" si="5"/>
        <v>7</v>
      </c>
      <c r="D368" s="22" t="s">
        <v>90</v>
      </c>
      <c r="E368" s="22" t="s">
        <v>30</v>
      </c>
      <c r="F368" s="22" t="s">
        <v>21</v>
      </c>
      <c r="G368" s="22" t="s">
        <v>167</v>
      </c>
      <c r="H368" s="22" t="s">
        <v>254</v>
      </c>
      <c r="I368" s="22" t="s">
        <v>51</v>
      </c>
      <c r="J368" s="22" t="s">
        <v>170</v>
      </c>
      <c r="K368" s="22" t="s">
        <v>26</v>
      </c>
      <c r="L368" s="22">
        <v>1</v>
      </c>
      <c r="M368" s="22">
        <v>12200</v>
      </c>
      <c r="N368" s="22">
        <v>0</v>
      </c>
      <c r="O368" s="22">
        <v>12200</v>
      </c>
      <c r="P368" s="22">
        <v>9344.9</v>
      </c>
      <c r="Q368" s="22">
        <v>2855.1</v>
      </c>
      <c r="R368" s="22" t="s">
        <v>35</v>
      </c>
    </row>
    <row r="369" hidden="1" spans="1:18">
      <c r="A369" s="22" t="s">
        <v>503</v>
      </c>
      <c r="B369" s="23">
        <v>43352</v>
      </c>
      <c r="C369" s="24">
        <f t="shared" si="5"/>
        <v>9</v>
      </c>
      <c r="D369" s="22" t="s">
        <v>29</v>
      </c>
      <c r="E369" s="22" t="s">
        <v>30</v>
      </c>
      <c r="F369" s="22" t="s">
        <v>55</v>
      </c>
      <c r="G369" s="22" t="s">
        <v>109</v>
      </c>
      <c r="H369" s="22" t="s">
        <v>110</v>
      </c>
      <c r="I369" s="22" t="s">
        <v>24</v>
      </c>
      <c r="J369" s="22" t="s">
        <v>40</v>
      </c>
      <c r="K369" s="22" t="s">
        <v>47</v>
      </c>
      <c r="L369" s="22">
        <v>1</v>
      </c>
      <c r="M369" s="22">
        <v>5800</v>
      </c>
      <c r="N369" s="22">
        <v>0.1</v>
      </c>
      <c r="O369" s="22">
        <v>5220</v>
      </c>
      <c r="P369" s="22">
        <v>4316.15</v>
      </c>
      <c r="Q369" s="22">
        <v>903.85</v>
      </c>
      <c r="R369" s="22" t="s">
        <v>77</v>
      </c>
    </row>
    <row r="370" hidden="1" spans="1:18">
      <c r="A370" s="22" t="s">
        <v>504</v>
      </c>
      <c r="B370" s="23">
        <v>43725</v>
      </c>
      <c r="C370" s="24">
        <f t="shared" si="5"/>
        <v>9</v>
      </c>
      <c r="D370" s="22" t="s">
        <v>79</v>
      </c>
      <c r="E370" s="22" t="s">
        <v>30</v>
      </c>
      <c r="F370" s="22" t="s">
        <v>96</v>
      </c>
      <c r="G370" s="22" t="s">
        <v>97</v>
      </c>
      <c r="H370" s="22" t="s">
        <v>289</v>
      </c>
      <c r="I370" s="22" t="s">
        <v>24</v>
      </c>
      <c r="J370" s="22" t="s">
        <v>116</v>
      </c>
      <c r="K370" s="22" t="s">
        <v>47</v>
      </c>
      <c r="L370" s="22">
        <v>10</v>
      </c>
      <c r="M370" s="22">
        <v>33000</v>
      </c>
      <c r="N370" s="22">
        <v>0.1</v>
      </c>
      <c r="O370" s="22">
        <v>297000</v>
      </c>
      <c r="P370" s="22">
        <v>212487.36</v>
      </c>
      <c r="Q370" s="22">
        <v>84512.64</v>
      </c>
      <c r="R370" s="22" t="s">
        <v>35</v>
      </c>
    </row>
    <row r="371" hidden="1" spans="1:18">
      <c r="A371" s="22" t="s">
        <v>505</v>
      </c>
      <c r="B371" s="23">
        <v>45727</v>
      </c>
      <c r="C371" s="24">
        <f t="shared" si="5"/>
        <v>3</v>
      </c>
      <c r="D371" s="22" t="s">
        <v>103</v>
      </c>
      <c r="E371" s="22" t="s">
        <v>213</v>
      </c>
      <c r="F371" s="22" t="s">
        <v>55</v>
      </c>
      <c r="G371" s="22" t="s">
        <v>109</v>
      </c>
      <c r="H371" s="22" t="s">
        <v>110</v>
      </c>
      <c r="I371" s="22" t="s">
        <v>45</v>
      </c>
      <c r="J371" s="22" t="s">
        <v>25</v>
      </c>
      <c r="K371" s="22" t="s">
        <v>53</v>
      </c>
      <c r="L371" s="22">
        <v>4</v>
      </c>
      <c r="M371" s="22">
        <v>15600</v>
      </c>
      <c r="N371" s="22">
        <v>0</v>
      </c>
      <c r="O371" s="22">
        <v>62400</v>
      </c>
      <c r="P371" s="22">
        <v>50672.81</v>
      </c>
      <c r="Q371" s="22">
        <v>11727.19</v>
      </c>
      <c r="R371" s="22" t="s">
        <v>35</v>
      </c>
    </row>
    <row r="372" hidden="1" spans="1:18">
      <c r="A372" s="22" t="s">
        <v>506</v>
      </c>
      <c r="B372" s="23">
        <v>44178</v>
      </c>
      <c r="C372" s="24">
        <f t="shared" si="5"/>
        <v>12</v>
      </c>
      <c r="D372" s="22" t="s">
        <v>133</v>
      </c>
      <c r="E372" s="22" t="s">
        <v>213</v>
      </c>
      <c r="F372" s="22" t="s">
        <v>21</v>
      </c>
      <c r="G372" s="22" t="s">
        <v>122</v>
      </c>
      <c r="H372" s="22" t="s">
        <v>156</v>
      </c>
      <c r="I372" s="22" t="s">
        <v>24</v>
      </c>
      <c r="J372" s="22" t="s">
        <v>124</v>
      </c>
      <c r="K372" s="22" t="s">
        <v>47</v>
      </c>
      <c r="L372" s="22">
        <v>10</v>
      </c>
      <c r="M372" s="22">
        <v>15500</v>
      </c>
      <c r="N372" s="22">
        <v>0.05</v>
      </c>
      <c r="O372" s="22">
        <v>147250</v>
      </c>
      <c r="P372" s="22">
        <v>95140.58</v>
      </c>
      <c r="Q372" s="22">
        <v>52109.42</v>
      </c>
      <c r="R372" s="22" t="s">
        <v>27</v>
      </c>
    </row>
    <row r="373" hidden="1" spans="1:18">
      <c r="A373" s="22" t="s">
        <v>507</v>
      </c>
      <c r="B373" s="23">
        <v>45730</v>
      </c>
      <c r="C373" s="24">
        <f t="shared" si="5"/>
        <v>3</v>
      </c>
      <c r="D373" s="22" t="s">
        <v>103</v>
      </c>
      <c r="E373" s="22" t="s">
        <v>213</v>
      </c>
      <c r="F373" s="22" t="s">
        <v>31</v>
      </c>
      <c r="G373" s="22" t="s">
        <v>172</v>
      </c>
      <c r="H373" s="22" t="s">
        <v>173</v>
      </c>
      <c r="I373" s="22" t="s">
        <v>24</v>
      </c>
      <c r="J373" s="22" t="s">
        <v>124</v>
      </c>
      <c r="K373" s="22" t="s">
        <v>53</v>
      </c>
      <c r="L373" s="22">
        <v>7</v>
      </c>
      <c r="M373" s="22">
        <v>6400</v>
      </c>
      <c r="N373" s="22">
        <v>0.1</v>
      </c>
      <c r="O373" s="22">
        <v>40320</v>
      </c>
      <c r="P373" s="22">
        <v>27627.21</v>
      </c>
      <c r="Q373" s="22">
        <v>12692.79</v>
      </c>
      <c r="R373" s="22" t="s">
        <v>58</v>
      </c>
    </row>
    <row r="374" hidden="1" spans="1:18">
      <c r="A374" s="22" t="s">
        <v>508</v>
      </c>
      <c r="B374" s="23">
        <v>44307</v>
      </c>
      <c r="C374" s="24">
        <f t="shared" si="5"/>
        <v>4</v>
      </c>
      <c r="D374" s="22" t="s">
        <v>42</v>
      </c>
      <c r="E374" s="22" t="s">
        <v>30</v>
      </c>
      <c r="F374" s="22" t="s">
        <v>96</v>
      </c>
      <c r="G374" s="22" t="s">
        <v>113</v>
      </c>
      <c r="H374" s="22" t="s">
        <v>114</v>
      </c>
      <c r="I374" s="22" t="s">
        <v>45</v>
      </c>
      <c r="J374" s="22" t="s">
        <v>124</v>
      </c>
      <c r="K374" s="22" t="s">
        <v>47</v>
      </c>
      <c r="L374" s="22">
        <v>2</v>
      </c>
      <c r="M374" s="22">
        <v>29800</v>
      </c>
      <c r="N374" s="22">
        <v>0</v>
      </c>
      <c r="O374" s="22">
        <v>59600</v>
      </c>
      <c r="P374" s="22">
        <v>46025.65</v>
      </c>
      <c r="Q374" s="22">
        <v>13574.35</v>
      </c>
      <c r="R374" s="22" t="s">
        <v>58</v>
      </c>
    </row>
    <row r="375" hidden="1" spans="1:18">
      <c r="A375" s="22" t="s">
        <v>509</v>
      </c>
      <c r="B375" s="23">
        <v>43292</v>
      </c>
      <c r="C375" s="24">
        <f t="shared" si="5"/>
        <v>7</v>
      </c>
      <c r="D375" s="22" t="s">
        <v>79</v>
      </c>
      <c r="E375" s="22" t="s">
        <v>30</v>
      </c>
      <c r="F375" s="22" t="s">
        <v>31</v>
      </c>
      <c r="G375" s="22" t="s">
        <v>43</v>
      </c>
      <c r="H375" s="22" t="s">
        <v>91</v>
      </c>
      <c r="I375" s="22" t="s">
        <v>51</v>
      </c>
      <c r="J375" s="22" t="s">
        <v>88</v>
      </c>
      <c r="K375" s="22" t="s">
        <v>47</v>
      </c>
      <c r="L375" s="22">
        <v>5</v>
      </c>
      <c r="M375" s="22">
        <v>59700</v>
      </c>
      <c r="N375" s="22">
        <v>0</v>
      </c>
      <c r="O375" s="22">
        <v>298500</v>
      </c>
      <c r="P375" s="22">
        <v>243902.71</v>
      </c>
      <c r="Q375" s="22">
        <v>54597.29</v>
      </c>
      <c r="R375" s="22" t="s">
        <v>35</v>
      </c>
    </row>
    <row r="376" hidden="1" spans="1:18">
      <c r="A376" s="22" t="s">
        <v>510</v>
      </c>
      <c r="B376" s="23">
        <v>43992</v>
      </c>
      <c r="C376" s="24">
        <f t="shared" si="5"/>
        <v>6</v>
      </c>
      <c r="D376" s="22" t="s">
        <v>75</v>
      </c>
      <c r="E376" s="22" t="s">
        <v>30</v>
      </c>
      <c r="F376" s="22" t="s">
        <v>60</v>
      </c>
      <c r="G376" s="22" t="s">
        <v>86</v>
      </c>
      <c r="H376" s="22" t="s">
        <v>104</v>
      </c>
      <c r="I376" s="22" t="s">
        <v>45</v>
      </c>
      <c r="J376" s="22" t="s">
        <v>124</v>
      </c>
      <c r="K376" s="22" t="s">
        <v>47</v>
      </c>
      <c r="L376" s="22">
        <v>6</v>
      </c>
      <c r="M376" s="22">
        <v>77600</v>
      </c>
      <c r="N376" s="22">
        <v>0</v>
      </c>
      <c r="O376" s="22">
        <v>465600</v>
      </c>
      <c r="P376" s="22">
        <v>302971.39</v>
      </c>
      <c r="Q376" s="22">
        <v>162628.61</v>
      </c>
      <c r="R376" s="22" t="s">
        <v>48</v>
      </c>
    </row>
    <row r="377" hidden="1" spans="1:18">
      <c r="A377" s="22" t="s">
        <v>511</v>
      </c>
      <c r="B377" s="23">
        <v>43142</v>
      </c>
      <c r="C377" s="24">
        <f t="shared" si="5"/>
        <v>2</v>
      </c>
      <c r="D377" s="22" t="s">
        <v>37</v>
      </c>
      <c r="E377" s="22" t="s">
        <v>30</v>
      </c>
      <c r="F377" s="22" t="s">
        <v>96</v>
      </c>
      <c r="G377" s="22" t="s">
        <v>113</v>
      </c>
      <c r="H377" s="22" t="s">
        <v>114</v>
      </c>
      <c r="I377" s="22" t="s">
        <v>51</v>
      </c>
      <c r="J377" s="22" t="s">
        <v>52</v>
      </c>
      <c r="K377" s="22" t="s">
        <v>26</v>
      </c>
      <c r="L377" s="22">
        <v>6</v>
      </c>
      <c r="M377" s="22">
        <v>26700</v>
      </c>
      <c r="N377" s="22">
        <v>0</v>
      </c>
      <c r="O377" s="22">
        <v>160200</v>
      </c>
      <c r="P377" s="22">
        <v>114153.31</v>
      </c>
      <c r="Q377" s="22">
        <v>46046.69</v>
      </c>
      <c r="R377" s="22" t="s">
        <v>27</v>
      </c>
    </row>
    <row r="378" spans="1:18">
      <c r="A378" s="22" t="s">
        <v>512</v>
      </c>
      <c r="B378" s="23">
        <v>44583</v>
      </c>
      <c r="C378" s="24">
        <f t="shared" si="5"/>
        <v>1</v>
      </c>
      <c r="D378" s="22" t="s">
        <v>69</v>
      </c>
      <c r="E378" s="22" t="s">
        <v>38</v>
      </c>
      <c r="F378" s="22" t="s">
        <v>21</v>
      </c>
      <c r="G378" s="22" t="s">
        <v>22</v>
      </c>
      <c r="H378" s="22" t="s">
        <v>215</v>
      </c>
      <c r="I378" s="22" t="s">
        <v>45</v>
      </c>
      <c r="J378" s="22" t="s">
        <v>46</v>
      </c>
      <c r="K378" s="22" t="s">
        <v>26</v>
      </c>
      <c r="L378" s="22">
        <v>2</v>
      </c>
      <c r="M378" s="22">
        <v>34900</v>
      </c>
      <c r="N378" s="22">
        <v>0.2</v>
      </c>
      <c r="O378" s="22">
        <v>55840</v>
      </c>
      <c r="P378" s="22">
        <v>44999.76</v>
      </c>
      <c r="Q378" s="22">
        <v>10840.24</v>
      </c>
      <c r="R378" s="22" t="s">
        <v>48</v>
      </c>
    </row>
    <row r="379" hidden="1" spans="1:18">
      <c r="A379" s="22" t="s">
        <v>513</v>
      </c>
      <c r="B379" s="23">
        <v>45720</v>
      </c>
      <c r="C379" s="24">
        <f t="shared" si="5"/>
        <v>3</v>
      </c>
      <c r="D379" s="22" t="s">
        <v>103</v>
      </c>
      <c r="E379" s="22" t="s">
        <v>213</v>
      </c>
      <c r="F379" s="22" t="s">
        <v>55</v>
      </c>
      <c r="G379" s="22" t="s">
        <v>109</v>
      </c>
      <c r="H379" s="22" t="s">
        <v>185</v>
      </c>
      <c r="I379" s="22" t="s">
        <v>24</v>
      </c>
      <c r="J379" s="22" t="s">
        <v>88</v>
      </c>
      <c r="K379" s="22" t="s">
        <v>26</v>
      </c>
      <c r="L379" s="22">
        <v>3</v>
      </c>
      <c r="M379" s="22">
        <v>10500</v>
      </c>
      <c r="N379" s="22">
        <v>0.1</v>
      </c>
      <c r="O379" s="22">
        <v>28350</v>
      </c>
      <c r="P379" s="22">
        <v>20091.81</v>
      </c>
      <c r="Q379" s="22">
        <v>8258.19</v>
      </c>
      <c r="R379" s="22" t="s">
        <v>48</v>
      </c>
    </row>
    <row r="380" spans="1:18">
      <c r="A380" s="22" t="s">
        <v>514</v>
      </c>
      <c r="B380" s="23">
        <v>46081</v>
      </c>
      <c r="C380" s="24">
        <f t="shared" si="5"/>
        <v>2</v>
      </c>
      <c r="D380" s="22" t="s">
        <v>103</v>
      </c>
      <c r="E380" s="22" t="s">
        <v>38</v>
      </c>
      <c r="F380" s="22" t="s">
        <v>55</v>
      </c>
      <c r="G380" s="22" t="s">
        <v>56</v>
      </c>
      <c r="H380" s="22" t="s">
        <v>57</v>
      </c>
      <c r="I380" s="22" t="s">
        <v>51</v>
      </c>
      <c r="J380" s="22" t="s">
        <v>99</v>
      </c>
      <c r="K380" s="22" t="s">
        <v>26</v>
      </c>
      <c r="L380" s="22">
        <v>10</v>
      </c>
      <c r="M380" s="22">
        <v>47300</v>
      </c>
      <c r="N380" s="22">
        <v>0</v>
      </c>
      <c r="O380" s="22">
        <v>473000</v>
      </c>
      <c r="P380" s="22">
        <v>315836.47</v>
      </c>
      <c r="Q380" s="22">
        <v>157163.53</v>
      </c>
      <c r="R380" s="22" t="s">
        <v>77</v>
      </c>
    </row>
    <row r="381" spans="1:18">
      <c r="A381" s="22" t="s">
        <v>515</v>
      </c>
      <c r="B381" s="23">
        <v>43659</v>
      </c>
      <c r="C381" s="24">
        <f t="shared" si="5"/>
        <v>7</v>
      </c>
      <c r="D381" s="22" t="s">
        <v>79</v>
      </c>
      <c r="E381" s="22" t="s">
        <v>38</v>
      </c>
      <c r="F381" s="22" t="s">
        <v>31</v>
      </c>
      <c r="G381" s="22" t="s">
        <v>32</v>
      </c>
      <c r="H381" s="22" t="s">
        <v>33</v>
      </c>
      <c r="I381" s="22" t="s">
        <v>45</v>
      </c>
      <c r="J381" s="22" t="s">
        <v>40</v>
      </c>
      <c r="K381" s="22" t="s">
        <v>26</v>
      </c>
      <c r="L381" s="22">
        <v>2</v>
      </c>
      <c r="M381" s="22">
        <v>48400</v>
      </c>
      <c r="N381" s="22">
        <v>0</v>
      </c>
      <c r="O381" s="22">
        <v>96800</v>
      </c>
      <c r="P381" s="22">
        <v>70715.69</v>
      </c>
      <c r="Q381" s="22">
        <v>26084.31</v>
      </c>
      <c r="R381" s="22" t="s">
        <v>27</v>
      </c>
    </row>
    <row r="382" spans="1:18">
      <c r="A382" s="22" t="s">
        <v>516</v>
      </c>
      <c r="B382" s="23">
        <v>43124</v>
      </c>
      <c r="C382" s="24">
        <f t="shared" si="5"/>
        <v>1</v>
      </c>
      <c r="D382" s="22" t="s">
        <v>121</v>
      </c>
      <c r="E382" s="22" t="s">
        <v>38</v>
      </c>
      <c r="F382" s="22" t="s">
        <v>55</v>
      </c>
      <c r="G382" s="22" t="s">
        <v>109</v>
      </c>
      <c r="H382" s="22" t="s">
        <v>110</v>
      </c>
      <c r="I382" s="22" t="s">
        <v>51</v>
      </c>
      <c r="J382" s="22" t="s">
        <v>170</v>
      </c>
      <c r="K382" s="22" t="s">
        <v>53</v>
      </c>
      <c r="L382" s="22">
        <v>10</v>
      </c>
      <c r="M382" s="22">
        <v>67700</v>
      </c>
      <c r="N382" s="22">
        <v>0</v>
      </c>
      <c r="O382" s="22">
        <v>677000</v>
      </c>
      <c r="P382" s="22">
        <v>433349.26</v>
      </c>
      <c r="Q382" s="22">
        <v>243650.74</v>
      </c>
      <c r="R382" s="22" t="s">
        <v>27</v>
      </c>
    </row>
    <row r="383" spans="1:18">
      <c r="A383" s="22" t="s">
        <v>517</v>
      </c>
      <c r="B383" s="23">
        <v>43743</v>
      </c>
      <c r="C383" s="24">
        <f t="shared" si="5"/>
        <v>10</v>
      </c>
      <c r="D383" s="22" t="s">
        <v>37</v>
      </c>
      <c r="E383" s="22" t="s">
        <v>38</v>
      </c>
      <c r="F383" s="22" t="s">
        <v>31</v>
      </c>
      <c r="G383" s="22" t="s">
        <v>66</v>
      </c>
      <c r="H383" s="22" t="s">
        <v>67</v>
      </c>
      <c r="I383" s="22" t="s">
        <v>51</v>
      </c>
      <c r="J383" s="22" t="s">
        <v>46</v>
      </c>
      <c r="K383" s="22" t="s">
        <v>47</v>
      </c>
      <c r="L383" s="22">
        <v>7</v>
      </c>
      <c r="M383" s="22">
        <v>30700</v>
      </c>
      <c r="N383" s="22">
        <v>0.1</v>
      </c>
      <c r="O383" s="22">
        <v>193410</v>
      </c>
      <c r="P383" s="22">
        <v>155854.9</v>
      </c>
      <c r="Q383" s="22">
        <v>37555.1</v>
      </c>
      <c r="R383" s="22" t="s">
        <v>35</v>
      </c>
    </row>
    <row r="384" spans="1:18">
      <c r="A384" s="22" t="s">
        <v>518</v>
      </c>
      <c r="B384" s="23">
        <v>44002</v>
      </c>
      <c r="C384" s="24">
        <f t="shared" si="5"/>
        <v>6</v>
      </c>
      <c r="D384" s="22" t="s">
        <v>79</v>
      </c>
      <c r="E384" s="22" t="s">
        <v>38</v>
      </c>
      <c r="F384" s="22" t="s">
        <v>31</v>
      </c>
      <c r="G384" s="22" t="s">
        <v>32</v>
      </c>
      <c r="H384" s="22" t="s">
        <v>33</v>
      </c>
      <c r="I384" s="22" t="s">
        <v>45</v>
      </c>
      <c r="J384" s="22" t="s">
        <v>63</v>
      </c>
      <c r="K384" s="22" t="s">
        <v>53</v>
      </c>
      <c r="L384" s="22">
        <v>5</v>
      </c>
      <c r="M384" s="22">
        <v>69100</v>
      </c>
      <c r="N384" s="22">
        <v>0</v>
      </c>
      <c r="O384" s="22">
        <v>345500</v>
      </c>
      <c r="P384" s="22">
        <v>281429.83</v>
      </c>
      <c r="Q384" s="22">
        <v>64070.17</v>
      </c>
      <c r="R384" s="22" t="s">
        <v>48</v>
      </c>
    </row>
    <row r="385" spans="1:18">
      <c r="A385" s="22" t="s">
        <v>519</v>
      </c>
      <c r="B385" s="23">
        <v>43227</v>
      </c>
      <c r="C385" s="24">
        <f t="shared" si="5"/>
        <v>5</v>
      </c>
      <c r="D385" s="22" t="s">
        <v>42</v>
      </c>
      <c r="E385" s="22" t="s">
        <v>38</v>
      </c>
      <c r="F385" s="22" t="s">
        <v>55</v>
      </c>
      <c r="G385" s="22" t="s">
        <v>109</v>
      </c>
      <c r="H385" s="22" t="s">
        <v>185</v>
      </c>
      <c r="I385" s="22" t="s">
        <v>45</v>
      </c>
      <c r="J385" s="22" t="s">
        <v>124</v>
      </c>
      <c r="K385" s="22" t="s">
        <v>47</v>
      </c>
      <c r="L385" s="22">
        <v>9</v>
      </c>
      <c r="M385" s="22">
        <v>45000</v>
      </c>
      <c r="N385" s="22">
        <v>0.15</v>
      </c>
      <c r="O385" s="22">
        <v>344250</v>
      </c>
      <c r="P385" s="22">
        <v>275570.03</v>
      </c>
      <c r="Q385" s="22">
        <v>68679.97</v>
      </c>
      <c r="R385" s="22" t="s">
        <v>77</v>
      </c>
    </row>
    <row r="386" hidden="1" spans="1:18">
      <c r="A386" s="22" t="s">
        <v>520</v>
      </c>
      <c r="B386" s="23">
        <v>44014</v>
      </c>
      <c r="C386" s="24">
        <f t="shared" ref="C386:C449" si="6">MONTH(B386)</f>
        <v>7</v>
      </c>
      <c r="D386" s="22" t="s">
        <v>29</v>
      </c>
      <c r="E386" s="22" t="s">
        <v>30</v>
      </c>
      <c r="F386" s="22" t="s">
        <v>21</v>
      </c>
      <c r="G386" s="22" t="s">
        <v>122</v>
      </c>
      <c r="H386" s="22" t="s">
        <v>138</v>
      </c>
      <c r="I386" s="22" t="s">
        <v>24</v>
      </c>
      <c r="J386" s="22" t="s">
        <v>170</v>
      </c>
      <c r="K386" s="22" t="s">
        <v>47</v>
      </c>
      <c r="L386" s="22">
        <v>10</v>
      </c>
      <c r="M386" s="22">
        <v>1300</v>
      </c>
      <c r="N386" s="22">
        <v>0.1</v>
      </c>
      <c r="O386" s="22">
        <v>11700</v>
      </c>
      <c r="P386" s="22">
        <v>8951.57</v>
      </c>
      <c r="Q386" s="22">
        <v>2748.43</v>
      </c>
      <c r="R386" s="22" t="s">
        <v>48</v>
      </c>
    </row>
    <row r="387" hidden="1" spans="1:18">
      <c r="A387" s="22" t="s">
        <v>521</v>
      </c>
      <c r="B387" s="23">
        <v>43773</v>
      </c>
      <c r="C387" s="24">
        <f t="shared" si="6"/>
        <v>11</v>
      </c>
      <c r="D387" s="22" t="s">
        <v>79</v>
      </c>
      <c r="E387" s="22" t="s">
        <v>213</v>
      </c>
      <c r="F387" s="22" t="s">
        <v>31</v>
      </c>
      <c r="G387" s="22" t="s">
        <v>66</v>
      </c>
      <c r="H387" s="22" t="s">
        <v>316</v>
      </c>
      <c r="I387" s="22" t="s">
        <v>51</v>
      </c>
      <c r="J387" s="22" t="s">
        <v>116</v>
      </c>
      <c r="K387" s="22" t="s">
        <v>26</v>
      </c>
      <c r="L387" s="22">
        <v>5</v>
      </c>
      <c r="M387" s="22">
        <v>33400</v>
      </c>
      <c r="N387" s="22">
        <v>0.1</v>
      </c>
      <c r="O387" s="22">
        <v>150300</v>
      </c>
      <c r="P387" s="22">
        <v>106980.92</v>
      </c>
      <c r="Q387" s="22">
        <v>43319.08</v>
      </c>
      <c r="R387" s="22" t="s">
        <v>58</v>
      </c>
    </row>
    <row r="388" hidden="1" spans="1:18">
      <c r="A388" s="22" t="s">
        <v>522</v>
      </c>
      <c r="B388" s="23">
        <v>45731</v>
      </c>
      <c r="C388" s="24">
        <f t="shared" si="6"/>
        <v>3</v>
      </c>
      <c r="D388" s="22" t="s">
        <v>103</v>
      </c>
      <c r="E388" s="22" t="s">
        <v>213</v>
      </c>
      <c r="F388" s="22" t="s">
        <v>60</v>
      </c>
      <c r="G388" s="22" t="s">
        <v>141</v>
      </c>
      <c r="H388" s="22" t="s">
        <v>183</v>
      </c>
      <c r="I388" s="22" t="s">
        <v>51</v>
      </c>
      <c r="J388" s="22" t="s">
        <v>52</v>
      </c>
      <c r="K388" s="22" t="s">
        <v>26</v>
      </c>
      <c r="L388" s="22">
        <v>7</v>
      </c>
      <c r="M388" s="22">
        <v>20600</v>
      </c>
      <c r="N388" s="22">
        <v>0</v>
      </c>
      <c r="O388" s="22">
        <v>144200</v>
      </c>
      <c r="P388" s="22">
        <v>94467.94</v>
      </c>
      <c r="Q388" s="22">
        <v>49732.06</v>
      </c>
      <c r="R388" s="22" t="s">
        <v>48</v>
      </c>
    </row>
    <row r="389" hidden="1" spans="1:18">
      <c r="A389" s="22" t="s">
        <v>523</v>
      </c>
      <c r="B389" s="23">
        <v>45668</v>
      </c>
      <c r="C389" s="24">
        <f t="shared" si="6"/>
        <v>1</v>
      </c>
      <c r="D389" s="22" t="s">
        <v>19</v>
      </c>
      <c r="E389" s="22" t="s">
        <v>20</v>
      </c>
      <c r="F389" s="22" t="s">
        <v>96</v>
      </c>
      <c r="G389" s="22" t="s">
        <v>97</v>
      </c>
      <c r="H389" s="22" t="s">
        <v>98</v>
      </c>
      <c r="I389" s="22" t="s">
        <v>51</v>
      </c>
      <c r="J389" s="22" t="s">
        <v>170</v>
      </c>
      <c r="K389" s="22" t="s">
        <v>53</v>
      </c>
      <c r="L389" s="22">
        <v>1</v>
      </c>
      <c r="M389" s="22">
        <v>11100</v>
      </c>
      <c r="N389" s="22">
        <v>0.15</v>
      </c>
      <c r="O389" s="22">
        <v>9435</v>
      </c>
      <c r="P389" s="22">
        <v>7772.76</v>
      </c>
      <c r="Q389" s="22">
        <v>1662.24</v>
      </c>
      <c r="R389" s="22" t="s">
        <v>48</v>
      </c>
    </row>
    <row r="390" hidden="1" spans="1:18">
      <c r="A390" s="22" t="s">
        <v>524</v>
      </c>
      <c r="B390" s="23">
        <v>43326</v>
      </c>
      <c r="C390" s="24">
        <f t="shared" si="6"/>
        <v>8</v>
      </c>
      <c r="D390" s="22" t="s">
        <v>37</v>
      </c>
      <c r="E390" s="22" t="s">
        <v>213</v>
      </c>
      <c r="F390" s="22" t="s">
        <v>21</v>
      </c>
      <c r="G390" s="22" t="s">
        <v>167</v>
      </c>
      <c r="H390" s="22" t="s">
        <v>254</v>
      </c>
      <c r="I390" s="22" t="s">
        <v>45</v>
      </c>
      <c r="J390" s="22" t="s">
        <v>52</v>
      </c>
      <c r="K390" s="22" t="s">
        <v>47</v>
      </c>
      <c r="L390" s="22">
        <v>5</v>
      </c>
      <c r="M390" s="22">
        <v>28000</v>
      </c>
      <c r="N390" s="22">
        <v>0.2</v>
      </c>
      <c r="O390" s="22">
        <v>112000</v>
      </c>
      <c r="P390" s="22">
        <v>88699.01</v>
      </c>
      <c r="Q390" s="22">
        <v>23300.99</v>
      </c>
      <c r="R390" s="22" t="s">
        <v>77</v>
      </c>
    </row>
    <row r="391" hidden="1" spans="1:18">
      <c r="A391" s="22" t="s">
        <v>525</v>
      </c>
      <c r="B391" s="23">
        <v>43811</v>
      </c>
      <c r="C391" s="24">
        <f t="shared" si="6"/>
        <v>12</v>
      </c>
      <c r="D391" s="22" t="s">
        <v>85</v>
      </c>
      <c r="E391" s="22" t="s">
        <v>30</v>
      </c>
      <c r="F391" s="22" t="s">
        <v>21</v>
      </c>
      <c r="G391" s="22" t="s">
        <v>70</v>
      </c>
      <c r="H391" s="22" t="s">
        <v>163</v>
      </c>
      <c r="I391" s="22" t="s">
        <v>24</v>
      </c>
      <c r="J391" s="22" t="s">
        <v>34</v>
      </c>
      <c r="K391" s="22" t="s">
        <v>47</v>
      </c>
      <c r="L391" s="22">
        <v>8</v>
      </c>
      <c r="M391" s="22">
        <v>4600</v>
      </c>
      <c r="N391" s="22">
        <v>0.05</v>
      </c>
      <c r="O391" s="22">
        <v>34960</v>
      </c>
      <c r="P391" s="22">
        <v>25904.35</v>
      </c>
      <c r="Q391" s="22">
        <v>9055.65</v>
      </c>
      <c r="R391" s="22" t="s">
        <v>27</v>
      </c>
    </row>
    <row r="392" hidden="1" spans="1:18">
      <c r="A392" s="22" t="s">
        <v>526</v>
      </c>
      <c r="B392" s="23">
        <v>43203</v>
      </c>
      <c r="C392" s="24">
        <f t="shared" si="6"/>
        <v>4</v>
      </c>
      <c r="D392" s="22" t="s">
        <v>19</v>
      </c>
      <c r="E392" s="22" t="s">
        <v>20</v>
      </c>
      <c r="F392" s="22" t="s">
        <v>96</v>
      </c>
      <c r="G392" s="22" t="s">
        <v>113</v>
      </c>
      <c r="H392" s="22" t="s">
        <v>119</v>
      </c>
      <c r="I392" s="22" t="s">
        <v>24</v>
      </c>
      <c r="J392" s="22" t="s">
        <v>99</v>
      </c>
      <c r="K392" s="22" t="s">
        <v>47</v>
      </c>
      <c r="L392" s="22">
        <v>5</v>
      </c>
      <c r="M392" s="22">
        <v>7800</v>
      </c>
      <c r="N392" s="22">
        <v>0</v>
      </c>
      <c r="O392" s="22">
        <v>39000</v>
      </c>
      <c r="P392" s="22">
        <v>30636.18</v>
      </c>
      <c r="Q392" s="22">
        <v>8363.82</v>
      </c>
      <c r="R392" s="22" t="s">
        <v>27</v>
      </c>
    </row>
    <row r="393" hidden="1" spans="1:18">
      <c r="A393" s="22" t="s">
        <v>527</v>
      </c>
      <c r="B393" s="23">
        <v>43182</v>
      </c>
      <c r="C393" s="24">
        <f t="shared" si="6"/>
        <v>3</v>
      </c>
      <c r="D393" s="22" t="s">
        <v>90</v>
      </c>
      <c r="E393" s="22" t="s">
        <v>213</v>
      </c>
      <c r="F393" s="22" t="s">
        <v>55</v>
      </c>
      <c r="G393" s="22" t="s">
        <v>109</v>
      </c>
      <c r="H393" s="22" t="s">
        <v>178</v>
      </c>
      <c r="I393" s="22" t="s">
        <v>45</v>
      </c>
      <c r="J393" s="22" t="s">
        <v>25</v>
      </c>
      <c r="K393" s="22" t="s">
        <v>47</v>
      </c>
      <c r="L393" s="22">
        <v>4</v>
      </c>
      <c r="M393" s="22">
        <v>17300</v>
      </c>
      <c r="N393" s="22">
        <v>0.1</v>
      </c>
      <c r="O393" s="22">
        <v>62280</v>
      </c>
      <c r="P393" s="22">
        <v>49649.31</v>
      </c>
      <c r="Q393" s="22">
        <v>12630.69</v>
      </c>
      <c r="R393" s="22" t="s">
        <v>77</v>
      </c>
    </row>
    <row r="394" hidden="1" spans="1:18">
      <c r="A394" s="22" t="s">
        <v>528</v>
      </c>
      <c r="B394" s="23">
        <v>43170</v>
      </c>
      <c r="C394" s="24">
        <f t="shared" si="6"/>
        <v>3</v>
      </c>
      <c r="D394" s="22" t="s">
        <v>90</v>
      </c>
      <c r="E394" s="22" t="s">
        <v>213</v>
      </c>
      <c r="F394" s="22" t="s">
        <v>55</v>
      </c>
      <c r="G394" s="22" t="s">
        <v>80</v>
      </c>
      <c r="H394" s="22" t="s">
        <v>81</v>
      </c>
      <c r="I394" s="22" t="s">
        <v>45</v>
      </c>
      <c r="J394" s="22" t="s">
        <v>170</v>
      </c>
      <c r="K394" s="22" t="s">
        <v>47</v>
      </c>
      <c r="L394" s="22">
        <v>2</v>
      </c>
      <c r="M394" s="22">
        <v>13900</v>
      </c>
      <c r="N394" s="22">
        <v>0</v>
      </c>
      <c r="O394" s="22">
        <v>27800</v>
      </c>
      <c r="P394" s="22">
        <v>19632.93</v>
      </c>
      <c r="Q394" s="22">
        <v>8167.07</v>
      </c>
      <c r="R394" s="22" t="s">
        <v>48</v>
      </c>
    </row>
    <row r="395" hidden="1" spans="1:18">
      <c r="A395" s="22" t="s">
        <v>529</v>
      </c>
      <c r="B395" s="23">
        <v>43282</v>
      </c>
      <c r="C395" s="24">
        <f t="shared" si="6"/>
        <v>7</v>
      </c>
      <c r="D395" s="22" t="s">
        <v>42</v>
      </c>
      <c r="E395" s="22" t="s">
        <v>213</v>
      </c>
      <c r="F395" s="22" t="s">
        <v>55</v>
      </c>
      <c r="G395" s="22" t="s">
        <v>80</v>
      </c>
      <c r="H395" s="22" t="s">
        <v>134</v>
      </c>
      <c r="I395" s="22" t="s">
        <v>45</v>
      </c>
      <c r="J395" s="22" t="s">
        <v>40</v>
      </c>
      <c r="K395" s="22" t="s">
        <v>47</v>
      </c>
      <c r="L395" s="22">
        <v>4</v>
      </c>
      <c r="M395" s="22">
        <v>36600</v>
      </c>
      <c r="N395" s="22">
        <v>0</v>
      </c>
      <c r="O395" s="22">
        <v>146400</v>
      </c>
      <c r="P395" s="22">
        <v>111642.17</v>
      </c>
      <c r="Q395" s="22">
        <v>34757.83</v>
      </c>
      <c r="R395" s="22" t="s">
        <v>77</v>
      </c>
    </row>
    <row r="396" hidden="1" spans="1:18">
      <c r="A396" s="22" t="s">
        <v>530</v>
      </c>
      <c r="B396" s="23">
        <v>46083</v>
      </c>
      <c r="C396" s="24">
        <f t="shared" si="6"/>
        <v>3</v>
      </c>
      <c r="D396" s="22" t="s">
        <v>103</v>
      </c>
      <c r="E396" s="22" t="s">
        <v>213</v>
      </c>
      <c r="F396" s="22" t="s">
        <v>55</v>
      </c>
      <c r="G396" s="22" t="s">
        <v>109</v>
      </c>
      <c r="H396" s="22" t="s">
        <v>178</v>
      </c>
      <c r="I396" s="22" t="s">
        <v>24</v>
      </c>
      <c r="J396" s="22" t="s">
        <v>52</v>
      </c>
      <c r="K396" s="22" t="s">
        <v>47</v>
      </c>
      <c r="L396" s="22">
        <v>5</v>
      </c>
      <c r="M396" s="22">
        <v>11100</v>
      </c>
      <c r="N396" s="22">
        <v>0</v>
      </c>
      <c r="O396" s="22">
        <v>55500</v>
      </c>
      <c r="P396" s="22">
        <v>46494.93</v>
      </c>
      <c r="Q396" s="22">
        <v>9005.07</v>
      </c>
      <c r="R396" s="22" t="s">
        <v>35</v>
      </c>
    </row>
    <row r="397" hidden="1" spans="1:18">
      <c r="A397" s="22" t="s">
        <v>531</v>
      </c>
      <c r="B397" s="23">
        <v>45752</v>
      </c>
      <c r="C397" s="24">
        <f t="shared" si="6"/>
        <v>4</v>
      </c>
      <c r="D397" s="22" t="s">
        <v>69</v>
      </c>
      <c r="E397" s="22" t="s">
        <v>213</v>
      </c>
      <c r="F397" s="22" t="s">
        <v>21</v>
      </c>
      <c r="G397" s="22" t="s">
        <v>167</v>
      </c>
      <c r="H397" s="22" t="s">
        <v>206</v>
      </c>
      <c r="I397" s="22" t="s">
        <v>24</v>
      </c>
      <c r="J397" s="22" t="s">
        <v>170</v>
      </c>
      <c r="K397" s="22" t="s">
        <v>26</v>
      </c>
      <c r="L397" s="22">
        <v>3</v>
      </c>
      <c r="M397" s="22">
        <v>79900</v>
      </c>
      <c r="N397" s="22">
        <v>0.15</v>
      </c>
      <c r="O397" s="22">
        <v>203745</v>
      </c>
      <c r="P397" s="22">
        <v>139295.71</v>
      </c>
      <c r="Q397" s="22">
        <v>64449.29</v>
      </c>
      <c r="R397" s="22" t="s">
        <v>77</v>
      </c>
    </row>
    <row r="398" hidden="1" spans="1:18">
      <c r="A398" s="22" t="s">
        <v>532</v>
      </c>
      <c r="B398" s="23">
        <v>43982</v>
      </c>
      <c r="C398" s="24">
        <f t="shared" si="6"/>
        <v>5</v>
      </c>
      <c r="D398" s="22" t="s">
        <v>75</v>
      </c>
      <c r="E398" s="22" t="s">
        <v>213</v>
      </c>
      <c r="F398" s="22" t="s">
        <v>55</v>
      </c>
      <c r="G398" s="22" t="s">
        <v>195</v>
      </c>
      <c r="H398" s="22" t="s">
        <v>196</v>
      </c>
      <c r="I398" s="22" t="s">
        <v>45</v>
      </c>
      <c r="J398" s="22" t="s">
        <v>73</v>
      </c>
      <c r="K398" s="22" t="s">
        <v>26</v>
      </c>
      <c r="L398" s="22">
        <v>7</v>
      </c>
      <c r="M398" s="22">
        <v>33300</v>
      </c>
      <c r="N398" s="22">
        <v>0.1</v>
      </c>
      <c r="O398" s="22">
        <v>209790</v>
      </c>
      <c r="P398" s="22">
        <v>168066.99</v>
      </c>
      <c r="Q398" s="22">
        <v>41723.01</v>
      </c>
      <c r="R398" s="22" t="s">
        <v>35</v>
      </c>
    </row>
    <row r="399" hidden="1" spans="1:18">
      <c r="A399" s="22" t="s">
        <v>533</v>
      </c>
      <c r="B399" s="23">
        <v>43245</v>
      </c>
      <c r="C399" s="24">
        <f t="shared" si="6"/>
        <v>5</v>
      </c>
      <c r="D399" s="22" t="s">
        <v>90</v>
      </c>
      <c r="E399" s="22" t="s">
        <v>213</v>
      </c>
      <c r="F399" s="22" t="s">
        <v>60</v>
      </c>
      <c r="G399" s="22" t="s">
        <v>61</v>
      </c>
      <c r="H399" s="22" t="s">
        <v>62</v>
      </c>
      <c r="I399" s="22" t="s">
        <v>51</v>
      </c>
      <c r="J399" s="22" t="s">
        <v>116</v>
      </c>
      <c r="K399" s="22" t="s">
        <v>26</v>
      </c>
      <c r="L399" s="22">
        <v>1</v>
      </c>
      <c r="M399" s="22">
        <v>33500</v>
      </c>
      <c r="N399" s="22">
        <v>0.15</v>
      </c>
      <c r="O399" s="22">
        <v>28475</v>
      </c>
      <c r="P399" s="22">
        <v>22612.62</v>
      </c>
      <c r="Q399" s="22">
        <v>5862.38</v>
      </c>
      <c r="R399" s="22" t="s">
        <v>35</v>
      </c>
    </row>
    <row r="400" hidden="1" spans="1:18">
      <c r="A400" s="22" t="s">
        <v>534</v>
      </c>
      <c r="B400" s="23">
        <v>43218</v>
      </c>
      <c r="C400" s="24">
        <f t="shared" si="6"/>
        <v>4</v>
      </c>
      <c r="D400" s="22" t="s">
        <v>121</v>
      </c>
      <c r="E400" s="22" t="s">
        <v>213</v>
      </c>
      <c r="F400" s="22" t="s">
        <v>21</v>
      </c>
      <c r="G400" s="22" t="s">
        <v>122</v>
      </c>
      <c r="H400" s="22" t="s">
        <v>138</v>
      </c>
      <c r="I400" s="22" t="s">
        <v>51</v>
      </c>
      <c r="J400" s="22" t="s">
        <v>46</v>
      </c>
      <c r="K400" s="22" t="s">
        <v>53</v>
      </c>
      <c r="L400" s="22">
        <v>3</v>
      </c>
      <c r="M400" s="22">
        <v>82100</v>
      </c>
      <c r="N400" s="22">
        <v>0.1</v>
      </c>
      <c r="O400" s="22">
        <v>221670</v>
      </c>
      <c r="P400" s="22">
        <v>166849.46</v>
      </c>
      <c r="Q400" s="22">
        <v>54820.54</v>
      </c>
      <c r="R400" s="22" t="s">
        <v>77</v>
      </c>
    </row>
    <row r="401" hidden="1" spans="1:18">
      <c r="A401" s="22" t="s">
        <v>535</v>
      </c>
      <c r="B401" s="23">
        <v>44070</v>
      </c>
      <c r="C401" s="24">
        <f t="shared" si="6"/>
        <v>8</v>
      </c>
      <c r="D401" s="22" t="s">
        <v>79</v>
      </c>
      <c r="E401" s="22" t="s">
        <v>213</v>
      </c>
      <c r="F401" s="22" t="s">
        <v>96</v>
      </c>
      <c r="G401" s="22" t="s">
        <v>113</v>
      </c>
      <c r="H401" s="22" t="s">
        <v>119</v>
      </c>
      <c r="I401" s="22" t="s">
        <v>45</v>
      </c>
      <c r="J401" s="22" t="s">
        <v>73</v>
      </c>
      <c r="K401" s="22" t="s">
        <v>53</v>
      </c>
      <c r="L401" s="22">
        <v>8</v>
      </c>
      <c r="M401" s="22">
        <v>34400</v>
      </c>
      <c r="N401" s="22">
        <v>0.1</v>
      </c>
      <c r="O401" s="22">
        <v>247680</v>
      </c>
      <c r="P401" s="22">
        <v>189101.64</v>
      </c>
      <c r="Q401" s="22">
        <v>58578.36</v>
      </c>
      <c r="R401" s="22" t="s">
        <v>27</v>
      </c>
    </row>
    <row r="402" hidden="1" spans="1:18">
      <c r="A402" s="22" t="s">
        <v>536</v>
      </c>
      <c r="B402" s="23">
        <v>44591</v>
      </c>
      <c r="C402" s="24">
        <f t="shared" si="6"/>
        <v>1</v>
      </c>
      <c r="D402" s="22" t="s">
        <v>69</v>
      </c>
      <c r="E402" s="22" t="s">
        <v>213</v>
      </c>
      <c r="F402" s="22" t="s">
        <v>31</v>
      </c>
      <c r="G402" s="22" t="s">
        <v>66</v>
      </c>
      <c r="H402" s="22" t="s">
        <v>244</v>
      </c>
      <c r="I402" s="22" t="s">
        <v>24</v>
      </c>
      <c r="J402" s="22" t="s">
        <v>46</v>
      </c>
      <c r="K402" s="22" t="s">
        <v>53</v>
      </c>
      <c r="L402" s="22">
        <v>9</v>
      </c>
      <c r="M402" s="22">
        <v>74800</v>
      </c>
      <c r="N402" s="22">
        <v>0</v>
      </c>
      <c r="O402" s="22">
        <v>673200</v>
      </c>
      <c r="P402" s="22">
        <v>505378.79</v>
      </c>
      <c r="Q402" s="22">
        <v>167821.21</v>
      </c>
      <c r="R402" s="22" t="s">
        <v>58</v>
      </c>
    </row>
    <row r="403" hidden="1" spans="1:18">
      <c r="A403" s="22" t="s">
        <v>537</v>
      </c>
      <c r="B403" s="23">
        <v>45667</v>
      </c>
      <c r="C403" s="24">
        <f t="shared" si="6"/>
        <v>1</v>
      </c>
      <c r="D403" s="22" t="s">
        <v>121</v>
      </c>
      <c r="E403" s="22" t="s">
        <v>213</v>
      </c>
      <c r="F403" s="22" t="s">
        <v>31</v>
      </c>
      <c r="G403" s="22" t="s">
        <v>32</v>
      </c>
      <c r="H403" s="22" t="s">
        <v>226</v>
      </c>
      <c r="I403" s="22" t="s">
        <v>45</v>
      </c>
      <c r="J403" s="22" t="s">
        <v>170</v>
      </c>
      <c r="K403" s="22" t="s">
        <v>26</v>
      </c>
      <c r="L403" s="22">
        <v>2</v>
      </c>
      <c r="M403" s="22">
        <v>72100</v>
      </c>
      <c r="N403" s="22">
        <v>0.1</v>
      </c>
      <c r="O403" s="22">
        <v>129780</v>
      </c>
      <c r="P403" s="22">
        <v>85450.06</v>
      </c>
      <c r="Q403" s="22">
        <v>44329.94</v>
      </c>
      <c r="R403" s="22" t="s">
        <v>58</v>
      </c>
    </row>
    <row r="404" hidden="1" spans="1:18">
      <c r="A404" s="22" t="s">
        <v>538</v>
      </c>
      <c r="B404" s="23">
        <v>44645</v>
      </c>
      <c r="C404" s="24">
        <f t="shared" si="6"/>
        <v>3</v>
      </c>
      <c r="D404" s="22" t="s">
        <v>37</v>
      </c>
      <c r="E404" s="22" t="s">
        <v>213</v>
      </c>
      <c r="F404" s="22" t="s">
        <v>55</v>
      </c>
      <c r="G404" s="22" t="s">
        <v>56</v>
      </c>
      <c r="H404" s="22" t="s">
        <v>154</v>
      </c>
      <c r="I404" s="22" t="s">
        <v>51</v>
      </c>
      <c r="J404" s="22" t="s">
        <v>116</v>
      </c>
      <c r="K404" s="22" t="s">
        <v>53</v>
      </c>
      <c r="L404" s="22">
        <v>7</v>
      </c>
      <c r="M404" s="22">
        <v>22000</v>
      </c>
      <c r="N404" s="22">
        <v>0</v>
      </c>
      <c r="O404" s="22">
        <v>154000</v>
      </c>
      <c r="P404" s="22">
        <v>98525.03</v>
      </c>
      <c r="Q404" s="22">
        <v>55474.97</v>
      </c>
      <c r="R404" s="22" t="s">
        <v>35</v>
      </c>
    </row>
    <row r="405" hidden="1" spans="1:18">
      <c r="A405" s="22" t="s">
        <v>539</v>
      </c>
      <c r="B405" s="23">
        <v>45785</v>
      </c>
      <c r="C405" s="24">
        <f t="shared" si="6"/>
        <v>5</v>
      </c>
      <c r="D405" s="22" t="s">
        <v>75</v>
      </c>
      <c r="E405" s="22" t="s">
        <v>20</v>
      </c>
      <c r="F405" s="22" t="s">
        <v>55</v>
      </c>
      <c r="G405" s="22" t="s">
        <v>56</v>
      </c>
      <c r="H405" s="22" t="s">
        <v>57</v>
      </c>
      <c r="I405" s="22" t="s">
        <v>51</v>
      </c>
      <c r="J405" s="22" t="s">
        <v>124</v>
      </c>
      <c r="K405" s="22" t="s">
        <v>26</v>
      </c>
      <c r="L405" s="22">
        <v>4</v>
      </c>
      <c r="M405" s="22">
        <v>19300</v>
      </c>
      <c r="N405" s="22">
        <v>0.05</v>
      </c>
      <c r="O405" s="22">
        <v>73340</v>
      </c>
      <c r="P405" s="22">
        <v>58984.19</v>
      </c>
      <c r="Q405" s="22">
        <v>14355.81</v>
      </c>
      <c r="R405" s="22" t="s">
        <v>27</v>
      </c>
    </row>
    <row r="406" hidden="1" spans="1:18">
      <c r="A406" s="22" t="s">
        <v>540</v>
      </c>
      <c r="B406" s="23">
        <v>45780</v>
      </c>
      <c r="C406" s="24">
        <f t="shared" si="6"/>
        <v>5</v>
      </c>
      <c r="D406" s="22" t="s">
        <v>75</v>
      </c>
      <c r="E406" s="22" t="s">
        <v>213</v>
      </c>
      <c r="F406" s="22" t="s">
        <v>96</v>
      </c>
      <c r="G406" s="22" t="s">
        <v>113</v>
      </c>
      <c r="H406" s="22" t="s">
        <v>126</v>
      </c>
      <c r="I406" s="22" t="s">
        <v>24</v>
      </c>
      <c r="J406" s="22" t="s">
        <v>25</v>
      </c>
      <c r="K406" s="22" t="s">
        <v>53</v>
      </c>
      <c r="L406" s="22">
        <v>8</v>
      </c>
      <c r="M406" s="22">
        <v>60100</v>
      </c>
      <c r="N406" s="22">
        <v>0.05</v>
      </c>
      <c r="O406" s="22">
        <v>456760</v>
      </c>
      <c r="P406" s="22">
        <v>287458.88</v>
      </c>
      <c r="Q406" s="22">
        <v>169301.12</v>
      </c>
      <c r="R406" s="22" t="s">
        <v>27</v>
      </c>
    </row>
    <row r="407" hidden="1" spans="1:18">
      <c r="A407" s="22" t="s">
        <v>541</v>
      </c>
      <c r="B407" s="23">
        <v>43679</v>
      </c>
      <c r="C407" s="24">
        <f t="shared" si="6"/>
        <v>8</v>
      </c>
      <c r="D407" s="22" t="s">
        <v>79</v>
      </c>
      <c r="E407" s="22" t="s">
        <v>213</v>
      </c>
      <c r="F407" s="22" t="s">
        <v>55</v>
      </c>
      <c r="G407" s="22" t="s">
        <v>56</v>
      </c>
      <c r="H407" s="22" t="s">
        <v>154</v>
      </c>
      <c r="I407" s="22" t="s">
        <v>45</v>
      </c>
      <c r="J407" s="22" t="s">
        <v>116</v>
      </c>
      <c r="K407" s="22" t="s">
        <v>26</v>
      </c>
      <c r="L407" s="22">
        <v>6</v>
      </c>
      <c r="M407" s="22">
        <v>70100</v>
      </c>
      <c r="N407" s="22">
        <v>0.1</v>
      </c>
      <c r="O407" s="22">
        <v>378540</v>
      </c>
      <c r="P407" s="22">
        <v>243308.67</v>
      </c>
      <c r="Q407" s="22">
        <v>135231.33</v>
      </c>
      <c r="R407" s="22" t="s">
        <v>48</v>
      </c>
    </row>
    <row r="408" hidden="1" spans="1:18">
      <c r="A408" s="22" t="s">
        <v>542</v>
      </c>
      <c r="B408" s="23">
        <v>44197</v>
      </c>
      <c r="C408" s="24">
        <f t="shared" si="6"/>
        <v>1</v>
      </c>
      <c r="D408" s="22" t="s">
        <v>121</v>
      </c>
      <c r="E408" s="22" t="s">
        <v>213</v>
      </c>
      <c r="F408" s="22" t="s">
        <v>21</v>
      </c>
      <c r="G408" s="22" t="s">
        <v>122</v>
      </c>
      <c r="H408" s="22" t="s">
        <v>138</v>
      </c>
      <c r="I408" s="22" t="s">
        <v>45</v>
      </c>
      <c r="J408" s="22" t="s">
        <v>73</v>
      </c>
      <c r="K408" s="22" t="s">
        <v>47</v>
      </c>
      <c r="L408" s="22">
        <v>6</v>
      </c>
      <c r="M408" s="22">
        <v>58700</v>
      </c>
      <c r="N408" s="22">
        <v>0.15</v>
      </c>
      <c r="O408" s="22">
        <v>299370</v>
      </c>
      <c r="P408" s="22">
        <v>244516.13</v>
      </c>
      <c r="Q408" s="22">
        <v>54853.87</v>
      </c>
      <c r="R408" s="22" t="s">
        <v>27</v>
      </c>
    </row>
    <row r="409" hidden="1" spans="1:18">
      <c r="A409" s="22" t="s">
        <v>543</v>
      </c>
      <c r="B409" s="23">
        <v>43309</v>
      </c>
      <c r="C409" s="24">
        <f t="shared" si="6"/>
        <v>7</v>
      </c>
      <c r="D409" s="22" t="s">
        <v>19</v>
      </c>
      <c r="E409" s="22" t="s">
        <v>20</v>
      </c>
      <c r="F409" s="22" t="s">
        <v>31</v>
      </c>
      <c r="G409" s="22" t="s">
        <v>172</v>
      </c>
      <c r="H409" s="22" t="s">
        <v>286</v>
      </c>
      <c r="I409" s="22" t="s">
        <v>45</v>
      </c>
      <c r="J409" s="22" t="s">
        <v>25</v>
      </c>
      <c r="K409" s="22" t="s">
        <v>26</v>
      </c>
      <c r="L409" s="22">
        <v>9</v>
      </c>
      <c r="M409" s="22">
        <v>14600</v>
      </c>
      <c r="N409" s="22">
        <v>0.05</v>
      </c>
      <c r="O409" s="22">
        <v>124830</v>
      </c>
      <c r="P409" s="22">
        <v>81184.86</v>
      </c>
      <c r="Q409" s="22">
        <v>43645.14</v>
      </c>
      <c r="R409" s="22" t="s">
        <v>48</v>
      </c>
    </row>
    <row r="410" hidden="1" spans="1:18">
      <c r="A410" s="22" t="s">
        <v>544</v>
      </c>
      <c r="B410" s="23">
        <v>45711</v>
      </c>
      <c r="C410" s="24">
        <f t="shared" si="6"/>
        <v>2</v>
      </c>
      <c r="D410" s="22" t="s">
        <v>103</v>
      </c>
      <c r="E410" s="22" t="s">
        <v>213</v>
      </c>
      <c r="F410" s="22" t="s">
        <v>21</v>
      </c>
      <c r="G410" s="22" t="s">
        <v>22</v>
      </c>
      <c r="H410" s="22" t="s">
        <v>215</v>
      </c>
      <c r="I410" s="22" t="s">
        <v>24</v>
      </c>
      <c r="J410" s="22" t="s">
        <v>170</v>
      </c>
      <c r="K410" s="22" t="s">
        <v>47</v>
      </c>
      <c r="L410" s="22">
        <v>3</v>
      </c>
      <c r="M410" s="22">
        <v>20800</v>
      </c>
      <c r="N410" s="22">
        <v>0.05</v>
      </c>
      <c r="O410" s="22">
        <v>59280</v>
      </c>
      <c r="P410" s="22">
        <v>40740.99</v>
      </c>
      <c r="Q410" s="22">
        <v>18539.01</v>
      </c>
      <c r="R410" s="22" t="s">
        <v>77</v>
      </c>
    </row>
    <row r="411" hidden="1" spans="1:18">
      <c r="A411" s="22" t="s">
        <v>545</v>
      </c>
      <c r="B411" s="23">
        <v>43308</v>
      </c>
      <c r="C411" s="24">
        <f t="shared" si="6"/>
        <v>7</v>
      </c>
      <c r="D411" s="22" t="s">
        <v>65</v>
      </c>
      <c r="E411" s="22" t="s">
        <v>30</v>
      </c>
      <c r="F411" s="22" t="s">
        <v>21</v>
      </c>
      <c r="G411" s="22" t="s">
        <v>122</v>
      </c>
      <c r="H411" s="22" t="s">
        <v>138</v>
      </c>
      <c r="I411" s="22" t="s">
        <v>24</v>
      </c>
      <c r="J411" s="22" t="s">
        <v>25</v>
      </c>
      <c r="K411" s="22" t="s">
        <v>26</v>
      </c>
      <c r="L411" s="22">
        <v>3</v>
      </c>
      <c r="M411" s="22">
        <v>2200</v>
      </c>
      <c r="N411" s="22">
        <v>0</v>
      </c>
      <c r="O411" s="22">
        <v>6600</v>
      </c>
      <c r="P411" s="22">
        <v>4923.48</v>
      </c>
      <c r="Q411" s="22">
        <v>1676.52</v>
      </c>
      <c r="R411" s="22" t="s">
        <v>48</v>
      </c>
    </row>
    <row r="412" hidden="1" spans="1:18">
      <c r="A412" s="22" t="s">
        <v>546</v>
      </c>
      <c r="B412" s="23">
        <v>44302</v>
      </c>
      <c r="C412" s="24">
        <f t="shared" si="6"/>
        <v>4</v>
      </c>
      <c r="D412" s="22" t="s">
        <v>121</v>
      </c>
      <c r="E412" s="22" t="s">
        <v>213</v>
      </c>
      <c r="F412" s="22" t="s">
        <v>21</v>
      </c>
      <c r="G412" s="22" t="s">
        <v>122</v>
      </c>
      <c r="H412" s="22" t="s">
        <v>156</v>
      </c>
      <c r="I412" s="22" t="s">
        <v>51</v>
      </c>
      <c r="J412" s="22" t="s">
        <v>34</v>
      </c>
      <c r="K412" s="22" t="s">
        <v>26</v>
      </c>
      <c r="L412" s="22">
        <v>9</v>
      </c>
      <c r="M412" s="22">
        <v>66400</v>
      </c>
      <c r="N412" s="22">
        <v>0.05</v>
      </c>
      <c r="O412" s="22">
        <v>567720</v>
      </c>
      <c r="P412" s="22">
        <v>429061.95</v>
      </c>
      <c r="Q412" s="22">
        <v>138658.05</v>
      </c>
      <c r="R412" s="22" t="s">
        <v>77</v>
      </c>
    </row>
    <row r="413" hidden="1" spans="1:18">
      <c r="A413" s="22" t="s">
        <v>547</v>
      </c>
      <c r="B413" s="23">
        <v>43680</v>
      </c>
      <c r="C413" s="24">
        <f t="shared" si="6"/>
        <v>8</v>
      </c>
      <c r="D413" s="22" t="s">
        <v>42</v>
      </c>
      <c r="E413" s="22" t="s">
        <v>213</v>
      </c>
      <c r="F413" s="22" t="s">
        <v>21</v>
      </c>
      <c r="G413" s="22" t="s">
        <v>167</v>
      </c>
      <c r="H413" s="22" t="s">
        <v>254</v>
      </c>
      <c r="I413" s="22" t="s">
        <v>45</v>
      </c>
      <c r="J413" s="22" t="s">
        <v>25</v>
      </c>
      <c r="K413" s="22" t="s">
        <v>53</v>
      </c>
      <c r="L413" s="22">
        <v>9</v>
      </c>
      <c r="M413" s="22">
        <v>33200</v>
      </c>
      <c r="N413" s="22">
        <v>0</v>
      </c>
      <c r="O413" s="22">
        <v>298800</v>
      </c>
      <c r="P413" s="22">
        <v>192190.06</v>
      </c>
      <c r="Q413" s="22">
        <v>106609.94</v>
      </c>
      <c r="R413" s="22" t="s">
        <v>48</v>
      </c>
    </row>
    <row r="414" hidden="1" spans="1:18">
      <c r="A414" s="22" t="s">
        <v>548</v>
      </c>
      <c r="B414" s="23">
        <v>44029</v>
      </c>
      <c r="C414" s="24">
        <f t="shared" si="6"/>
        <v>7</v>
      </c>
      <c r="D414" s="22" t="s">
        <v>90</v>
      </c>
      <c r="E414" s="22" t="s">
        <v>213</v>
      </c>
      <c r="F414" s="22" t="s">
        <v>21</v>
      </c>
      <c r="G414" s="22" t="s">
        <v>167</v>
      </c>
      <c r="H414" s="22" t="s">
        <v>206</v>
      </c>
      <c r="I414" s="22" t="s">
        <v>51</v>
      </c>
      <c r="J414" s="22" t="s">
        <v>46</v>
      </c>
      <c r="K414" s="22" t="s">
        <v>47</v>
      </c>
      <c r="L414" s="22">
        <v>3</v>
      </c>
      <c r="M414" s="22">
        <v>34700</v>
      </c>
      <c r="N414" s="22">
        <v>0</v>
      </c>
      <c r="O414" s="22">
        <v>104100</v>
      </c>
      <c r="P414" s="22">
        <v>71590.57</v>
      </c>
      <c r="Q414" s="22">
        <v>32509.43</v>
      </c>
      <c r="R414" s="22" t="s">
        <v>48</v>
      </c>
    </row>
    <row r="415" hidden="1" spans="1:18">
      <c r="A415" s="22" t="s">
        <v>549</v>
      </c>
      <c r="B415" s="23">
        <v>43767</v>
      </c>
      <c r="C415" s="24">
        <f t="shared" si="6"/>
        <v>10</v>
      </c>
      <c r="D415" s="22" t="s">
        <v>85</v>
      </c>
      <c r="E415" s="22" t="s">
        <v>30</v>
      </c>
      <c r="F415" s="22" t="s">
        <v>55</v>
      </c>
      <c r="G415" s="22" t="s">
        <v>80</v>
      </c>
      <c r="H415" s="22" t="s">
        <v>134</v>
      </c>
      <c r="I415" s="22" t="s">
        <v>51</v>
      </c>
      <c r="J415" s="22" t="s">
        <v>124</v>
      </c>
      <c r="K415" s="22" t="s">
        <v>53</v>
      </c>
      <c r="L415" s="22">
        <v>8</v>
      </c>
      <c r="M415" s="22">
        <v>1100</v>
      </c>
      <c r="N415" s="22">
        <v>0.2</v>
      </c>
      <c r="O415" s="22">
        <v>7040</v>
      </c>
      <c r="P415" s="22">
        <v>5908.28</v>
      </c>
      <c r="Q415" s="22">
        <v>1131.72</v>
      </c>
      <c r="R415" s="22" t="s">
        <v>77</v>
      </c>
    </row>
    <row r="416" hidden="1" spans="1:18">
      <c r="A416" s="22" t="s">
        <v>550</v>
      </c>
      <c r="B416" s="23">
        <v>46085</v>
      </c>
      <c r="C416" s="24">
        <f t="shared" si="6"/>
        <v>3</v>
      </c>
      <c r="D416" s="22" t="s">
        <v>103</v>
      </c>
      <c r="E416" s="22" t="s">
        <v>213</v>
      </c>
      <c r="F416" s="22" t="s">
        <v>96</v>
      </c>
      <c r="G416" s="22" t="s">
        <v>113</v>
      </c>
      <c r="H416" s="22" t="s">
        <v>126</v>
      </c>
      <c r="I416" s="22" t="s">
        <v>45</v>
      </c>
      <c r="J416" s="22" t="s">
        <v>88</v>
      </c>
      <c r="K416" s="22" t="s">
        <v>26</v>
      </c>
      <c r="L416" s="22">
        <v>9</v>
      </c>
      <c r="M416" s="22">
        <v>21200</v>
      </c>
      <c r="N416" s="22">
        <v>0.05</v>
      </c>
      <c r="O416" s="22">
        <v>181260</v>
      </c>
      <c r="P416" s="22">
        <v>150924.41</v>
      </c>
      <c r="Q416" s="22">
        <v>30335.59</v>
      </c>
      <c r="R416" s="22" t="s">
        <v>35</v>
      </c>
    </row>
    <row r="417" hidden="1" spans="1:18">
      <c r="A417" s="22" t="s">
        <v>551</v>
      </c>
      <c r="B417" s="23">
        <v>45668</v>
      </c>
      <c r="C417" s="24">
        <f t="shared" si="6"/>
        <v>1</v>
      </c>
      <c r="D417" s="22" t="s">
        <v>37</v>
      </c>
      <c r="E417" s="22" t="s">
        <v>213</v>
      </c>
      <c r="F417" s="22" t="s">
        <v>60</v>
      </c>
      <c r="G417" s="22" t="s">
        <v>93</v>
      </c>
      <c r="H417" s="22" t="s">
        <v>101</v>
      </c>
      <c r="I417" s="22" t="s">
        <v>24</v>
      </c>
      <c r="J417" s="22" t="s">
        <v>124</v>
      </c>
      <c r="K417" s="22" t="s">
        <v>47</v>
      </c>
      <c r="L417" s="22">
        <v>7</v>
      </c>
      <c r="M417" s="22">
        <v>17300</v>
      </c>
      <c r="N417" s="22">
        <v>0.1</v>
      </c>
      <c r="O417" s="22">
        <v>108990</v>
      </c>
      <c r="P417" s="22">
        <v>75861.13</v>
      </c>
      <c r="Q417" s="22">
        <v>33128.87</v>
      </c>
      <c r="R417" s="22" t="s">
        <v>48</v>
      </c>
    </row>
    <row r="418" hidden="1" spans="1:18">
      <c r="A418" s="22" t="s">
        <v>552</v>
      </c>
      <c r="B418" s="23">
        <v>44198</v>
      </c>
      <c r="C418" s="24">
        <f t="shared" si="6"/>
        <v>1</v>
      </c>
      <c r="D418" s="22" t="s">
        <v>85</v>
      </c>
      <c r="E418" s="22" t="s">
        <v>30</v>
      </c>
      <c r="F418" s="22" t="s">
        <v>21</v>
      </c>
      <c r="G418" s="22" t="s">
        <v>167</v>
      </c>
      <c r="H418" s="22" t="s">
        <v>168</v>
      </c>
      <c r="I418" s="22" t="s">
        <v>45</v>
      </c>
      <c r="J418" s="22" t="s">
        <v>116</v>
      </c>
      <c r="K418" s="22" t="s">
        <v>47</v>
      </c>
      <c r="L418" s="22">
        <v>3</v>
      </c>
      <c r="M418" s="22">
        <v>2700</v>
      </c>
      <c r="N418" s="22">
        <v>0.05</v>
      </c>
      <c r="O418" s="22">
        <v>7695</v>
      </c>
      <c r="P418" s="22">
        <v>5449.25</v>
      </c>
      <c r="Q418" s="22">
        <v>2245.75</v>
      </c>
      <c r="R418" s="22" t="s">
        <v>48</v>
      </c>
    </row>
    <row r="419" hidden="1" spans="1:18">
      <c r="A419" s="22" t="s">
        <v>553</v>
      </c>
      <c r="B419" s="23">
        <v>44210</v>
      </c>
      <c r="C419" s="24">
        <f t="shared" si="6"/>
        <v>1</v>
      </c>
      <c r="D419" s="22" t="s">
        <v>37</v>
      </c>
      <c r="E419" s="22" t="s">
        <v>213</v>
      </c>
      <c r="F419" s="22" t="s">
        <v>96</v>
      </c>
      <c r="G419" s="22" t="s">
        <v>113</v>
      </c>
      <c r="H419" s="22" t="s">
        <v>119</v>
      </c>
      <c r="I419" s="22" t="s">
        <v>45</v>
      </c>
      <c r="J419" s="22" t="s">
        <v>124</v>
      </c>
      <c r="K419" s="22" t="s">
        <v>47</v>
      </c>
      <c r="L419" s="22">
        <v>4</v>
      </c>
      <c r="M419" s="22">
        <v>19300</v>
      </c>
      <c r="N419" s="22">
        <v>0.05</v>
      </c>
      <c r="O419" s="22">
        <v>73340</v>
      </c>
      <c r="P419" s="22">
        <v>52166.1</v>
      </c>
      <c r="Q419" s="22">
        <v>21173.9</v>
      </c>
      <c r="R419" s="22" t="s">
        <v>35</v>
      </c>
    </row>
    <row r="420" hidden="1" spans="1:18">
      <c r="A420" s="22" t="s">
        <v>554</v>
      </c>
      <c r="B420" s="23">
        <v>44077</v>
      </c>
      <c r="C420" s="24">
        <f t="shared" si="6"/>
        <v>9</v>
      </c>
      <c r="D420" s="22" t="s">
        <v>79</v>
      </c>
      <c r="E420" s="22" t="s">
        <v>213</v>
      </c>
      <c r="F420" s="22" t="s">
        <v>60</v>
      </c>
      <c r="G420" s="22" t="s">
        <v>93</v>
      </c>
      <c r="H420" s="22" t="s">
        <v>101</v>
      </c>
      <c r="I420" s="22" t="s">
        <v>24</v>
      </c>
      <c r="J420" s="22" t="s">
        <v>46</v>
      </c>
      <c r="K420" s="22" t="s">
        <v>53</v>
      </c>
      <c r="L420" s="22">
        <v>2</v>
      </c>
      <c r="M420" s="22">
        <v>39100</v>
      </c>
      <c r="N420" s="22">
        <v>0.05</v>
      </c>
      <c r="O420" s="22">
        <v>74290</v>
      </c>
      <c r="P420" s="22">
        <v>48132.59</v>
      </c>
      <c r="Q420" s="22">
        <v>26157.41</v>
      </c>
      <c r="R420" s="22" t="s">
        <v>77</v>
      </c>
    </row>
    <row r="421" hidden="1" spans="1:18">
      <c r="A421" s="22" t="s">
        <v>555</v>
      </c>
      <c r="B421" s="23">
        <v>43972</v>
      </c>
      <c r="C421" s="24">
        <f t="shared" si="6"/>
        <v>5</v>
      </c>
      <c r="D421" s="22" t="s">
        <v>75</v>
      </c>
      <c r="E421" s="22" t="s">
        <v>213</v>
      </c>
      <c r="F421" s="22" t="s">
        <v>31</v>
      </c>
      <c r="G421" s="22" t="s">
        <v>32</v>
      </c>
      <c r="H421" s="22" t="s">
        <v>33</v>
      </c>
      <c r="I421" s="22" t="s">
        <v>24</v>
      </c>
      <c r="J421" s="22" t="s">
        <v>116</v>
      </c>
      <c r="K421" s="22" t="s">
        <v>26</v>
      </c>
      <c r="L421" s="22">
        <v>7</v>
      </c>
      <c r="M421" s="22">
        <v>50700</v>
      </c>
      <c r="N421" s="22">
        <v>0.15</v>
      </c>
      <c r="O421" s="22">
        <v>301665</v>
      </c>
      <c r="P421" s="22">
        <v>225324.43</v>
      </c>
      <c r="Q421" s="22">
        <v>76340.57</v>
      </c>
      <c r="R421" s="22" t="s">
        <v>77</v>
      </c>
    </row>
    <row r="422" hidden="1" spans="1:18">
      <c r="A422" s="22" t="s">
        <v>556</v>
      </c>
      <c r="B422" s="23">
        <v>43804</v>
      </c>
      <c r="C422" s="24">
        <f t="shared" si="6"/>
        <v>12</v>
      </c>
      <c r="D422" s="22" t="s">
        <v>121</v>
      </c>
      <c r="E422" s="22" t="s">
        <v>213</v>
      </c>
      <c r="F422" s="22" t="s">
        <v>21</v>
      </c>
      <c r="G422" s="22" t="s">
        <v>22</v>
      </c>
      <c r="H422" s="22" t="s">
        <v>215</v>
      </c>
      <c r="I422" s="22" t="s">
        <v>45</v>
      </c>
      <c r="J422" s="22" t="s">
        <v>34</v>
      </c>
      <c r="K422" s="22" t="s">
        <v>26</v>
      </c>
      <c r="L422" s="22">
        <v>9</v>
      </c>
      <c r="M422" s="22">
        <v>70900</v>
      </c>
      <c r="N422" s="22">
        <v>0</v>
      </c>
      <c r="O422" s="22">
        <v>638100</v>
      </c>
      <c r="P422" s="22">
        <v>415762.53</v>
      </c>
      <c r="Q422" s="22">
        <v>222337.47</v>
      </c>
      <c r="R422" s="22" t="s">
        <v>77</v>
      </c>
    </row>
    <row r="423" hidden="1" spans="1:18">
      <c r="A423" s="22" t="s">
        <v>557</v>
      </c>
      <c r="B423" s="23">
        <v>45674</v>
      </c>
      <c r="C423" s="24">
        <f t="shared" si="6"/>
        <v>1</v>
      </c>
      <c r="D423" s="22" t="s">
        <v>69</v>
      </c>
      <c r="E423" s="22" t="s">
        <v>30</v>
      </c>
      <c r="F423" s="22" t="s">
        <v>31</v>
      </c>
      <c r="G423" s="22" t="s">
        <v>32</v>
      </c>
      <c r="H423" s="22" t="s">
        <v>226</v>
      </c>
      <c r="I423" s="22" t="s">
        <v>51</v>
      </c>
      <c r="J423" s="22" t="s">
        <v>99</v>
      </c>
      <c r="K423" s="22" t="s">
        <v>53</v>
      </c>
      <c r="L423" s="22">
        <v>9</v>
      </c>
      <c r="M423" s="22">
        <v>4300</v>
      </c>
      <c r="N423" s="22">
        <v>0</v>
      </c>
      <c r="O423" s="22">
        <v>38700</v>
      </c>
      <c r="P423" s="22">
        <v>28053.81</v>
      </c>
      <c r="Q423" s="22">
        <v>10646.19</v>
      </c>
      <c r="R423" s="22" t="s">
        <v>35</v>
      </c>
    </row>
    <row r="424" hidden="1" spans="1:18">
      <c r="A424" s="22" t="s">
        <v>558</v>
      </c>
      <c r="B424" s="23">
        <v>44106</v>
      </c>
      <c r="C424" s="24">
        <f t="shared" si="6"/>
        <v>10</v>
      </c>
      <c r="D424" s="22" t="s">
        <v>79</v>
      </c>
      <c r="E424" s="22" t="s">
        <v>213</v>
      </c>
      <c r="F424" s="22" t="s">
        <v>96</v>
      </c>
      <c r="G424" s="22" t="s">
        <v>97</v>
      </c>
      <c r="H424" s="22" t="s">
        <v>98</v>
      </c>
      <c r="I424" s="22" t="s">
        <v>51</v>
      </c>
      <c r="J424" s="22" t="s">
        <v>63</v>
      </c>
      <c r="K424" s="22" t="s">
        <v>47</v>
      </c>
      <c r="L424" s="22">
        <v>10</v>
      </c>
      <c r="M424" s="22">
        <v>74300</v>
      </c>
      <c r="N424" s="22">
        <v>0.05</v>
      </c>
      <c r="O424" s="22">
        <v>705850</v>
      </c>
      <c r="P424" s="22">
        <v>498831.2</v>
      </c>
      <c r="Q424" s="22">
        <v>207018.8</v>
      </c>
      <c r="R424" s="22" t="s">
        <v>35</v>
      </c>
    </row>
    <row r="425" hidden="1" spans="1:18">
      <c r="A425" s="22" t="s">
        <v>559</v>
      </c>
      <c r="B425" s="23">
        <v>45752</v>
      </c>
      <c r="C425" s="24">
        <f t="shared" si="6"/>
        <v>4</v>
      </c>
      <c r="D425" s="22" t="s">
        <v>69</v>
      </c>
      <c r="E425" s="22" t="s">
        <v>213</v>
      </c>
      <c r="F425" s="22" t="s">
        <v>60</v>
      </c>
      <c r="G425" s="22" t="s">
        <v>141</v>
      </c>
      <c r="H425" s="22" t="s">
        <v>142</v>
      </c>
      <c r="I425" s="22" t="s">
        <v>24</v>
      </c>
      <c r="J425" s="22" t="s">
        <v>124</v>
      </c>
      <c r="K425" s="22" t="s">
        <v>47</v>
      </c>
      <c r="L425" s="22">
        <v>10</v>
      </c>
      <c r="M425" s="22">
        <v>101900</v>
      </c>
      <c r="N425" s="22">
        <v>0.2</v>
      </c>
      <c r="O425" s="22">
        <v>815200</v>
      </c>
      <c r="P425" s="22">
        <v>509381.43</v>
      </c>
      <c r="Q425" s="22">
        <v>305818.57</v>
      </c>
      <c r="R425" s="22" t="s">
        <v>77</v>
      </c>
    </row>
    <row r="426" hidden="1" spans="1:18">
      <c r="A426" s="22" t="s">
        <v>560</v>
      </c>
      <c r="B426" s="23">
        <v>43812</v>
      </c>
      <c r="C426" s="24">
        <f t="shared" si="6"/>
        <v>12</v>
      </c>
      <c r="D426" s="22" t="s">
        <v>79</v>
      </c>
      <c r="E426" s="22" t="s">
        <v>213</v>
      </c>
      <c r="F426" s="22" t="s">
        <v>21</v>
      </c>
      <c r="G426" s="22" t="s">
        <v>167</v>
      </c>
      <c r="H426" s="22" t="s">
        <v>168</v>
      </c>
      <c r="I426" s="22" t="s">
        <v>45</v>
      </c>
      <c r="J426" s="22" t="s">
        <v>25</v>
      </c>
      <c r="K426" s="22" t="s">
        <v>26</v>
      </c>
      <c r="L426" s="22">
        <v>2</v>
      </c>
      <c r="M426" s="22">
        <v>53600</v>
      </c>
      <c r="N426" s="22">
        <v>0.05</v>
      </c>
      <c r="O426" s="22">
        <v>101840</v>
      </c>
      <c r="P426" s="22">
        <v>64363.33</v>
      </c>
      <c r="Q426" s="22">
        <v>37476.67</v>
      </c>
      <c r="R426" s="22" t="s">
        <v>35</v>
      </c>
    </row>
    <row r="427" hidden="1" spans="1:18">
      <c r="A427" s="22" t="s">
        <v>561</v>
      </c>
      <c r="B427" s="23">
        <v>43784</v>
      </c>
      <c r="C427" s="24">
        <f t="shared" si="6"/>
        <v>11</v>
      </c>
      <c r="D427" s="22" t="s">
        <v>29</v>
      </c>
      <c r="E427" s="22" t="s">
        <v>30</v>
      </c>
      <c r="F427" s="22" t="s">
        <v>31</v>
      </c>
      <c r="G427" s="22" t="s">
        <v>172</v>
      </c>
      <c r="H427" s="22" t="s">
        <v>173</v>
      </c>
      <c r="I427" s="22" t="s">
        <v>51</v>
      </c>
      <c r="J427" s="22" t="s">
        <v>116</v>
      </c>
      <c r="K427" s="22" t="s">
        <v>53</v>
      </c>
      <c r="L427" s="22">
        <v>10</v>
      </c>
      <c r="M427" s="22">
        <v>5900</v>
      </c>
      <c r="N427" s="22">
        <v>0</v>
      </c>
      <c r="O427" s="22">
        <v>59000</v>
      </c>
      <c r="P427" s="22">
        <v>40012.84</v>
      </c>
      <c r="Q427" s="22">
        <v>18987.16</v>
      </c>
      <c r="R427" s="22" t="s">
        <v>35</v>
      </c>
    </row>
    <row r="428" hidden="1" spans="1:18">
      <c r="A428" s="22" t="s">
        <v>562</v>
      </c>
      <c r="B428" s="23">
        <v>44085</v>
      </c>
      <c r="C428" s="24">
        <f t="shared" si="6"/>
        <v>9</v>
      </c>
      <c r="D428" s="22" t="s">
        <v>133</v>
      </c>
      <c r="E428" s="22" t="s">
        <v>213</v>
      </c>
      <c r="F428" s="22" t="s">
        <v>31</v>
      </c>
      <c r="G428" s="22" t="s">
        <v>172</v>
      </c>
      <c r="H428" s="22" t="s">
        <v>173</v>
      </c>
      <c r="I428" s="22" t="s">
        <v>45</v>
      </c>
      <c r="J428" s="22" t="s">
        <v>46</v>
      </c>
      <c r="K428" s="22" t="s">
        <v>26</v>
      </c>
      <c r="L428" s="22">
        <v>9</v>
      </c>
      <c r="M428" s="22">
        <v>2800</v>
      </c>
      <c r="N428" s="22">
        <v>0</v>
      </c>
      <c r="O428" s="22">
        <v>25200</v>
      </c>
      <c r="P428" s="22">
        <v>20426.73</v>
      </c>
      <c r="Q428" s="22">
        <v>4773.27</v>
      </c>
      <c r="R428" s="22" t="s">
        <v>58</v>
      </c>
    </row>
    <row r="429" hidden="1" spans="1:18">
      <c r="A429" s="22" t="s">
        <v>563</v>
      </c>
      <c r="B429" s="23">
        <v>43133</v>
      </c>
      <c r="C429" s="24">
        <f t="shared" si="6"/>
        <v>2</v>
      </c>
      <c r="D429" s="22" t="s">
        <v>121</v>
      </c>
      <c r="E429" s="22" t="s">
        <v>213</v>
      </c>
      <c r="F429" s="22" t="s">
        <v>96</v>
      </c>
      <c r="G429" s="22" t="s">
        <v>97</v>
      </c>
      <c r="H429" s="22" t="s">
        <v>147</v>
      </c>
      <c r="I429" s="22" t="s">
        <v>51</v>
      </c>
      <c r="J429" s="22" t="s">
        <v>25</v>
      </c>
      <c r="K429" s="22" t="s">
        <v>47</v>
      </c>
      <c r="L429" s="22">
        <v>10</v>
      </c>
      <c r="M429" s="22">
        <v>66300</v>
      </c>
      <c r="N429" s="22">
        <v>0.15</v>
      </c>
      <c r="O429" s="22">
        <v>563550</v>
      </c>
      <c r="P429" s="22">
        <v>416722.45</v>
      </c>
      <c r="Q429" s="22">
        <v>146827.55</v>
      </c>
      <c r="R429" s="22" t="s">
        <v>48</v>
      </c>
    </row>
    <row r="430" hidden="1" spans="1:18">
      <c r="A430" s="22" t="s">
        <v>564</v>
      </c>
      <c r="B430" s="23">
        <v>43351</v>
      </c>
      <c r="C430" s="24">
        <f t="shared" si="6"/>
        <v>9</v>
      </c>
      <c r="D430" s="22" t="s">
        <v>29</v>
      </c>
      <c r="E430" s="22" t="s">
        <v>30</v>
      </c>
      <c r="F430" s="22" t="s">
        <v>96</v>
      </c>
      <c r="G430" s="22" t="s">
        <v>97</v>
      </c>
      <c r="H430" s="22" t="s">
        <v>98</v>
      </c>
      <c r="I430" s="22" t="s">
        <v>45</v>
      </c>
      <c r="J430" s="22" t="s">
        <v>116</v>
      </c>
      <c r="K430" s="22" t="s">
        <v>26</v>
      </c>
      <c r="L430" s="22">
        <v>6</v>
      </c>
      <c r="M430" s="22">
        <v>5200</v>
      </c>
      <c r="N430" s="22">
        <v>0.15</v>
      </c>
      <c r="O430" s="22">
        <v>26520</v>
      </c>
      <c r="P430" s="22">
        <v>21999.17</v>
      </c>
      <c r="Q430" s="22">
        <v>4520.83</v>
      </c>
      <c r="R430" s="22" t="s">
        <v>35</v>
      </c>
    </row>
    <row r="431" hidden="1" spans="1:18">
      <c r="A431" s="22" t="s">
        <v>565</v>
      </c>
      <c r="B431" s="23">
        <v>43353</v>
      </c>
      <c r="C431" s="24">
        <f t="shared" si="6"/>
        <v>9</v>
      </c>
      <c r="D431" s="22" t="s">
        <v>85</v>
      </c>
      <c r="E431" s="22" t="s">
        <v>30</v>
      </c>
      <c r="F431" s="22" t="s">
        <v>21</v>
      </c>
      <c r="G431" s="22" t="s">
        <v>122</v>
      </c>
      <c r="H431" s="22" t="s">
        <v>138</v>
      </c>
      <c r="I431" s="22" t="s">
        <v>51</v>
      </c>
      <c r="J431" s="22" t="s">
        <v>73</v>
      </c>
      <c r="K431" s="22" t="s">
        <v>47</v>
      </c>
      <c r="L431" s="22">
        <v>8</v>
      </c>
      <c r="M431" s="22">
        <v>3200</v>
      </c>
      <c r="N431" s="22">
        <v>0.1</v>
      </c>
      <c r="O431" s="22">
        <v>23040</v>
      </c>
      <c r="P431" s="22">
        <v>18735.38</v>
      </c>
      <c r="Q431" s="22">
        <v>4304.62</v>
      </c>
      <c r="R431" s="22" t="s">
        <v>35</v>
      </c>
    </row>
    <row r="432" hidden="1" spans="1:18">
      <c r="A432" s="22" t="s">
        <v>566</v>
      </c>
      <c r="B432" s="23">
        <v>43162</v>
      </c>
      <c r="C432" s="24">
        <f t="shared" si="6"/>
        <v>3</v>
      </c>
      <c r="D432" s="22" t="s">
        <v>85</v>
      </c>
      <c r="E432" s="22" t="s">
        <v>30</v>
      </c>
      <c r="F432" s="22" t="s">
        <v>96</v>
      </c>
      <c r="G432" s="22" t="s">
        <v>113</v>
      </c>
      <c r="H432" s="22" t="s">
        <v>126</v>
      </c>
      <c r="I432" s="22" t="s">
        <v>24</v>
      </c>
      <c r="J432" s="22" t="s">
        <v>170</v>
      </c>
      <c r="K432" s="22" t="s">
        <v>47</v>
      </c>
      <c r="L432" s="22">
        <v>10</v>
      </c>
      <c r="M432" s="22">
        <v>4800</v>
      </c>
      <c r="N432" s="22">
        <v>0.15</v>
      </c>
      <c r="O432" s="22">
        <v>40800</v>
      </c>
      <c r="P432" s="22">
        <v>27958.39</v>
      </c>
      <c r="Q432" s="22">
        <v>12841.61</v>
      </c>
      <c r="R432" s="22" t="s">
        <v>58</v>
      </c>
    </row>
    <row r="433" hidden="1" spans="1:18">
      <c r="A433" s="22" t="s">
        <v>567</v>
      </c>
      <c r="B433" s="23">
        <v>45845</v>
      </c>
      <c r="C433" s="24">
        <f t="shared" si="6"/>
        <v>7</v>
      </c>
      <c r="D433" s="22" t="s">
        <v>79</v>
      </c>
      <c r="E433" s="22" t="s">
        <v>213</v>
      </c>
      <c r="F433" s="22" t="s">
        <v>60</v>
      </c>
      <c r="G433" s="22" t="s">
        <v>86</v>
      </c>
      <c r="H433" s="22" t="s">
        <v>87</v>
      </c>
      <c r="I433" s="22" t="s">
        <v>51</v>
      </c>
      <c r="J433" s="22" t="s">
        <v>34</v>
      </c>
      <c r="K433" s="22" t="s">
        <v>53</v>
      </c>
      <c r="L433" s="22">
        <v>7</v>
      </c>
      <c r="M433" s="22">
        <v>74400</v>
      </c>
      <c r="N433" s="22">
        <v>0.1</v>
      </c>
      <c r="O433" s="22">
        <v>468720</v>
      </c>
      <c r="P433" s="22">
        <v>388463.77</v>
      </c>
      <c r="Q433" s="22">
        <v>80256.23</v>
      </c>
      <c r="R433" s="22" t="s">
        <v>77</v>
      </c>
    </row>
    <row r="434" hidden="1" spans="1:18">
      <c r="A434" s="22" t="s">
        <v>568</v>
      </c>
      <c r="B434" s="23">
        <v>44003</v>
      </c>
      <c r="C434" s="24">
        <f t="shared" si="6"/>
        <v>6</v>
      </c>
      <c r="D434" s="22" t="s">
        <v>65</v>
      </c>
      <c r="E434" s="22" t="s">
        <v>30</v>
      </c>
      <c r="F434" s="22" t="s">
        <v>60</v>
      </c>
      <c r="G434" s="22" t="s">
        <v>86</v>
      </c>
      <c r="H434" s="22" t="s">
        <v>106</v>
      </c>
      <c r="I434" s="22" t="s">
        <v>24</v>
      </c>
      <c r="J434" s="22" t="s">
        <v>99</v>
      </c>
      <c r="K434" s="22" t="s">
        <v>53</v>
      </c>
      <c r="L434" s="22">
        <v>8</v>
      </c>
      <c r="M434" s="22">
        <v>1500</v>
      </c>
      <c r="N434" s="22">
        <v>0.05</v>
      </c>
      <c r="O434" s="22">
        <v>11400</v>
      </c>
      <c r="P434" s="22">
        <v>8109.93</v>
      </c>
      <c r="Q434" s="22">
        <v>3290.07</v>
      </c>
      <c r="R434" s="22" t="s">
        <v>58</v>
      </c>
    </row>
    <row r="435" hidden="1" spans="1:18">
      <c r="A435" s="22" t="s">
        <v>569</v>
      </c>
      <c r="B435" s="23">
        <v>43299</v>
      </c>
      <c r="C435" s="24">
        <f t="shared" si="6"/>
        <v>7</v>
      </c>
      <c r="D435" s="22" t="s">
        <v>42</v>
      </c>
      <c r="E435" s="22" t="s">
        <v>213</v>
      </c>
      <c r="F435" s="22" t="s">
        <v>96</v>
      </c>
      <c r="G435" s="22" t="s">
        <v>97</v>
      </c>
      <c r="H435" s="22" t="s">
        <v>147</v>
      </c>
      <c r="I435" s="22" t="s">
        <v>51</v>
      </c>
      <c r="J435" s="22" t="s">
        <v>25</v>
      </c>
      <c r="K435" s="22" t="s">
        <v>47</v>
      </c>
      <c r="L435" s="22">
        <v>9</v>
      </c>
      <c r="M435" s="22">
        <v>29800</v>
      </c>
      <c r="N435" s="22">
        <v>0.1</v>
      </c>
      <c r="O435" s="22">
        <v>241380</v>
      </c>
      <c r="P435" s="22">
        <v>160689.65</v>
      </c>
      <c r="Q435" s="22">
        <v>80690.35</v>
      </c>
      <c r="R435" s="22" t="s">
        <v>35</v>
      </c>
    </row>
    <row r="436" hidden="1" spans="1:18">
      <c r="A436" s="22" t="s">
        <v>570</v>
      </c>
      <c r="B436" s="23">
        <v>44091</v>
      </c>
      <c r="C436" s="24">
        <f t="shared" si="6"/>
        <v>9</v>
      </c>
      <c r="D436" s="22" t="s">
        <v>133</v>
      </c>
      <c r="E436" s="22" t="s">
        <v>213</v>
      </c>
      <c r="F436" s="22" t="s">
        <v>96</v>
      </c>
      <c r="G436" s="22" t="s">
        <v>113</v>
      </c>
      <c r="H436" s="22" t="s">
        <v>114</v>
      </c>
      <c r="I436" s="22" t="s">
        <v>51</v>
      </c>
      <c r="J436" s="22" t="s">
        <v>124</v>
      </c>
      <c r="K436" s="22" t="s">
        <v>47</v>
      </c>
      <c r="L436" s="22">
        <v>9</v>
      </c>
      <c r="M436" s="22">
        <v>17100</v>
      </c>
      <c r="N436" s="22">
        <v>0.15</v>
      </c>
      <c r="O436" s="22">
        <v>130815</v>
      </c>
      <c r="P436" s="22">
        <v>90456.35</v>
      </c>
      <c r="Q436" s="22">
        <v>40358.65</v>
      </c>
      <c r="R436" s="22" t="s">
        <v>77</v>
      </c>
    </row>
    <row r="437" hidden="1" spans="1:18">
      <c r="A437" s="22" t="s">
        <v>571</v>
      </c>
      <c r="B437" s="23">
        <v>43736</v>
      </c>
      <c r="C437" s="24">
        <f t="shared" si="6"/>
        <v>9</v>
      </c>
      <c r="D437" s="22" t="s">
        <v>37</v>
      </c>
      <c r="E437" s="22" t="s">
        <v>213</v>
      </c>
      <c r="F437" s="22" t="s">
        <v>21</v>
      </c>
      <c r="G437" s="22" t="s">
        <v>70</v>
      </c>
      <c r="H437" s="22" t="s">
        <v>163</v>
      </c>
      <c r="I437" s="22" t="s">
        <v>45</v>
      </c>
      <c r="J437" s="22" t="s">
        <v>46</v>
      </c>
      <c r="K437" s="22" t="s">
        <v>26</v>
      </c>
      <c r="L437" s="22">
        <v>6</v>
      </c>
      <c r="M437" s="22">
        <v>13700</v>
      </c>
      <c r="N437" s="22">
        <v>0.15</v>
      </c>
      <c r="O437" s="22">
        <v>69870</v>
      </c>
      <c r="P437" s="22">
        <v>48456.41</v>
      </c>
      <c r="Q437" s="22">
        <v>21413.59</v>
      </c>
      <c r="R437" s="22" t="s">
        <v>58</v>
      </c>
    </row>
    <row r="438" hidden="1" spans="1:18">
      <c r="A438" s="22" t="s">
        <v>572</v>
      </c>
      <c r="B438" s="23">
        <v>45685</v>
      </c>
      <c r="C438" s="24">
        <f t="shared" si="6"/>
        <v>1</v>
      </c>
      <c r="D438" s="22" t="s">
        <v>19</v>
      </c>
      <c r="E438" s="22" t="s">
        <v>20</v>
      </c>
      <c r="F438" s="22" t="s">
        <v>96</v>
      </c>
      <c r="G438" s="22" t="s">
        <v>113</v>
      </c>
      <c r="H438" s="22" t="s">
        <v>126</v>
      </c>
      <c r="I438" s="22" t="s">
        <v>51</v>
      </c>
      <c r="J438" s="22" t="s">
        <v>25</v>
      </c>
      <c r="K438" s="22" t="s">
        <v>53</v>
      </c>
      <c r="L438" s="22">
        <v>5</v>
      </c>
      <c r="M438" s="22">
        <v>21200</v>
      </c>
      <c r="N438" s="22">
        <v>0</v>
      </c>
      <c r="O438" s="22">
        <v>106000</v>
      </c>
      <c r="P438" s="22">
        <v>75416.89</v>
      </c>
      <c r="Q438" s="22">
        <v>30583.11</v>
      </c>
      <c r="R438" s="22" t="s">
        <v>77</v>
      </c>
    </row>
    <row r="439" hidden="1" spans="1:18">
      <c r="A439" s="22" t="s">
        <v>573</v>
      </c>
      <c r="B439" s="23">
        <v>44086</v>
      </c>
      <c r="C439" s="24">
        <f t="shared" si="6"/>
        <v>9</v>
      </c>
      <c r="D439" s="22" t="s">
        <v>79</v>
      </c>
      <c r="E439" s="22" t="s">
        <v>213</v>
      </c>
      <c r="F439" s="22" t="s">
        <v>55</v>
      </c>
      <c r="G439" s="22" t="s">
        <v>109</v>
      </c>
      <c r="H439" s="22" t="s">
        <v>110</v>
      </c>
      <c r="I439" s="22" t="s">
        <v>24</v>
      </c>
      <c r="J439" s="22" t="s">
        <v>124</v>
      </c>
      <c r="K439" s="22" t="s">
        <v>26</v>
      </c>
      <c r="L439" s="22">
        <v>6</v>
      </c>
      <c r="M439" s="22">
        <v>67800</v>
      </c>
      <c r="N439" s="22">
        <v>0.2</v>
      </c>
      <c r="O439" s="22">
        <v>325440</v>
      </c>
      <c r="P439" s="22">
        <v>272763.37</v>
      </c>
      <c r="Q439" s="22">
        <v>52676.63</v>
      </c>
      <c r="R439" s="22" t="s">
        <v>48</v>
      </c>
    </row>
    <row r="440" hidden="1" spans="1:18">
      <c r="A440" s="22" t="s">
        <v>574</v>
      </c>
      <c r="B440" s="23">
        <v>45721</v>
      </c>
      <c r="C440" s="24">
        <f t="shared" si="6"/>
        <v>3</v>
      </c>
      <c r="D440" s="22" t="s">
        <v>103</v>
      </c>
      <c r="E440" s="22" t="s">
        <v>30</v>
      </c>
      <c r="F440" s="22" t="s">
        <v>21</v>
      </c>
      <c r="G440" s="22" t="s">
        <v>70</v>
      </c>
      <c r="H440" s="22" t="s">
        <v>83</v>
      </c>
      <c r="I440" s="22" t="s">
        <v>45</v>
      </c>
      <c r="J440" s="22" t="s">
        <v>34</v>
      </c>
      <c r="K440" s="22" t="s">
        <v>47</v>
      </c>
      <c r="L440" s="22">
        <v>2</v>
      </c>
      <c r="M440" s="22">
        <v>7300</v>
      </c>
      <c r="N440" s="22">
        <v>0</v>
      </c>
      <c r="O440" s="22">
        <v>14600</v>
      </c>
      <c r="P440" s="22">
        <v>10567.23</v>
      </c>
      <c r="Q440" s="22">
        <v>4032.77</v>
      </c>
      <c r="R440" s="22" t="s">
        <v>77</v>
      </c>
    </row>
    <row r="441" hidden="1" spans="1:18">
      <c r="A441" s="22" t="s">
        <v>575</v>
      </c>
      <c r="B441" s="23">
        <v>45745</v>
      </c>
      <c r="C441" s="24">
        <f t="shared" si="6"/>
        <v>3</v>
      </c>
      <c r="D441" s="22" t="s">
        <v>29</v>
      </c>
      <c r="E441" s="22" t="s">
        <v>30</v>
      </c>
      <c r="F441" s="22" t="s">
        <v>21</v>
      </c>
      <c r="G441" s="22" t="s">
        <v>167</v>
      </c>
      <c r="H441" s="22" t="s">
        <v>254</v>
      </c>
      <c r="I441" s="22" t="s">
        <v>24</v>
      </c>
      <c r="J441" s="22" t="s">
        <v>40</v>
      </c>
      <c r="K441" s="22" t="s">
        <v>26</v>
      </c>
      <c r="L441" s="22">
        <v>2</v>
      </c>
      <c r="M441" s="22">
        <v>1500</v>
      </c>
      <c r="N441" s="22">
        <v>0.1</v>
      </c>
      <c r="O441" s="22">
        <v>2700</v>
      </c>
      <c r="P441" s="22">
        <v>1870.35</v>
      </c>
      <c r="Q441" s="22">
        <v>829.65</v>
      </c>
      <c r="R441" s="22" t="s">
        <v>27</v>
      </c>
    </row>
    <row r="442" hidden="1" spans="1:18">
      <c r="A442" s="22" t="s">
        <v>576</v>
      </c>
      <c r="B442" s="23">
        <v>45747</v>
      </c>
      <c r="C442" s="24">
        <f t="shared" si="6"/>
        <v>3</v>
      </c>
      <c r="D442" s="22" t="s">
        <v>85</v>
      </c>
      <c r="E442" s="22" t="s">
        <v>30</v>
      </c>
      <c r="F442" s="22" t="s">
        <v>96</v>
      </c>
      <c r="G442" s="22" t="s">
        <v>97</v>
      </c>
      <c r="H442" s="22" t="s">
        <v>147</v>
      </c>
      <c r="I442" s="22" t="s">
        <v>24</v>
      </c>
      <c r="J442" s="22" t="s">
        <v>170</v>
      </c>
      <c r="K442" s="22" t="s">
        <v>47</v>
      </c>
      <c r="L442" s="22">
        <v>7</v>
      </c>
      <c r="M442" s="22">
        <v>2100</v>
      </c>
      <c r="N442" s="22">
        <v>0.2</v>
      </c>
      <c r="O442" s="22">
        <v>11760</v>
      </c>
      <c r="P442" s="22">
        <v>7448.83</v>
      </c>
      <c r="Q442" s="22">
        <v>4311.17</v>
      </c>
      <c r="R442" s="22" t="s">
        <v>35</v>
      </c>
    </row>
    <row r="443" hidden="1" spans="1:18">
      <c r="A443" s="22" t="s">
        <v>577</v>
      </c>
      <c r="B443" s="23">
        <v>43219</v>
      </c>
      <c r="C443" s="24">
        <f t="shared" si="6"/>
        <v>4</v>
      </c>
      <c r="D443" s="22" t="s">
        <v>85</v>
      </c>
      <c r="E443" s="22" t="s">
        <v>30</v>
      </c>
      <c r="F443" s="22" t="s">
        <v>60</v>
      </c>
      <c r="G443" s="22" t="s">
        <v>61</v>
      </c>
      <c r="H443" s="22" t="s">
        <v>101</v>
      </c>
      <c r="I443" s="22" t="s">
        <v>45</v>
      </c>
      <c r="J443" s="22" t="s">
        <v>73</v>
      </c>
      <c r="K443" s="22" t="s">
        <v>26</v>
      </c>
      <c r="L443" s="22">
        <v>6</v>
      </c>
      <c r="M443" s="22">
        <v>900</v>
      </c>
      <c r="N443" s="22">
        <v>0.1</v>
      </c>
      <c r="O443" s="22">
        <v>4860</v>
      </c>
      <c r="P443" s="22">
        <v>4019.82</v>
      </c>
      <c r="Q443" s="22">
        <v>840.18</v>
      </c>
      <c r="R443" s="22" t="s">
        <v>58</v>
      </c>
    </row>
    <row r="444" hidden="1" spans="1:18">
      <c r="A444" s="22" t="s">
        <v>578</v>
      </c>
      <c r="B444" s="23">
        <v>44023</v>
      </c>
      <c r="C444" s="24">
        <f t="shared" si="6"/>
        <v>7</v>
      </c>
      <c r="D444" s="22" t="s">
        <v>121</v>
      </c>
      <c r="E444" s="22" t="s">
        <v>213</v>
      </c>
      <c r="F444" s="22" t="s">
        <v>60</v>
      </c>
      <c r="G444" s="22" t="s">
        <v>86</v>
      </c>
      <c r="H444" s="22" t="s">
        <v>87</v>
      </c>
      <c r="I444" s="22" t="s">
        <v>24</v>
      </c>
      <c r="J444" s="22" t="s">
        <v>88</v>
      </c>
      <c r="K444" s="22" t="s">
        <v>53</v>
      </c>
      <c r="L444" s="22">
        <v>8</v>
      </c>
      <c r="M444" s="22">
        <v>75900</v>
      </c>
      <c r="N444" s="22">
        <v>0.15</v>
      </c>
      <c r="O444" s="22">
        <v>516120</v>
      </c>
      <c r="P444" s="22">
        <v>342282.91</v>
      </c>
      <c r="Q444" s="22">
        <v>173837.09</v>
      </c>
      <c r="R444" s="22" t="s">
        <v>48</v>
      </c>
    </row>
    <row r="445" hidden="1" spans="1:18">
      <c r="A445" s="22" t="s">
        <v>579</v>
      </c>
      <c r="B445" s="23">
        <v>44177</v>
      </c>
      <c r="C445" s="24">
        <f t="shared" si="6"/>
        <v>12</v>
      </c>
      <c r="D445" s="22" t="s">
        <v>90</v>
      </c>
      <c r="E445" s="22" t="s">
        <v>213</v>
      </c>
      <c r="F445" s="22" t="s">
        <v>96</v>
      </c>
      <c r="G445" s="22" t="s">
        <v>97</v>
      </c>
      <c r="H445" s="22" t="s">
        <v>98</v>
      </c>
      <c r="I445" s="22" t="s">
        <v>51</v>
      </c>
      <c r="J445" s="22" t="s">
        <v>63</v>
      </c>
      <c r="K445" s="22" t="s">
        <v>47</v>
      </c>
      <c r="L445" s="22">
        <v>3</v>
      </c>
      <c r="M445" s="22">
        <v>32200</v>
      </c>
      <c r="N445" s="22">
        <v>0</v>
      </c>
      <c r="O445" s="22">
        <v>96600</v>
      </c>
      <c r="P445" s="22">
        <v>65327.07</v>
      </c>
      <c r="Q445" s="22">
        <v>31272.93</v>
      </c>
      <c r="R445" s="22" t="s">
        <v>35</v>
      </c>
    </row>
    <row r="446" hidden="1" spans="1:18">
      <c r="A446" s="22" t="s">
        <v>580</v>
      </c>
      <c r="B446" s="23">
        <v>43343</v>
      </c>
      <c r="C446" s="24">
        <f t="shared" si="6"/>
        <v>8</v>
      </c>
      <c r="D446" s="22" t="s">
        <v>79</v>
      </c>
      <c r="E446" s="22" t="s">
        <v>213</v>
      </c>
      <c r="F446" s="22" t="s">
        <v>31</v>
      </c>
      <c r="G446" s="22" t="s">
        <v>43</v>
      </c>
      <c r="H446" s="22" t="s">
        <v>44</v>
      </c>
      <c r="I446" s="22" t="s">
        <v>45</v>
      </c>
      <c r="J446" s="22" t="s">
        <v>25</v>
      </c>
      <c r="K446" s="22" t="s">
        <v>26</v>
      </c>
      <c r="L446" s="22">
        <v>6</v>
      </c>
      <c r="M446" s="22">
        <v>50400</v>
      </c>
      <c r="N446" s="22">
        <v>0</v>
      </c>
      <c r="O446" s="22">
        <v>302400</v>
      </c>
      <c r="P446" s="22">
        <v>242808.75</v>
      </c>
      <c r="Q446" s="22">
        <v>59591.25</v>
      </c>
      <c r="R446" s="22" t="s">
        <v>35</v>
      </c>
    </row>
    <row r="447" hidden="1" spans="1:18">
      <c r="A447" s="22" t="s">
        <v>581</v>
      </c>
      <c r="B447" s="23">
        <v>45303</v>
      </c>
      <c r="C447" s="24">
        <f t="shared" si="6"/>
        <v>1</v>
      </c>
      <c r="D447" s="22" t="s">
        <v>85</v>
      </c>
      <c r="E447" s="22" t="s">
        <v>30</v>
      </c>
      <c r="F447" s="22" t="s">
        <v>55</v>
      </c>
      <c r="G447" s="22" t="s">
        <v>80</v>
      </c>
      <c r="H447" s="22" t="s">
        <v>160</v>
      </c>
      <c r="I447" s="22" t="s">
        <v>24</v>
      </c>
      <c r="J447" s="22" t="s">
        <v>40</v>
      </c>
      <c r="K447" s="22" t="s">
        <v>53</v>
      </c>
      <c r="L447" s="22">
        <v>9</v>
      </c>
      <c r="M447" s="22">
        <v>3300</v>
      </c>
      <c r="N447" s="22">
        <v>0.05</v>
      </c>
      <c r="O447" s="22">
        <v>28215</v>
      </c>
      <c r="P447" s="22">
        <v>22853.18</v>
      </c>
      <c r="Q447" s="22">
        <v>5361.82</v>
      </c>
      <c r="R447" s="22" t="s">
        <v>77</v>
      </c>
    </row>
    <row r="448" hidden="1" spans="1:18">
      <c r="A448" s="22" t="s">
        <v>582</v>
      </c>
      <c r="B448" s="23">
        <v>43705</v>
      </c>
      <c r="C448" s="24">
        <f t="shared" si="6"/>
        <v>8</v>
      </c>
      <c r="D448" s="22" t="s">
        <v>121</v>
      </c>
      <c r="E448" s="22" t="s">
        <v>213</v>
      </c>
      <c r="F448" s="22" t="s">
        <v>21</v>
      </c>
      <c r="G448" s="22" t="s">
        <v>122</v>
      </c>
      <c r="H448" s="22" t="s">
        <v>156</v>
      </c>
      <c r="I448" s="22" t="s">
        <v>24</v>
      </c>
      <c r="J448" s="22" t="s">
        <v>99</v>
      </c>
      <c r="K448" s="22" t="s">
        <v>53</v>
      </c>
      <c r="L448" s="22">
        <v>7</v>
      </c>
      <c r="M448" s="22">
        <v>81500</v>
      </c>
      <c r="N448" s="22">
        <v>0.15</v>
      </c>
      <c r="O448" s="22">
        <v>484925</v>
      </c>
      <c r="P448" s="22">
        <v>395165.91</v>
      </c>
      <c r="Q448" s="22">
        <v>89759.09</v>
      </c>
      <c r="R448" s="22" t="s">
        <v>27</v>
      </c>
    </row>
    <row r="449" hidden="1" spans="1:18">
      <c r="A449" s="22" t="s">
        <v>583</v>
      </c>
      <c r="B449" s="23">
        <v>43323</v>
      </c>
      <c r="C449" s="24">
        <f t="shared" si="6"/>
        <v>8</v>
      </c>
      <c r="D449" s="22" t="s">
        <v>79</v>
      </c>
      <c r="E449" s="22" t="s">
        <v>213</v>
      </c>
      <c r="F449" s="22" t="s">
        <v>60</v>
      </c>
      <c r="G449" s="22" t="s">
        <v>86</v>
      </c>
      <c r="H449" s="22" t="s">
        <v>106</v>
      </c>
      <c r="I449" s="22" t="s">
        <v>51</v>
      </c>
      <c r="J449" s="22" t="s">
        <v>99</v>
      </c>
      <c r="K449" s="22" t="s">
        <v>47</v>
      </c>
      <c r="L449" s="22">
        <v>9</v>
      </c>
      <c r="M449" s="22">
        <v>23300</v>
      </c>
      <c r="N449" s="22">
        <v>0</v>
      </c>
      <c r="O449" s="22">
        <v>209700</v>
      </c>
      <c r="P449" s="22">
        <v>171683.32</v>
      </c>
      <c r="Q449" s="22">
        <v>38016.68</v>
      </c>
      <c r="R449" s="22" t="s">
        <v>77</v>
      </c>
    </row>
    <row r="450" hidden="1" spans="1:18">
      <c r="A450" s="22" t="s">
        <v>584</v>
      </c>
      <c r="B450" s="23">
        <v>45694</v>
      </c>
      <c r="C450" s="24">
        <f t="shared" ref="C450:C513" si="7">MONTH(B450)</f>
        <v>2</v>
      </c>
      <c r="D450" s="22" t="s">
        <v>79</v>
      </c>
      <c r="E450" s="22" t="s">
        <v>213</v>
      </c>
      <c r="F450" s="22" t="s">
        <v>60</v>
      </c>
      <c r="G450" s="22" t="s">
        <v>86</v>
      </c>
      <c r="H450" s="22" t="s">
        <v>106</v>
      </c>
      <c r="I450" s="22" t="s">
        <v>45</v>
      </c>
      <c r="J450" s="22" t="s">
        <v>73</v>
      </c>
      <c r="K450" s="22" t="s">
        <v>26</v>
      </c>
      <c r="L450" s="22">
        <v>2</v>
      </c>
      <c r="M450" s="22">
        <v>55800</v>
      </c>
      <c r="N450" s="22">
        <v>0.2</v>
      </c>
      <c r="O450" s="22">
        <v>89280</v>
      </c>
      <c r="P450" s="22">
        <v>67538.68</v>
      </c>
      <c r="Q450" s="22">
        <v>21741.32</v>
      </c>
      <c r="R450" s="22" t="s">
        <v>27</v>
      </c>
    </row>
    <row r="451" hidden="1" spans="1:18">
      <c r="A451" s="22" t="s">
        <v>585</v>
      </c>
      <c r="B451" s="23">
        <v>43699</v>
      </c>
      <c r="C451" s="24">
        <f t="shared" si="7"/>
        <v>8</v>
      </c>
      <c r="D451" s="22" t="s">
        <v>37</v>
      </c>
      <c r="E451" s="22" t="s">
        <v>213</v>
      </c>
      <c r="F451" s="22" t="s">
        <v>96</v>
      </c>
      <c r="G451" s="22" t="s">
        <v>97</v>
      </c>
      <c r="H451" s="22" t="s">
        <v>98</v>
      </c>
      <c r="I451" s="22" t="s">
        <v>24</v>
      </c>
      <c r="J451" s="22" t="s">
        <v>170</v>
      </c>
      <c r="K451" s="22" t="s">
        <v>47</v>
      </c>
      <c r="L451" s="22">
        <v>9</v>
      </c>
      <c r="M451" s="22">
        <v>12900</v>
      </c>
      <c r="N451" s="22">
        <v>0.05</v>
      </c>
      <c r="O451" s="22">
        <v>110295</v>
      </c>
      <c r="P451" s="22">
        <v>69704.51</v>
      </c>
      <c r="Q451" s="22">
        <v>40590.49</v>
      </c>
      <c r="R451" s="22" t="s">
        <v>27</v>
      </c>
    </row>
    <row r="452" hidden="1" spans="1:18">
      <c r="A452" s="22" t="s">
        <v>586</v>
      </c>
      <c r="B452" s="23">
        <v>45779</v>
      </c>
      <c r="C452" s="24">
        <f t="shared" si="7"/>
        <v>5</v>
      </c>
      <c r="D452" s="22" t="s">
        <v>75</v>
      </c>
      <c r="E452" s="22" t="s">
        <v>30</v>
      </c>
      <c r="F452" s="22" t="s">
        <v>31</v>
      </c>
      <c r="G452" s="22" t="s">
        <v>66</v>
      </c>
      <c r="H452" s="22" t="s">
        <v>67</v>
      </c>
      <c r="I452" s="22" t="s">
        <v>24</v>
      </c>
      <c r="J452" s="22" t="s">
        <v>25</v>
      </c>
      <c r="K452" s="22" t="s">
        <v>53</v>
      </c>
      <c r="L452" s="22">
        <v>3</v>
      </c>
      <c r="M452" s="22">
        <v>2100</v>
      </c>
      <c r="N452" s="22">
        <v>0.05</v>
      </c>
      <c r="O452" s="22">
        <v>5985</v>
      </c>
      <c r="P452" s="22">
        <v>4560.26</v>
      </c>
      <c r="Q452" s="22">
        <v>1424.74</v>
      </c>
      <c r="R452" s="22" t="s">
        <v>48</v>
      </c>
    </row>
    <row r="453" hidden="1" spans="1:18">
      <c r="A453" s="22" t="s">
        <v>587</v>
      </c>
      <c r="B453" s="23">
        <v>43284</v>
      </c>
      <c r="C453" s="24">
        <f t="shared" si="7"/>
        <v>7</v>
      </c>
      <c r="D453" s="22" t="s">
        <v>29</v>
      </c>
      <c r="E453" s="22" t="s">
        <v>30</v>
      </c>
      <c r="F453" s="22" t="s">
        <v>60</v>
      </c>
      <c r="G453" s="22" t="s">
        <v>86</v>
      </c>
      <c r="H453" s="22" t="s">
        <v>106</v>
      </c>
      <c r="I453" s="22" t="s">
        <v>45</v>
      </c>
      <c r="J453" s="22" t="s">
        <v>124</v>
      </c>
      <c r="K453" s="22" t="s">
        <v>26</v>
      </c>
      <c r="L453" s="22">
        <v>9</v>
      </c>
      <c r="M453" s="22">
        <v>4600</v>
      </c>
      <c r="N453" s="22">
        <v>0.15</v>
      </c>
      <c r="O453" s="22">
        <v>35190</v>
      </c>
      <c r="P453" s="22">
        <v>22926.13</v>
      </c>
      <c r="Q453" s="22">
        <v>12263.87</v>
      </c>
      <c r="R453" s="22" t="s">
        <v>48</v>
      </c>
    </row>
    <row r="454" hidden="1" spans="1:18">
      <c r="A454" s="22" t="s">
        <v>588</v>
      </c>
      <c r="B454" s="23">
        <v>43244</v>
      </c>
      <c r="C454" s="24">
        <f t="shared" si="7"/>
        <v>5</v>
      </c>
      <c r="D454" s="22" t="s">
        <v>121</v>
      </c>
      <c r="E454" s="22" t="s">
        <v>213</v>
      </c>
      <c r="F454" s="22" t="s">
        <v>21</v>
      </c>
      <c r="G454" s="22" t="s">
        <v>22</v>
      </c>
      <c r="H454" s="22" t="s">
        <v>215</v>
      </c>
      <c r="I454" s="22" t="s">
        <v>45</v>
      </c>
      <c r="J454" s="22" t="s">
        <v>34</v>
      </c>
      <c r="K454" s="22" t="s">
        <v>53</v>
      </c>
      <c r="L454" s="22">
        <v>4</v>
      </c>
      <c r="M454" s="22">
        <v>74400</v>
      </c>
      <c r="N454" s="22">
        <v>0.1</v>
      </c>
      <c r="O454" s="22">
        <v>267840</v>
      </c>
      <c r="P454" s="22">
        <v>220637.26</v>
      </c>
      <c r="Q454" s="22">
        <v>47202.74</v>
      </c>
      <c r="R454" s="22" t="s">
        <v>35</v>
      </c>
    </row>
    <row r="455" hidden="1" spans="1:18">
      <c r="A455" s="22" t="s">
        <v>589</v>
      </c>
      <c r="B455" s="23">
        <v>45693</v>
      </c>
      <c r="C455" s="24">
        <f t="shared" si="7"/>
        <v>2</v>
      </c>
      <c r="D455" s="22" t="s">
        <v>79</v>
      </c>
      <c r="E455" s="22" t="s">
        <v>213</v>
      </c>
      <c r="F455" s="22" t="s">
        <v>31</v>
      </c>
      <c r="G455" s="22" t="s">
        <v>66</v>
      </c>
      <c r="H455" s="22" t="s">
        <v>67</v>
      </c>
      <c r="I455" s="22" t="s">
        <v>45</v>
      </c>
      <c r="J455" s="22" t="s">
        <v>25</v>
      </c>
      <c r="K455" s="22" t="s">
        <v>53</v>
      </c>
      <c r="L455" s="22">
        <v>9</v>
      </c>
      <c r="M455" s="22">
        <v>18200</v>
      </c>
      <c r="N455" s="22">
        <v>0.1</v>
      </c>
      <c r="O455" s="22">
        <v>147420</v>
      </c>
      <c r="P455" s="22">
        <v>98901.36</v>
      </c>
      <c r="Q455" s="22">
        <v>48518.64</v>
      </c>
      <c r="R455" s="22" t="s">
        <v>35</v>
      </c>
    </row>
    <row r="456" hidden="1" spans="1:18">
      <c r="A456" s="22" t="s">
        <v>590</v>
      </c>
      <c r="B456" s="23">
        <v>43179</v>
      </c>
      <c r="C456" s="24">
        <f t="shared" si="7"/>
        <v>3</v>
      </c>
      <c r="D456" s="22" t="s">
        <v>19</v>
      </c>
      <c r="E456" s="22" t="s">
        <v>20</v>
      </c>
      <c r="F456" s="22" t="s">
        <v>96</v>
      </c>
      <c r="G456" s="22" t="s">
        <v>113</v>
      </c>
      <c r="H456" s="22" t="s">
        <v>114</v>
      </c>
      <c r="I456" s="22" t="s">
        <v>45</v>
      </c>
      <c r="J456" s="22" t="s">
        <v>116</v>
      </c>
      <c r="K456" s="22" t="s">
        <v>26</v>
      </c>
      <c r="L456" s="22">
        <v>10</v>
      </c>
      <c r="M456" s="22">
        <v>7900</v>
      </c>
      <c r="N456" s="22">
        <v>0.1</v>
      </c>
      <c r="O456" s="22">
        <v>71100</v>
      </c>
      <c r="P456" s="22">
        <v>47767.61</v>
      </c>
      <c r="Q456" s="22">
        <v>23332.39</v>
      </c>
      <c r="R456" s="22" t="s">
        <v>77</v>
      </c>
    </row>
    <row r="457" hidden="1" spans="1:18">
      <c r="A457" s="22" t="s">
        <v>591</v>
      </c>
      <c r="B457" s="23">
        <v>44327</v>
      </c>
      <c r="C457" s="24">
        <f t="shared" si="7"/>
        <v>5</v>
      </c>
      <c r="D457" s="22" t="s">
        <v>90</v>
      </c>
      <c r="E457" s="22" t="s">
        <v>213</v>
      </c>
      <c r="F457" s="22" t="s">
        <v>21</v>
      </c>
      <c r="G457" s="22" t="s">
        <v>70</v>
      </c>
      <c r="H457" s="22" t="s">
        <v>71</v>
      </c>
      <c r="I457" s="22" t="s">
        <v>45</v>
      </c>
      <c r="J457" s="22" t="s">
        <v>34</v>
      </c>
      <c r="K457" s="22" t="s">
        <v>26</v>
      </c>
      <c r="L457" s="22">
        <v>1</v>
      </c>
      <c r="M457" s="22">
        <v>31700</v>
      </c>
      <c r="N457" s="22">
        <v>0</v>
      </c>
      <c r="O457" s="22">
        <v>31700</v>
      </c>
      <c r="P457" s="22">
        <v>24165.04</v>
      </c>
      <c r="Q457" s="22">
        <v>7534.96</v>
      </c>
      <c r="R457" s="22" t="s">
        <v>27</v>
      </c>
    </row>
    <row r="458" hidden="1" spans="1:18">
      <c r="A458" s="22" t="s">
        <v>592</v>
      </c>
      <c r="B458" s="23">
        <v>44312</v>
      </c>
      <c r="C458" s="24">
        <f t="shared" si="7"/>
        <v>4</v>
      </c>
      <c r="D458" s="22" t="s">
        <v>19</v>
      </c>
      <c r="E458" s="22" t="s">
        <v>20</v>
      </c>
      <c r="F458" s="22" t="s">
        <v>60</v>
      </c>
      <c r="G458" s="22" t="s">
        <v>93</v>
      </c>
      <c r="H458" s="22" t="s">
        <v>94</v>
      </c>
      <c r="I458" s="22" t="s">
        <v>24</v>
      </c>
      <c r="J458" s="22" t="s">
        <v>88</v>
      </c>
      <c r="K458" s="22" t="s">
        <v>53</v>
      </c>
      <c r="L458" s="22">
        <v>7</v>
      </c>
      <c r="M458" s="22">
        <v>14400</v>
      </c>
      <c r="N458" s="22">
        <v>0</v>
      </c>
      <c r="O458" s="22">
        <v>100800</v>
      </c>
      <c r="P458" s="22">
        <v>81044.94</v>
      </c>
      <c r="Q458" s="22">
        <v>19755.06</v>
      </c>
      <c r="R458" s="22" t="s">
        <v>77</v>
      </c>
    </row>
    <row r="459" hidden="1" spans="1:18">
      <c r="A459" s="22" t="s">
        <v>593</v>
      </c>
      <c r="B459" s="23">
        <v>44065</v>
      </c>
      <c r="C459" s="24">
        <f t="shared" si="7"/>
        <v>8</v>
      </c>
      <c r="D459" s="22" t="s">
        <v>85</v>
      </c>
      <c r="E459" s="22" t="s">
        <v>30</v>
      </c>
      <c r="F459" s="22" t="s">
        <v>60</v>
      </c>
      <c r="G459" s="22" t="s">
        <v>93</v>
      </c>
      <c r="H459" s="22" t="s">
        <v>101</v>
      </c>
      <c r="I459" s="22" t="s">
        <v>45</v>
      </c>
      <c r="J459" s="22" t="s">
        <v>88</v>
      </c>
      <c r="K459" s="22" t="s">
        <v>26</v>
      </c>
      <c r="L459" s="22">
        <v>3</v>
      </c>
      <c r="M459" s="22">
        <v>3800</v>
      </c>
      <c r="N459" s="22">
        <v>0</v>
      </c>
      <c r="O459" s="22">
        <v>11400</v>
      </c>
      <c r="P459" s="22">
        <v>9171.85</v>
      </c>
      <c r="Q459" s="22">
        <v>2228.15</v>
      </c>
      <c r="R459" s="22" t="s">
        <v>35</v>
      </c>
    </row>
    <row r="460" hidden="1" spans="1:18">
      <c r="A460" s="22" t="s">
        <v>594</v>
      </c>
      <c r="B460" s="23">
        <v>46079</v>
      </c>
      <c r="C460" s="24">
        <f t="shared" si="7"/>
        <v>2</v>
      </c>
      <c r="D460" s="22" t="s">
        <v>103</v>
      </c>
      <c r="E460" s="22" t="s">
        <v>213</v>
      </c>
      <c r="F460" s="22" t="s">
        <v>31</v>
      </c>
      <c r="G460" s="22" t="s">
        <v>66</v>
      </c>
      <c r="H460" s="22" t="s">
        <v>244</v>
      </c>
      <c r="I460" s="22" t="s">
        <v>45</v>
      </c>
      <c r="J460" s="22" t="s">
        <v>25</v>
      </c>
      <c r="K460" s="22" t="s">
        <v>53</v>
      </c>
      <c r="L460" s="22">
        <v>6</v>
      </c>
      <c r="M460" s="22">
        <v>23500</v>
      </c>
      <c r="N460" s="22">
        <v>0.15</v>
      </c>
      <c r="O460" s="22">
        <v>119850</v>
      </c>
      <c r="P460" s="22">
        <v>80452.43</v>
      </c>
      <c r="Q460" s="22">
        <v>39397.57</v>
      </c>
      <c r="R460" s="22" t="s">
        <v>27</v>
      </c>
    </row>
    <row r="461" hidden="1" spans="1:18">
      <c r="A461" s="22" t="s">
        <v>595</v>
      </c>
      <c r="B461" s="23">
        <v>44216</v>
      </c>
      <c r="C461" s="24">
        <f t="shared" si="7"/>
        <v>1</v>
      </c>
      <c r="D461" s="22" t="s">
        <v>79</v>
      </c>
      <c r="E461" s="22" t="s">
        <v>213</v>
      </c>
      <c r="F461" s="22" t="s">
        <v>96</v>
      </c>
      <c r="G461" s="22" t="s">
        <v>113</v>
      </c>
      <c r="H461" s="22" t="s">
        <v>119</v>
      </c>
      <c r="I461" s="22" t="s">
        <v>51</v>
      </c>
      <c r="J461" s="22" t="s">
        <v>40</v>
      </c>
      <c r="K461" s="22" t="s">
        <v>47</v>
      </c>
      <c r="L461" s="22">
        <v>4</v>
      </c>
      <c r="M461" s="22">
        <v>47700</v>
      </c>
      <c r="N461" s="22">
        <v>0.2</v>
      </c>
      <c r="O461" s="22">
        <v>152640</v>
      </c>
      <c r="P461" s="22">
        <v>107032.69</v>
      </c>
      <c r="Q461" s="22">
        <v>45607.31</v>
      </c>
      <c r="R461" s="22" t="s">
        <v>35</v>
      </c>
    </row>
    <row r="462" hidden="1" spans="1:18">
      <c r="A462" s="22" t="s">
        <v>596</v>
      </c>
      <c r="B462" s="23">
        <v>44659</v>
      </c>
      <c r="C462" s="24">
        <f t="shared" si="7"/>
        <v>4</v>
      </c>
      <c r="D462" s="22" t="s">
        <v>37</v>
      </c>
      <c r="E462" s="22" t="s">
        <v>213</v>
      </c>
      <c r="F462" s="22" t="s">
        <v>96</v>
      </c>
      <c r="G462" s="22" t="s">
        <v>97</v>
      </c>
      <c r="H462" s="22" t="s">
        <v>98</v>
      </c>
      <c r="I462" s="22" t="s">
        <v>24</v>
      </c>
      <c r="J462" s="22" t="s">
        <v>73</v>
      </c>
      <c r="K462" s="22" t="s">
        <v>53</v>
      </c>
      <c r="L462" s="22">
        <v>9</v>
      </c>
      <c r="M462" s="22">
        <v>12600</v>
      </c>
      <c r="N462" s="22">
        <v>0.2</v>
      </c>
      <c r="O462" s="22">
        <v>90720</v>
      </c>
      <c r="P462" s="22">
        <v>61235.46</v>
      </c>
      <c r="Q462" s="22">
        <v>29484.54</v>
      </c>
      <c r="R462" s="22" t="s">
        <v>58</v>
      </c>
    </row>
    <row r="463" hidden="1" spans="1:18">
      <c r="A463" s="22" t="s">
        <v>597</v>
      </c>
      <c r="B463" s="23">
        <v>45713</v>
      </c>
      <c r="C463" s="24">
        <f t="shared" si="7"/>
        <v>2</v>
      </c>
      <c r="D463" s="22" t="s">
        <v>103</v>
      </c>
      <c r="E463" s="22" t="s">
        <v>30</v>
      </c>
      <c r="F463" s="22" t="s">
        <v>55</v>
      </c>
      <c r="G463" s="22" t="s">
        <v>56</v>
      </c>
      <c r="H463" s="22" t="s">
        <v>154</v>
      </c>
      <c r="I463" s="22" t="s">
        <v>24</v>
      </c>
      <c r="J463" s="22" t="s">
        <v>34</v>
      </c>
      <c r="K463" s="22" t="s">
        <v>47</v>
      </c>
      <c r="L463" s="22">
        <v>5</v>
      </c>
      <c r="M463" s="22">
        <v>4200</v>
      </c>
      <c r="N463" s="22">
        <v>0.15</v>
      </c>
      <c r="O463" s="22">
        <v>17850</v>
      </c>
      <c r="P463" s="22">
        <v>14417.68</v>
      </c>
      <c r="Q463" s="22">
        <v>3432.32</v>
      </c>
      <c r="R463" s="22" t="s">
        <v>35</v>
      </c>
    </row>
    <row r="464" hidden="1" spans="1:18">
      <c r="A464" s="22" t="s">
        <v>598</v>
      </c>
      <c r="B464" s="23">
        <v>43964</v>
      </c>
      <c r="C464" s="24">
        <f t="shared" si="7"/>
        <v>5</v>
      </c>
      <c r="D464" s="22" t="s">
        <v>75</v>
      </c>
      <c r="E464" s="22" t="s">
        <v>213</v>
      </c>
      <c r="F464" s="22" t="s">
        <v>31</v>
      </c>
      <c r="G464" s="22" t="s">
        <v>43</v>
      </c>
      <c r="H464" s="22" t="s">
        <v>91</v>
      </c>
      <c r="I464" s="22" t="s">
        <v>45</v>
      </c>
      <c r="J464" s="22" t="s">
        <v>40</v>
      </c>
      <c r="K464" s="22" t="s">
        <v>47</v>
      </c>
      <c r="L464" s="22">
        <v>1</v>
      </c>
      <c r="M464" s="22">
        <v>24900</v>
      </c>
      <c r="N464" s="22">
        <v>0.05</v>
      </c>
      <c r="O464" s="22">
        <v>23655</v>
      </c>
      <c r="P464" s="22">
        <v>19457.47</v>
      </c>
      <c r="Q464" s="22">
        <v>4197.53</v>
      </c>
      <c r="R464" s="22" t="s">
        <v>58</v>
      </c>
    </row>
    <row r="465" hidden="1" spans="1:18">
      <c r="A465" s="22" t="s">
        <v>599</v>
      </c>
      <c r="B465" s="23">
        <v>43673</v>
      </c>
      <c r="C465" s="24">
        <f t="shared" si="7"/>
        <v>7</v>
      </c>
      <c r="D465" s="22" t="s">
        <v>19</v>
      </c>
      <c r="E465" s="22" t="s">
        <v>20</v>
      </c>
      <c r="F465" s="22" t="s">
        <v>31</v>
      </c>
      <c r="G465" s="22" t="s">
        <v>172</v>
      </c>
      <c r="H465" s="22" t="s">
        <v>173</v>
      </c>
      <c r="I465" s="22" t="s">
        <v>24</v>
      </c>
      <c r="J465" s="22" t="s">
        <v>124</v>
      </c>
      <c r="K465" s="22" t="s">
        <v>26</v>
      </c>
      <c r="L465" s="22">
        <v>4</v>
      </c>
      <c r="M465" s="22">
        <v>17300</v>
      </c>
      <c r="N465" s="22">
        <v>0</v>
      </c>
      <c r="O465" s="22">
        <v>69200</v>
      </c>
      <c r="P465" s="22">
        <v>55421.6</v>
      </c>
      <c r="Q465" s="22">
        <v>13778.4</v>
      </c>
      <c r="R465" s="22" t="s">
        <v>58</v>
      </c>
    </row>
    <row r="466" hidden="1" spans="1:18">
      <c r="A466" s="22" t="s">
        <v>600</v>
      </c>
      <c r="B466" s="23">
        <v>45675</v>
      </c>
      <c r="C466" s="24">
        <f t="shared" si="7"/>
        <v>1</v>
      </c>
      <c r="D466" s="22" t="s">
        <v>69</v>
      </c>
      <c r="E466" s="22" t="s">
        <v>30</v>
      </c>
      <c r="F466" s="22" t="s">
        <v>60</v>
      </c>
      <c r="G466" s="22" t="s">
        <v>61</v>
      </c>
      <c r="H466" s="22" t="s">
        <v>188</v>
      </c>
      <c r="I466" s="22" t="s">
        <v>51</v>
      </c>
      <c r="J466" s="22" t="s">
        <v>40</v>
      </c>
      <c r="K466" s="22" t="s">
        <v>26</v>
      </c>
      <c r="L466" s="22">
        <v>2</v>
      </c>
      <c r="M466" s="22">
        <v>1800</v>
      </c>
      <c r="N466" s="22">
        <v>0.1</v>
      </c>
      <c r="O466" s="22">
        <v>3240</v>
      </c>
      <c r="P466" s="22">
        <v>2515.6</v>
      </c>
      <c r="Q466" s="22">
        <v>724.4</v>
      </c>
      <c r="R466" s="22" t="s">
        <v>77</v>
      </c>
    </row>
    <row r="467" hidden="1" spans="1:18">
      <c r="A467" s="22" t="s">
        <v>601</v>
      </c>
      <c r="B467" s="23">
        <v>45845</v>
      </c>
      <c r="C467" s="24">
        <f t="shared" si="7"/>
        <v>7</v>
      </c>
      <c r="D467" s="22" t="s">
        <v>42</v>
      </c>
      <c r="E467" s="22" t="s">
        <v>213</v>
      </c>
      <c r="F467" s="22" t="s">
        <v>31</v>
      </c>
      <c r="G467" s="22" t="s">
        <v>66</v>
      </c>
      <c r="H467" s="22" t="s">
        <v>67</v>
      </c>
      <c r="I467" s="22" t="s">
        <v>51</v>
      </c>
      <c r="J467" s="22" t="s">
        <v>88</v>
      </c>
      <c r="K467" s="22" t="s">
        <v>47</v>
      </c>
      <c r="L467" s="22">
        <v>10</v>
      </c>
      <c r="M467" s="22">
        <v>51100</v>
      </c>
      <c r="N467" s="22">
        <v>0.1</v>
      </c>
      <c r="O467" s="22">
        <v>459900</v>
      </c>
      <c r="P467" s="22">
        <v>293350.03</v>
      </c>
      <c r="Q467" s="22">
        <v>166549.97</v>
      </c>
      <c r="R467" s="22" t="s">
        <v>48</v>
      </c>
    </row>
    <row r="468" hidden="1" spans="1:18">
      <c r="A468" s="22" t="s">
        <v>602</v>
      </c>
      <c r="B468" s="23">
        <v>43214</v>
      </c>
      <c r="C468" s="24">
        <f t="shared" si="7"/>
        <v>4</v>
      </c>
      <c r="D468" s="22" t="s">
        <v>19</v>
      </c>
      <c r="E468" s="22" t="s">
        <v>20</v>
      </c>
      <c r="F468" s="22" t="s">
        <v>60</v>
      </c>
      <c r="G468" s="22" t="s">
        <v>93</v>
      </c>
      <c r="H468" s="22" t="s">
        <v>94</v>
      </c>
      <c r="I468" s="22" t="s">
        <v>45</v>
      </c>
      <c r="J468" s="22" t="s">
        <v>25</v>
      </c>
      <c r="K468" s="22" t="s">
        <v>53</v>
      </c>
      <c r="L468" s="22">
        <v>7</v>
      </c>
      <c r="M468" s="22">
        <v>20800</v>
      </c>
      <c r="N468" s="22">
        <v>0</v>
      </c>
      <c r="O468" s="22">
        <v>145600</v>
      </c>
      <c r="P468" s="22">
        <v>107408.05</v>
      </c>
      <c r="Q468" s="22">
        <v>38191.95</v>
      </c>
      <c r="R468" s="22" t="s">
        <v>35</v>
      </c>
    </row>
    <row r="469" hidden="1" spans="1:18">
      <c r="A469" s="22" t="s">
        <v>603</v>
      </c>
      <c r="B469" s="23">
        <v>43123</v>
      </c>
      <c r="C469" s="24">
        <f t="shared" si="7"/>
        <v>1</v>
      </c>
      <c r="D469" s="22" t="s">
        <v>29</v>
      </c>
      <c r="E469" s="22" t="s">
        <v>30</v>
      </c>
      <c r="F469" s="22" t="s">
        <v>31</v>
      </c>
      <c r="G469" s="22" t="s">
        <v>172</v>
      </c>
      <c r="H469" s="22" t="s">
        <v>269</v>
      </c>
      <c r="I469" s="22" t="s">
        <v>51</v>
      </c>
      <c r="J469" s="22" t="s">
        <v>40</v>
      </c>
      <c r="K469" s="22" t="s">
        <v>26</v>
      </c>
      <c r="L469" s="22">
        <v>1</v>
      </c>
      <c r="M469" s="22">
        <v>10400</v>
      </c>
      <c r="N469" s="22">
        <v>0</v>
      </c>
      <c r="O469" s="22">
        <v>10400</v>
      </c>
      <c r="P469" s="22">
        <v>8064.18</v>
      </c>
      <c r="Q469" s="22">
        <v>2335.82</v>
      </c>
      <c r="R469" s="22" t="s">
        <v>77</v>
      </c>
    </row>
    <row r="470" hidden="1" spans="1:18">
      <c r="A470" s="22" t="s">
        <v>604</v>
      </c>
      <c r="B470" s="23">
        <v>43224</v>
      </c>
      <c r="C470" s="24">
        <f t="shared" si="7"/>
        <v>5</v>
      </c>
      <c r="D470" s="22" t="s">
        <v>79</v>
      </c>
      <c r="E470" s="22" t="s">
        <v>213</v>
      </c>
      <c r="F470" s="22" t="s">
        <v>21</v>
      </c>
      <c r="G470" s="22" t="s">
        <v>167</v>
      </c>
      <c r="H470" s="22" t="s">
        <v>254</v>
      </c>
      <c r="I470" s="22" t="s">
        <v>45</v>
      </c>
      <c r="J470" s="22" t="s">
        <v>25</v>
      </c>
      <c r="K470" s="22" t="s">
        <v>26</v>
      </c>
      <c r="L470" s="22">
        <v>6</v>
      </c>
      <c r="M470" s="22">
        <v>74500</v>
      </c>
      <c r="N470" s="22">
        <v>0.2</v>
      </c>
      <c r="O470" s="22">
        <v>357600</v>
      </c>
      <c r="P470" s="22">
        <v>232491.71</v>
      </c>
      <c r="Q470" s="22">
        <v>125108.29</v>
      </c>
      <c r="R470" s="22" t="s">
        <v>58</v>
      </c>
    </row>
    <row r="471" hidden="1" spans="1:18">
      <c r="A471" s="22" t="s">
        <v>605</v>
      </c>
      <c r="B471" s="23">
        <v>43278</v>
      </c>
      <c r="C471" s="24">
        <f t="shared" si="7"/>
        <v>6</v>
      </c>
      <c r="D471" s="22" t="s">
        <v>37</v>
      </c>
      <c r="E471" s="22" t="s">
        <v>213</v>
      </c>
      <c r="F471" s="22" t="s">
        <v>96</v>
      </c>
      <c r="G471" s="22" t="s">
        <v>113</v>
      </c>
      <c r="H471" s="22" t="s">
        <v>114</v>
      </c>
      <c r="I471" s="22" t="s">
        <v>24</v>
      </c>
      <c r="J471" s="22" t="s">
        <v>170</v>
      </c>
      <c r="K471" s="22" t="s">
        <v>26</v>
      </c>
      <c r="L471" s="22">
        <v>4</v>
      </c>
      <c r="M471" s="22">
        <v>30000</v>
      </c>
      <c r="N471" s="22">
        <v>0.1</v>
      </c>
      <c r="O471" s="22">
        <v>108000</v>
      </c>
      <c r="P471" s="22">
        <v>79720.1</v>
      </c>
      <c r="Q471" s="22">
        <v>28279.9</v>
      </c>
      <c r="R471" s="22" t="s">
        <v>35</v>
      </c>
    </row>
    <row r="472" hidden="1" spans="1:18">
      <c r="A472" s="22" t="s">
        <v>606</v>
      </c>
      <c r="B472" s="23">
        <v>43148</v>
      </c>
      <c r="C472" s="24">
        <f t="shared" si="7"/>
        <v>2</v>
      </c>
      <c r="D472" s="22" t="s">
        <v>90</v>
      </c>
      <c r="E472" s="22" t="s">
        <v>213</v>
      </c>
      <c r="F472" s="22" t="s">
        <v>60</v>
      </c>
      <c r="G472" s="22" t="s">
        <v>93</v>
      </c>
      <c r="H472" s="22" t="s">
        <v>94</v>
      </c>
      <c r="I472" s="22" t="s">
        <v>51</v>
      </c>
      <c r="J472" s="22" t="s">
        <v>63</v>
      </c>
      <c r="K472" s="22" t="s">
        <v>53</v>
      </c>
      <c r="L472" s="22">
        <v>8</v>
      </c>
      <c r="M472" s="22">
        <v>16000</v>
      </c>
      <c r="N472" s="22">
        <v>0.1</v>
      </c>
      <c r="O472" s="22">
        <v>115200</v>
      </c>
      <c r="P472" s="22">
        <v>74562.75</v>
      </c>
      <c r="Q472" s="22">
        <v>40637.25</v>
      </c>
      <c r="R472" s="22" t="s">
        <v>27</v>
      </c>
    </row>
    <row r="473" hidden="1" spans="1:18">
      <c r="A473" s="22" t="s">
        <v>607</v>
      </c>
      <c r="B473" s="23">
        <v>43255</v>
      </c>
      <c r="C473" s="24">
        <f t="shared" si="7"/>
        <v>6</v>
      </c>
      <c r="D473" s="22" t="s">
        <v>19</v>
      </c>
      <c r="E473" s="22" t="s">
        <v>20</v>
      </c>
      <c r="F473" s="22" t="s">
        <v>96</v>
      </c>
      <c r="G473" s="22" t="s">
        <v>97</v>
      </c>
      <c r="H473" s="22" t="s">
        <v>98</v>
      </c>
      <c r="I473" s="22" t="s">
        <v>24</v>
      </c>
      <c r="J473" s="22" t="s">
        <v>124</v>
      </c>
      <c r="K473" s="22" t="s">
        <v>53</v>
      </c>
      <c r="L473" s="22">
        <v>1</v>
      </c>
      <c r="M473" s="22">
        <v>11400</v>
      </c>
      <c r="N473" s="22">
        <v>0.15</v>
      </c>
      <c r="O473" s="22">
        <v>9690</v>
      </c>
      <c r="P473" s="22">
        <v>6367.67</v>
      </c>
      <c r="Q473" s="22">
        <v>3322.33</v>
      </c>
      <c r="R473" s="22" t="s">
        <v>77</v>
      </c>
    </row>
    <row r="474" hidden="1" spans="1:18">
      <c r="A474" s="22" t="s">
        <v>608</v>
      </c>
      <c r="B474" s="23">
        <v>45722</v>
      </c>
      <c r="C474" s="24">
        <f t="shared" si="7"/>
        <v>3</v>
      </c>
      <c r="D474" s="22" t="s">
        <v>103</v>
      </c>
      <c r="E474" s="22" t="s">
        <v>20</v>
      </c>
      <c r="F474" s="22" t="s">
        <v>21</v>
      </c>
      <c r="G474" s="22" t="s">
        <v>122</v>
      </c>
      <c r="H474" s="22" t="s">
        <v>156</v>
      </c>
      <c r="I474" s="22" t="s">
        <v>51</v>
      </c>
      <c r="J474" s="22" t="s">
        <v>99</v>
      </c>
      <c r="K474" s="22" t="s">
        <v>53</v>
      </c>
      <c r="L474" s="22">
        <v>7</v>
      </c>
      <c r="M474" s="22">
        <v>27600</v>
      </c>
      <c r="N474" s="22">
        <v>0.1</v>
      </c>
      <c r="O474" s="22">
        <v>173880</v>
      </c>
      <c r="P474" s="22">
        <v>127074.26</v>
      </c>
      <c r="Q474" s="22">
        <v>46805.74</v>
      </c>
      <c r="R474" s="22" t="s">
        <v>48</v>
      </c>
    </row>
    <row r="475" hidden="1" spans="1:18">
      <c r="A475" s="22" t="s">
        <v>609</v>
      </c>
      <c r="B475" s="23">
        <v>45659</v>
      </c>
      <c r="C475" s="24">
        <f t="shared" si="7"/>
        <v>1</v>
      </c>
      <c r="D475" s="22" t="s">
        <v>79</v>
      </c>
      <c r="E475" s="22" t="s">
        <v>213</v>
      </c>
      <c r="F475" s="22" t="s">
        <v>96</v>
      </c>
      <c r="G475" s="22" t="s">
        <v>97</v>
      </c>
      <c r="H475" s="22" t="s">
        <v>147</v>
      </c>
      <c r="I475" s="22" t="s">
        <v>45</v>
      </c>
      <c r="J475" s="22" t="s">
        <v>73</v>
      </c>
      <c r="K475" s="22" t="s">
        <v>53</v>
      </c>
      <c r="L475" s="22">
        <v>6</v>
      </c>
      <c r="M475" s="22">
        <v>54300</v>
      </c>
      <c r="N475" s="22">
        <v>0.05</v>
      </c>
      <c r="O475" s="22">
        <v>309510</v>
      </c>
      <c r="P475" s="22">
        <v>237066.01</v>
      </c>
      <c r="Q475" s="22">
        <v>72443.99</v>
      </c>
      <c r="R475" s="22" t="s">
        <v>48</v>
      </c>
    </row>
    <row r="476" hidden="1" spans="1:18">
      <c r="A476" s="22" t="s">
        <v>610</v>
      </c>
      <c r="B476" s="23">
        <v>46072</v>
      </c>
      <c r="C476" s="24">
        <f t="shared" si="7"/>
        <v>2</v>
      </c>
      <c r="D476" s="22" t="s">
        <v>103</v>
      </c>
      <c r="E476" s="22" t="s">
        <v>213</v>
      </c>
      <c r="F476" s="22" t="s">
        <v>31</v>
      </c>
      <c r="G476" s="22" t="s">
        <v>172</v>
      </c>
      <c r="H476" s="22" t="s">
        <v>173</v>
      </c>
      <c r="I476" s="22" t="s">
        <v>45</v>
      </c>
      <c r="J476" s="22" t="s">
        <v>40</v>
      </c>
      <c r="K476" s="22" t="s">
        <v>47</v>
      </c>
      <c r="L476" s="22">
        <v>10</v>
      </c>
      <c r="M476" s="22">
        <v>59100</v>
      </c>
      <c r="N476" s="22">
        <v>0.1</v>
      </c>
      <c r="O476" s="22">
        <v>531900</v>
      </c>
      <c r="P476" s="22">
        <v>429585.74</v>
      </c>
      <c r="Q476" s="22">
        <v>102314.26</v>
      </c>
      <c r="R476" s="22" t="s">
        <v>27</v>
      </c>
    </row>
    <row r="477" hidden="1" spans="1:18">
      <c r="A477" s="22" t="s">
        <v>611</v>
      </c>
      <c r="B477" s="23">
        <v>43965</v>
      </c>
      <c r="C477" s="24">
        <f t="shared" si="7"/>
        <v>5</v>
      </c>
      <c r="D477" s="22" t="s">
        <v>75</v>
      </c>
      <c r="E477" s="22" t="s">
        <v>30</v>
      </c>
      <c r="F477" s="22" t="s">
        <v>60</v>
      </c>
      <c r="G477" s="22" t="s">
        <v>86</v>
      </c>
      <c r="H477" s="22" t="s">
        <v>106</v>
      </c>
      <c r="I477" s="22" t="s">
        <v>45</v>
      </c>
      <c r="J477" s="22" t="s">
        <v>25</v>
      </c>
      <c r="K477" s="22" t="s">
        <v>26</v>
      </c>
      <c r="L477" s="22">
        <v>6</v>
      </c>
      <c r="M477" s="22">
        <v>5200</v>
      </c>
      <c r="N477" s="22">
        <v>0.15</v>
      </c>
      <c r="O477" s="22">
        <v>26520</v>
      </c>
      <c r="P477" s="22">
        <v>18441.21</v>
      </c>
      <c r="Q477" s="22">
        <v>8078.79</v>
      </c>
      <c r="R477" s="22" t="s">
        <v>27</v>
      </c>
    </row>
    <row r="478" hidden="1" spans="1:18">
      <c r="A478" s="22" t="s">
        <v>612</v>
      </c>
      <c r="B478" s="23">
        <v>45691</v>
      </c>
      <c r="C478" s="24">
        <f t="shared" si="7"/>
        <v>2</v>
      </c>
      <c r="D478" s="22" t="s">
        <v>37</v>
      </c>
      <c r="E478" s="22" t="s">
        <v>213</v>
      </c>
      <c r="F478" s="22" t="s">
        <v>60</v>
      </c>
      <c r="G478" s="22" t="s">
        <v>93</v>
      </c>
      <c r="H478" s="22" t="s">
        <v>181</v>
      </c>
      <c r="I478" s="22" t="s">
        <v>24</v>
      </c>
      <c r="J478" s="22" t="s">
        <v>88</v>
      </c>
      <c r="K478" s="22" t="s">
        <v>47</v>
      </c>
      <c r="L478" s="22">
        <v>3</v>
      </c>
      <c r="M478" s="22">
        <v>30500</v>
      </c>
      <c r="N478" s="22">
        <v>0.1</v>
      </c>
      <c r="O478" s="22">
        <v>82350</v>
      </c>
      <c r="P478" s="22">
        <v>67798.43</v>
      </c>
      <c r="Q478" s="22">
        <v>14551.57</v>
      </c>
      <c r="R478" s="22" t="s">
        <v>77</v>
      </c>
    </row>
    <row r="479" hidden="1" spans="1:18">
      <c r="A479" s="22" t="s">
        <v>613</v>
      </c>
      <c r="B479" s="23">
        <v>43749</v>
      </c>
      <c r="C479" s="24">
        <f t="shared" si="7"/>
        <v>10</v>
      </c>
      <c r="D479" s="22" t="s">
        <v>133</v>
      </c>
      <c r="E479" s="22" t="s">
        <v>213</v>
      </c>
      <c r="F479" s="22" t="s">
        <v>31</v>
      </c>
      <c r="G479" s="22" t="s">
        <v>66</v>
      </c>
      <c r="H479" s="22" t="s">
        <v>67</v>
      </c>
      <c r="I479" s="22" t="s">
        <v>24</v>
      </c>
      <c r="J479" s="22" t="s">
        <v>52</v>
      </c>
      <c r="K479" s="22" t="s">
        <v>26</v>
      </c>
      <c r="L479" s="22">
        <v>2</v>
      </c>
      <c r="M479" s="22">
        <v>18000</v>
      </c>
      <c r="N479" s="22">
        <v>0.1</v>
      </c>
      <c r="O479" s="22">
        <v>32400</v>
      </c>
      <c r="P479" s="22">
        <v>21811.82</v>
      </c>
      <c r="Q479" s="22">
        <v>10588.18</v>
      </c>
      <c r="R479" s="22" t="s">
        <v>35</v>
      </c>
    </row>
    <row r="480" hidden="1" spans="1:18">
      <c r="A480" s="22" t="s">
        <v>614</v>
      </c>
      <c r="B480" s="23">
        <v>43247</v>
      </c>
      <c r="C480" s="24">
        <f t="shared" si="7"/>
        <v>5</v>
      </c>
      <c r="D480" s="22" t="s">
        <v>65</v>
      </c>
      <c r="E480" s="22" t="s">
        <v>30</v>
      </c>
      <c r="F480" s="22" t="s">
        <v>60</v>
      </c>
      <c r="G480" s="22" t="s">
        <v>86</v>
      </c>
      <c r="H480" s="22" t="s">
        <v>106</v>
      </c>
      <c r="I480" s="22" t="s">
        <v>45</v>
      </c>
      <c r="J480" s="22" t="s">
        <v>99</v>
      </c>
      <c r="K480" s="22" t="s">
        <v>53</v>
      </c>
      <c r="L480" s="22">
        <v>1</v>
      </c>
      <c r="M480" s="22">
        <v>1000</v>
      </c>
      <c r="N480" s="22">
        <v>0.05</v>
      </c>
      <c r="O480" s="22">
        <v>950</v>
      </c>
      <c r="P480" s="22">
        <v>687.76</v>
      </c>
      <c r="Q480" s="22">
        <v>262.24</v>
      </c>
      <c r="R480" s="22" t="s">
        <v>27</v>
      </c>
    </row>
    <row r="481" hidden="1" spans="1:18">
      <c r="A481" s="22" t="s">
        <v>615</v>
      </c>
      <c r="B481" s="23">
        <v>43145</v>
      </c>
      <c r="C481" s="24">
        <f t="shared" si="7"/>
        <v>2</v>
      </c>
      <c r="D481" s="22" t="s">
        <v>79</v>
      </c>
      <c r="E481" s="22" t="s">
        <v>213</v>
      </c>
      <c r="F481" s="22" t="s">
        <v>55</v>
      </c>
      <c r="G481" s="22" t="s">
        <v>80</v>
      </c>
      <c r="H481" s="22" t="s">
        <v>134</v>
      </c>
      <c r="I481" s="22" t="s">
        <v>45</v>
      </c>
      <c r="J481" s="22" t="s">
        <v>73</v>
      </c>
      <c r="K481" s="22" t="s">
        <v>53</v>
      </c>
      <c r="L481" s="22">
        <v>10</v>
      </c>
      <c r="M481" s="22">
        <v>34000</v>
      </c>
      <c r="N481" s="22">
        <v>0</v>
      </c>
      <c r="O481" s="22">
        <v>340000</v>
      </c>
      <c r="P481" s="22">
        <v>256413.99</v>
      </c>
      <c r="Q481" s="22">
        <v>83586.01</v>
      </c>
      <c r="R481" s="22" t="s">
        <v>58</v>
      </c>
    </row>
    <row r="482" hidden="1" spans="1:18">
      <c r="A482" s="22" t="s">
        <v>616</v>
      </c>
      <c r="B482" s="23">
        <v>46001</v>
      </c>
      <c r="C482" s="24">
        <f t="shared" si="7"/>
        <v>12</v>
      </c>
      <c r="D482" s="22" t="s">
        <v>79</v>
      </c>
      <c r="E482" s="22" t="s">
        <v>213</v>
      </c>
      <c r="F482" s="22" t="s">
        <v>60</v>
      </c>
      <c r="G482" s="22" t="s">
        <v>61</v>
      </c>
      <c r="H482" s="22" t="s">
        <v>188</v>
      </c>
      <c r="I482" s="22" t="s">
        <v>24</v>
      </c>
      <c r="J482" s="22" t="s">
        <v>99</v>
      </c>
      <c r="K482" s="22" t="s">
        <v>47</v>
      </c>
      <c r="L482" s="22">
        <v>9</v>
      </c>
      <c r="M482" s="22">
        <v>15400</v>
      </c>
      <c r="N482" s="22">
        <v>0.05</v>
      </c>
      <c r="O482" s="22">
        <v>131670</v>
      </c>
      <c r="P482" s="22">
        <v>85205.56</v>
      </c>
      <c r="Q482" s="22">
        <v>46464.44</v>
      </c>
      <c r="R482" s="22" t="s">
        <v>58</v>
      </c>
    </row>
    <row r="483" hidden="1" spans="1:18">
      <c r="A483" s="22" t="s">
        <v>617</v>
      </c>
      <c r="B483" s="23">
        <v>44342</v>
      </c>
      <c r="C483" s="24">
        <f t="shared" si="7"/>
        <v>5</v>
      </c>
      <c r="D483" s="22" t="s">
        <v>75</v>
      </c>
      <c r="E483" s="22" t="s">
        <v>30</v>
      </c>
      <c r="F483" s="22" t="s">
        <v>31</v>
      </c>
      <c r="G483" s="22" t="s">
        <v>66</v>
      </c>
      <c r="H483" s="22" t="s">
        <v>316</v>
      </c>
      <c r="I483" s="22" t="s">
        <v>24</v>
      </c>
      <c r="J483" s="22" t="s">
        <v>170</v>
      </c>
      <c r="K483" s="22" t="s">
        <v>53</v>
      </c>
      <c r="L483" s="22">
        <v>5</v>
      </c>
      <c r="M483" s="22">
        <v>2700</v>
      </c>
      <c r="N483" s="22">
        <v>0</v>
      </c>
      <c r="O483" s="22">
        <v>13500</v>
      </c>
      <c r="P483" s="22">
        <v>8610.43</v>
      </c>
      <c r="Q483" s="22">
        <v>4889.57</v>
      </c>
      <c r="R483" s="22" t="s">
        <v>77</v>
      </c>
    </row>
    <row r="484" hidden="1" spans="1:18">
      <c r="A484" s="22" t="s">
        <v>618</v>
      </c>
      <c r="B484" s="23">
        <v>44298</v>
      </c>
      <c r="C484" s="24">
        <f t="shared" si="7"/>
        <v>4</v>
      </c>
      <c r="D484" s="22" t="s">
        <v>65</v>
      </c>
      <c r="E484" s="22" t="s">
        <v>30</v>
      </c>
      <c r="F484" s="22" t="s">
        <v>60</v>
      </c>
      <c r="G484" s="22" t="s">
        <v>61</v>
      </c>
      <c r="H484" s="22" t="s">
        <v>101</v>
      </c>
      <c r="I484" s="22" t="s">
        <v>45</v>
      </c>
      <c r="J484" s="22" t="s">
        <v>34</v>
      </c>
      <c r="K484" s="22" t="s">
        <v>47</v>
      </c>
      <c r="L484" s="22">
        <v>1</v>
      </c>
      <c r="M484" s="22">
        <v>800</v>
      </c>
      <c r="N484" s="22">
        <v>0</v>
      </c>
      <c r="O484" s="22">
        <v>800</v>
      </c>
      <c r="P484" s="22">
        <v>584.35</v>
      </c>
      <c r="Q484" s="22">
        <v>215.65</v>
      </c>
      <c r="R484" s="22" t="s">
        <v>27</v>
      </c>
    </row>
    <row r="485" hidden="1" spans="1:18">
      <c r="A485" s="22" t="s">
        <v>619</v>
      </c>
      <c r="B485" s="23">
        <v>44649</v>
      </c>
      <c r="C485" s="24">
        <f t="shared" si="7"/>
        <v>3</v>
      </c>
      <c r="D485" s="22" t="s">
        <v>85</v>
      </c>
      <c r="E485" s="22" t="s">
        <v>30</v>
      </c>
      <c r="F485" s="22" t="s">
        <v>55</v>
      </c>
      <c r="G485" s="22" t="s">
        <v>56</v>
      </c>
      <c r="H485" s="22" t="s">
        <v>76</v>
      </c>
      <c r="I485" s="22" t="s">
        <v>51</v>
      </c>
      <c r="J485" s="22" t="s">
        <v>46</v>
      </c>
      <c r="K485" s="22" t="s">
        <v>47</v>
      </c>
      <c r="L485" s="22">
        <v>3</v>
      </c>
      <c r="M485" s="22">
        <v>1200</v>
      </c>
      <c r="N485" s="22">
        <v>0.05</v>
      </c>
      <c r="O485" s="22">
        <v>3420</v>
      </c>
      <c r="P485" s="22">
        <v>2640.62</v>
      </c>
      <c r="Q485" s="22">
        <v>779.38</v>
      </c>
      <c r="R485" s="22" t="s">
        <v>35</v>
      </c>
    </row>
    <row r="486" hidden="1" spans="1:18">
      <c r="A486" s="22" t="s">
        <v>620</v>
      </c>
      <c r="B486" s="23">
        <v>44107</v>
      </c>
      <c r="C486" s="24">
        <f t="shared" si="7"/>
        <v>10</v>
      </c>
      <c r="D486" s="22" t="s">
        <v>79</v>
      </c>
      <c r="E486" s="22" t="s">
        <v>213</v>
      </c>
      <c r="F486" s="22" t="s">
        <v>60</v>
      </c>
      <c r="G486" s="22" t="s">
        <v>141</v>
      </c>
      <c r="H486" s="22" t="s">
        <v>200</v>
      </c>
      <c r="I486" s="22" t="s">
        <v>45</v>
      </c>
      <c r="J486" s="22" t="s">
        <v>34</v>
      </c>
      <c r="K486" s="22" t="s">
        <v>47</v>
      </c>
      <c r="L486" s="22">
        <v>1</v>
      </c>
      <c r="M486" s="22">
        <v>33000</v>
      </c>
      <c r="N486" s="22">
        <v>0.05</v>
      </c>
      <c r="O486" s="22">
        <v>31350</v>
      </c>
      <c r="P486" s="22">
        <v>21590.19</v>
      </c>
      <c r="Q486" s="22">
        <v>9759.81</v>
      </c>
      <c r="R486" s="22" t="s">
        <v>35</v>
      </c>
    </row>
    <row r="487" hidden="1" spans="1:18">
      <c r="A487" s="22" t="s">
        <v>621</v>
      </c>
      <c r="B487" s="23">
        <v>44203</v>
      </c>
      <c r="C487" s="24">
        <f t="shared" si="7"/>
        <v>1</v>
      </c>
      <c r="D487" s="22" t="s">
        <v>42</v>
      </c>
      <c r="E487" s="22" t="s">
        <v>213</v>
      </c>
      <c r="F487" s="22" t="s">
        <v>55</v>
      </c>
      <c r="G487" s="22" t="s">
        <v>56</v>
      </c>
      <c r="H487" s="22" t="s">
        <v>57</v>
      </c>
      <c r="I487" s="22" t="s">
        <v>51</v>
      </c>
      <c r="J487" s="22" t="s">
        <v>88</v>
      </c>
      <c r="K487" s="22" t="s">
        <v>47</v>
      </c>
      <c r="L487" s="22">
        <v>7</v>
      </c>
      <c r="M487" s="22">
        <v>57200</v>
      </c>
      <c r="N487" s="22">
        <v>0.1</v>
      </c>
      <c r="O487" s="22">
        <v>360360</v>
      </c>
      <c r="P487" s="22">
        <v>226679.05</v>
      </c>
      <c r="Q487" s="22">
        <v>133680.95</v>
      </c>
      <c r="R487" s="22" t="s">
        <v>58</v>
      </c>
    </row>
    <row r="488" hidden="1" spans="1:18">
      <c r="A488" s="22" t="s">
        <v>622</v>
      </c>
      <c r="B488" s="23">
        <v>43135</v>
      </c>
      <c r="C488" s="24">
        <f t="shared" si="7"/>
        <v>2</v>
      </c>
      <c r="D488" s="22" t="s">
        <v>121</v>
      </c>
      <c r="E488" s="22" t="s">
        <v>213</v>
      </c>
      <c r="F488" s="22" t="s">
        <v>31</v>
      </c>
      <c r="G488" s="22" t="s">
        <v>32</v>
      </c>
      <c r="H488" s="22" t="s">
        <v>33</v>
      </c>
      <c r="I488" s="22" t="s">
        <v>24</v>
      </c>
      <c r="J488" s="22" t="s">
        <v>34</v>
      </c>
      <c r="K488" s="22" t="s">
        <v>53</v>
      </c>
      <c r="L488" s="22">
        <v>7</v>
      </c>
      <c r="M488" s="22">
        <v>69300</v>
      </c>
      <c r="N488" s="22">
        <v>0.1</v>
      </c>
      <c r="O488" s="22">
        <v>436590</v>
      </c>
      <c r="P488" s="22">
        <v>288591.38</v>
      </c>
      <c r="Q488" s="22">
        <v>147998.62</v>
      </c>
      <c r="R488" s="22" t="s">
        <v>35</v>
      </c>
    </row>
    <row r="489" hidden="1" spans="1:18">
      <c r="A489" s="22" t="s">
        <v>623</v>
      </c>
      <c r="B489" s="23">
        <v>43336</v>
      </c>
      <c r="C489" s="24">
        <f t="shared" si="7"/>
        <v>8</v>
      </c>
      <c r="D489" s="22" t="s">
        <v>90</v>
      </c>
      <c r="E489" s="22" t="s">
        <v>213</v>
      </c>
      <c r="F489" s="22" t="s">
        <v>31</v>
      </c>
      <c r="G489" s="22" t="s">
        <v>172</v>
      </c>
      <c r="H489" s="22" t="s">
        <v>286</v>
      </c>
      <c r="I489" s="22" t="s">
        <v>45</v>
      </c>
      <c r="J489" s="22" t="s">
        <v>170</v>
      </c>
      <c r="K489" s="22" t="s">
        <v>53</v>
      </c>
      <c r="L489" s="22">
        <v>4</v>
      </c>
      <c r="M489" s="22">
        <v>19100</v>
      </c>
      <c r="N489" s="22">
        <v>0.2</v>
      </c>
      <c r="O489" s="22">
        <v>61120</v>
      </c>
      <c r="P489" s="22">
        <v>47510.26</v>
      </c>
      <c r="Q489" s="22">
        <v>13609.74</v>
      </c>
      <c r="R489" s="22" t="s">
        <v>77</v>
      </c>
    </row>
    <row r="490" hidden="1" spans="1:18">
      <c r="A490" s="22" t="s">
        <v>624</v>
      </c>
      <c r="B490" s="23">
        <v>43186</v>
      </c>
      <c r="C490" s="24">
        <f t="shared" si="7"/>
        <v>3</v>
      </c>
      <c r="D490" s="22" t="s">
        <v>90</v>
      </c>
      <c r="E490" s="22" t="s">
        <v>213</v>
      </c>
      <c r="F490" s="22" t="s">
        <v>31</v>
      </c>
      <c r="G490" s="22" t="s">
        <v>32</v>
      </c>
      <c r="H490" s="22" t="s">
        <v>33</v>
      </c>
      <c r="I490" s="22" t="s">
        <v>51</v>
      </c>
      <c r="J490" s="22" t="s">
        <v>52</v>
      </c>
      <c r="K490" s="22" t="s">
        <v>47</v>
      </c>
      <c r="L490" s="22">
        <v>8</v>
      </c>
      <c r="M490" s="22">
        <v>34500</v>
      </c>
      <c r="N490" s="22">
        <v>0.1</v>
      </c>
      <c r="O490" s="22">
        <v>248400</v>
      </c>
      <c r="P490" s="22">
        <v>181931.53</v>
      </c>
      <c r="Q490" s="22">
        <v>66468.47</v>
      </c>
      <c r="R490" s="22" t="s">
        <v>27</v>
      </c>
    </row>
    <row r="491" hidden="1" spans="1:18">
      <c r="A491" s="22" t="s">
        <v>625</v>
      </c>
      <c r="B491" s="23">
        <v>43164</v>
      </c>
      <c r="C491" s="24">
        <f t="shared" si="7"/>
        <v>3</v>
      </c>
      <c r="D491" s="22" t="s">
        <v>37</v>
      </c>
      <c r="E491" s="22" t="s">
        <v>213</v>
      </c>
      <c r="F491" s="22" t="s">
        <v>55</v>
      </c>
      <c r="G491" s="22" t="s">
        <v>80</v>
      </c>
      <c r="H491" s="22" t="s">
        <v>134</v>
      </c>
      <c r="I491" s="22" t="s">
        <v>51</v>
      </c>
      <c r="J491" s="22" t="s">
        <v>63</v>
      </c>
      <c r="K491" s="22" t="s">
        <v>53</v>
      </c>
      <c r="L491" s="22">
        <v>3</v>
      </c>
      <c r="M491" s="22">
        <v>21800</v>
      </c>
      <c r="N491" s="22">
        <v>0.1</v>
      </c>
      <c r="O491" s="22">
        <v>58860</v>
      </c>
      <c r="P491" s="22">
        <v>47571.9</v>
      </c>
      <c r="Q491" s="22">
        <v>11288.1</v>
      </c>
      <c r="R491" s="22" t="s">
        <v>77</v>
      </c>
    </row>
    <row r="492" hidden="1" spans="1:18">
      <c r="A492" s="22" t="s">
        <v>626</v>
      </c>
      <c r="B492" s="23">
        <v>43788</v>
      </c>
      <c r="C492" s="24">
        <f t="shared" si="7"/>
        <v>11</v>
      </c>
      <c r="D492" s="22" t="s">
        <v>121</v>
      </c>
      <c r="E492" s="22" t="s">
        <v>213</v>
      </c>
      <c r="F492" s="22" t="s">
        <v>55</v>
      </c>
      <c r="G492" s="22" t="s">
        <v>80</v>
      </c>
      <c r="H492" s="22" t="s">
        <v>81</v>
      </c>
      <c r="I492" s="22" t="s">
        <v>45</v>
      </c>
      <c r="J492" s="22" t="s">
        <v>63</v>
      </c>
      <c r="K492" s="22" t="s">
        <v>53</v>
      </c>
      <c r="L492" s="22">
        <v>4</v>
      </c>
      <c r="M492" s="22">
        <v>87600</v>
      </c>
      <c r="N492" s="22">
        <v>0.1</v>
      </c>
      <c r="O492" s="22">
        <v>315360</v>
      </c>
      <c r="P492" s="22">
        <v>222833.32</v>
      </c>
      <c r="Q492" s="22">
        <v>92526.68</v>
      </c>
      <c r="R492" s="22" t="s">
        <v>77</v>
      </c>
    </row>
    <row r="493" hidden="1" spans="1:18">
      <c r="A493" s="22" t="s">
        <v>627</v>
      </c>
      <c r="B493" s="23">
        <v>44034</v>
      </c>
      <c r="C493" s="24">
        <f t="shared" si="7"/>
        <v>7</v>
      </c>
      <c r="D493" s="22" t="s">
        <v>19</v>
      </c>
      <c r="E493" s="22" t="s">
        <v>20</v>
      </c>
      <c r="F493" s="22" t="s">
        <v>96</v>
      </c>
      <c r="G493" s="22" t="s">
        <v>113</v>
      </c>
      <c r="H493" s="22" t="s">
        <v>114</v>
      </c>
      <c r="I493" s="22" t="s">
        <v>45</v>
      </c>
      <c r="J493" s="22" t="s">
        <v>73</v>
      </c>
      <c r="K493" s="22" t="s">
        <v>47</v>
      </c>
      <c r="L493" s="22">
        <v>5</v>
      </c>
      <c r="M493" s="22">
        <v>10000</v>
      </c>
      <c r="N493" s="22">
        <v>0.05</v>
      </c>
      <c r="O493" s="22">
        <v>47500</v>
      </c>
      <c r="P493" s="22">
        <v>31179.47</v>
      </c>
      <c r="Q493" s="22">
        <v>16320.53</v>
      </c>
      <c r="R493" s="22" t="s">
        <v>58</v>
      </c>
    </row>
    <row r="494" hidden="1" spans="1:18">
      <c r="A494" s="22" t="s">
        <v>628</v>
      </c>
      <c r="B494" s="23">
        <v>43146</v>
      </c>
      <c r="C494" s="24">
        <f t="shared" si="7"/>
        <v>2</v>
      </c>
      <c r="D494" s="22" t="s">
        <v>79</v>
      </c>
      <c r="E494" s="22" t="s">
        <v>213</v>
      </c>
      <c r="F494" s="22" t="s">
        <v>60</v>
      </c>
      <c r="G494" s="22" t="s">
        <v>141</v>
      </c>
      <c r="H494" s="22" t="s">
        <v>142</v>
      </c>
      <c r="I494" s="22" t="s">
        <v>24</v>
      </c>
      <c r="J494" s="22" t="s">
        <v>63</v>
      </c>
      <c r="K494" s="22" t="s">
        <v>26</v>
      </c>
      <c r="L494" s="22">
        <v>8</v>
      </c>
      <c r="M494" s="22">
        <v>34300</v>
      </c>
      <c r="N494" s="22">
        <v>0.1</v>
      </c>
      <c r="O494" s="22">
        <v>246960</v>
      </c>
      <c r="P494" s="22">
        <v>199727.83</v>
      </c>
      <c r="Q494" s="22">
        <v>47232.17</v>
      </c>
      <c r="R494" s="22" t="s">
        <v>35</v>
      </c>
    </row>
    <row r="495" hidden="1" spans="1:18">
      <c r="A495" s="22" t="s">
        <v>629</v>
      </c>
      <c r="B495" s="23">
        <v>43988</v>
      </c>
      <c r="C495" s="24">
        <f t="shared" si="7"/>
        <v>6</v>
      </c>
      <c r="D495" s="22" t="s">
        <v>75</v>
      </c>
      <c r="E495" s="22" t="s">
        <v>213</v>
      </c>
      <c r="F495" s="22" t="s">
        <v>31</v>
      </c>
      <c r="G495" s="22" t="s">
        <v>172</v>
      </c>
      <c r="H495" s="22" t="s">
        <v>269</v>
      </c>
      <c r="I495" s="22" t="s">
        <v>24</v>
      </c>
      <c r="J495" s="22" t="s">
        <v>46</v>
      </c>
      <c r="K495" s="22" t="s">
        <v>26</v>
      </c>
      <c r="L495" s="22">
        <v>10</v>
      </c>
      <c r="M495" s="22">
        <v>21100</v>
      </c>
      <c r="N495" s="22">
        <v>0.15</v>
      </c>
      <c r="O495" s="22">
        <v>179350</v>
      </c>
      <c r="P495" s="22">
        <v>143219.2</v>
      </c>
      <c r="Q495" s="22">
        <v>36130.8</v>
      </c>
      <c r="R495" s="22" t="s">
        <v>77</v>
      </c>
    </row>
    <row r="496" hidden="1" spans="1:18">
      <c r="A496" s="22" t="s">
        <v>630</v>
      </c>
      <c r="B496" s="23">
        <v>44200</v>
      </c>
      <c r="C496" s="24">
        <f t="shared" si="7"/>
        <v>1</v>
      </c>
      <c r="D496" s="22" t="s">
        <v>37</v>
      </c>
      <c r="E496" s="22" t="s">
        <v>213</v>
      </c>
      <c r="F496" s="22" t="s">
        <v>60</v>
      </c>
      <c r="G496" s="22" t="s">
        <v>86</v>
      </c>
      <c r="H496" s="22" t="s">
        <v>104</v>
      </c>
      <c r="I496" s="22" t="s">
        <v>51</v>
      </c>
      <c r="J496" s="22" t="s">
        <v>116</v>
      </c>
      <c r="K496" s="22" t="s">
        <v>47</v>
      </c>
      <c r="L496" s="22">
        <v>5</v>
      </c>
      <c r="M496" s="22">
        <v>12200</v>
      </c>
      <c r="N496" s="22">
        <v>0</v>
      </c>
      <c r="O496" s="22">
        <v>61000</v>
      </c>
      <c r="P496" s="22">
        <v>47497.6</v>
      </c>
      <c r="Q496" s="22">
        <v>13502.4</v>
      </c>
      <c r="R496" s="22" t="s">
        <v>48</v>
      </c>
    </row>
    <row r="497" hidden="1" spans="1:18">
      <c r="A497" s="22" t="s">
        <v>631</v>
      </c>
      <c r="B497" s="23">
        <v>43137</v>
      </c>
      <c r="C497" s="24">
        <f t="shared" si="7"/>
        <v>2</v>
      </c>
      <c r="D497" s="22" t="s">
        <v>65</v>
      </c>
      <c r="E497" s="22" t="s">
        <v>30</v>
      </c>
      <c r="F497" s="22" t="s">
        <v>55</v>
      </c>
      <c r="G497" s="22" t="s">
        <v>56</v>
      </c>
      <c r="H497" s="22" t="s">
        <v>57</v>
      </c>
      <c r="I497" s="22" t="s">
        <v>24</v>
      </c>
      <c r="J497" s="22" t="s">
        <v>99</v>
      </c>
      <c r="K497" s="22" t="s">
        <v>47</v>
      </c>
      <c r="L497" s="22">
        <v>8</v>
      </c>
      <c r="M497" s="22">
        <v>1200</v>
      </c>
      <c r="N497" s="22">
        <v>0</v>
      </c>
      <c r="O497" s="22">
        <v>9600</v>
      </c>
      <c r="P497" s="22">
        <v>7489.56</v>
      </c>
      <c r="Q497" s="22">
        <v>2110.44</v>
      </c>
      <c r="R497" s="22" t="s">
        <v>35</v>
      </c>
    </row>
    <row r="498" hidden="1" spans="1:18">
      <c r="A498" s="22" t="s">
        <v>632</v>
      </c>
      <c r="B498" s="23">
        <v>43824</v>
      </c>
      <c r="C498" s="24">
        <f t="shared" si="7"/>
        <v>12</v>
      </c>
      <c r="D498" s="22" t="s">
        <v>65</v>
      </c>
      <c r="E498" s="22" t="s">
        <v>30</v>
      </c>
      <c r="F498" s="22" t="s">
        <v>31</v>
      </c>
      <c r="G498" s="22" t="s">
        <v>172</v>
      </c>
      <c r="H498" s="22" t="s">
        <v>269</v>
      </c>
      <c r="I498" s="22" t="s">
        <v>45</v>
      </c>
      <c r="J498" s="22" t="s">
        <v>25</v>
      </c>
      <c r="K498" s="22" t="s">
        <v>47</v>
      </c>
      <c r="L498" s="22">
        <v>5</v>
      </c>
      <c r="M498" s="22">
        <v>800</v>
      </c>
      <c r="N498" s="22">
        <v>0</v>
      </c>
      <c r="O498" s="22">
        <v>4000</v>
      </c>
      <c r="P498" s="22">
        <v>3266.2</v>
      </c>
      <c r="Q498" s="22">
        <v>733.8</v>
      </c>
      <c r="R498" s="22" t="s">
        <v>58</v>
      </c>
    </row>
    <row r="499" hidden="1" spans="1:18">
      <c r="A499" s="22" t="s">
        <v>633</v>
      </c>
      <c r="B499" s="23">
        <v>43207</v>
      </c>
      <c r="C499" s="24">
        <f t="shared" si="7"/>
        <v>4</v>
      </c>
      <c r="D499" s="22" t="s">
        <v>121</v>
      </c>
      <c r="E499" s="22" t="s">
        <v>213</v>
      </c>
      <c r="F499" s="22" t="s">
        <v>55</v>
      </c>
      <c r="G499" s="22" t="s">
        <v>80</v>
      </c>
      <c r="H499" s="22" t="s">
        <v>81</v>
      </c>
      <c r="I499" s="22" t="s">
        <v>51</v>
      </c>
      <c r="J499" s="22" t="s">
        <v>116</v>
      </c>
      <c r="K499" s="22" t="s">
        <v>26</v>
      </c>
      <c r="L499" s="22">
        <v>7</v>
      </c>
      <c r="M499" s="22">
        <v>56600</v>
      </c>
      <c r="N499" s="22">
        <v>0</v>
      </c>
      <c r="O499" s="22">
        <v>396200</v>
      </c>
      <c r="P499" s="22">
        <v>299992.43</v>
      </c>
      <c r="Q499" s="22">
        <v>96207.57</v>
      </c>
      <c r="R499" s="22" t="s">
        <v>35</v>
      </c>
    </row>
    <row r="500" hidden="1" spans="1:18">
      <c r="A500" s="22" t="s">
        <v>634</v>
      </c>
      <c r="B500" s="23">
        <v>44348</v>
      </c>
      <c r="C500" s="24">
        <f t="shared" si="7"/>
        <v>6</v>
      </c>
      <c r="D500" s="22" t="s">
        <v>75</v>
      </c>
      <c r="E500" s="22" t="s">
        <v>213</v>
      </c>
      <c r="F500" s="22" t="s">
        <v>96</v>
      </c>
      <c r="G500" s="22" t="s">
        <v>97</v>
      </c>
      <c r="H500" s="22" t="s">
        <v>289</v>
      </c>
      <c r="I500" s="22" t="s">
        <v>24</v>
      </c>
      <c r="J500" s="22" t="s">
        <v>99</v>
      </c>
      <c r="K500" s="22" t="s">
        <v>53</v>
      </c>
      <c r="L500" s="22">
        <v>7</v>
      </c>
      <c r="M500" s="22">
        <v>70900</v>
      </c>
      <c r="N500" s="22">
        <v>0.05</v>
      </c>
      <c r="O500" s="22">
        <v>471485</v>
      </c>
      <c r="P500" s="22">
        <v>300089.4</v>
      </c>
      <c r="Q500" s="22">
        <v>171395.6</v>
      </c>
      <c r="R500" s="22" t="s">
        <v>48</v>
      </c>
    </row>
    <row r="501" hidden="1" spans="1:18">
      <c r="A501" s="22" t="s">
        <v>635</v>
      </c>
      <c r="B501" s="23">
        <v>45731</v>
      </c>
      <c r="C501" s="24">
        <f t="shared" si="7"/>
        <v>3</v>
      </c>
      <c r="D501" s="22" t="s">
        <v>103</v>
      </c>
      <c r="E501" s="22" t="s">
        <v>30</v>
      </c>
      <c r="F501" s="22" t="s">
        <v>55</v>
      </c>
      <c r="G501" s="22" t="s">
        <v>80</v>
      </c>
      <c r="H501" s="22" t="s">
        <v>81</v>
      </c>
      <c r="I501" s="22" t="s">
        <v>51</v>
      </c>
      <c r="J501" s="22" t="s">
        <v>25</v>
      </c>
      <c r="K501" s="22" t="s">
        <v>47</v>
      </c>
      <c r="L501" s="22">
        <v>10</v>
      </c>
      <c r="M501" s="22">
        <v>2800</v>
      </c>
      <c r="N501" s="22">
        <v>0.15</v>
      </c>
      <c r="O501" s="22">
        <v>23800</v>
      </c>
      <c r="P501" s="22">
        <v>16862.48</v>
      </c>
      <c r="Q501" s="22">
        <v>6937.52</v>
      </c>
      <c r="R501" s="22" t="s">
        <v>58</v>
      </c>
    </row>
    <row r="502" hidden="1" spans="1:18">
      <c r="A502" s="22" t="s">
        <v>636</v>
      </c>
      <c r="B502" s="23">
        <v>43720</v>
      </c>
      <c r="C502" s="24">
        <f t="shared" si="7"/>
        <v>9</v>
      </c>
      <c r="D502" s="22" t="s">
        <v>90</v>
      </c>
      <c r="E502" s="22" t="s">
        <v>213</v>
      </c>
      <c r="F502" s="22" t="s">
        <v>60</v>
      </c>
      <c r="G502" s="22" t="s">
        <v>61</v>
      </c>
      <c r="H502" s="22" t="s">
        <v>101</v>
      </c>
      <c r="I502" s="22" t="s">
        <v>51</v>
      </c>
      <c r="J502" s="22" t="s">
        <v>116</v>
      </c>
      <c r="K502" s="22" t="s">
        <v>47</v>
      </c>
      <c r="L502" s="22">
        <v>4</v>
      </c>
      <c r="M502" s="22">
        <v>26800</v>
      </c>
      <c r="N502" s="22">
        <v>0.1</v>
      </c>
      <c r="O502" s="22">
        <v>96480</v>
      </c>
      <c r="P502" s="22">
        <v>71935.44</v>
      </c>
      <c r="Q502" s="22">
        <v>24544.56</v>
      </c>
      <c r="R502" s="22" t="s">
        <v>77</v>
      </c>
    </row>
    <row r="503" hidden="1" spans="1:18">
      <c r="A503" s="22" t="s">
        <v>637</v>
      </c>
      <c r="B503" s="23">
        <v>43257</v>
      </c>
      <c r="C503" s="24">
        <f t="shared" si="7"/>
        <v>6</v>
      </c>
      <c r="D503" s="22" t="s">
        <v>121</v>
      </c>
      <c r="E503" s="22" t="s">
        <v>213</v>
      </c>
      <c r="F503" s="22" t="s">
        <v>55</v>
      </c>
      <c r="G503" s="22" t="s">
        <v>56</v>
      </c>
      <c r="H503" s="22" t="s">
        <v>76</v>
      </c>
      <c r="I503" s="22" t="s">
        <v>24</v>
      </c>
      <c r="J503" s="22" t="s">
        <v>99</v>
      </c>
      <c r="K503" s="22" t="s">
        <v>53</v>
      </c>
      <c r="L503" s="22">
        <v>2</v>
      </c>
      <c r="M503" s="22">
        <v>93800</v>
      </c>
      <c r="N503" s="22">
        <v>0.15</v>
      </c>
      <c r="O503" s="22">
        <v>159460</v>
      </c>
      <c r="P503" s="22">
        <v>119941.71</v>
      </c>
      <c r="Q503" s="22">
        <v>39518.29</v>
      </c>
      <c r="R503" s="22" t="s">
        <v>48</v>
      </c>
    </row>
    <row r="504" hidden="1" spans="1:18">
      <c r="A504" s="22" t="s">
        <v>638</v>
      </c>
      <c r="B504" s="23">
        <v>43716</v>
      </c>
      <c r="C504" s="24">
        <f t="shared" si="7"/>
        <v>9</v>
      </c>
      <c r="D504" s="22" t="s">
        <v>37</v>
      </c>
      <c r="E504" s="22" t="s">
        <v>213</v>
      </c>
      <c r="F504" s="22" t="s">
        <v>21</v>
      </c>
      <c r="G504" s="22" t="s">
        <v>167</v>
      </c>
      <c r="H504" s="22" t="s">
        <v>254</v>
      </c>
      <c r="I504" s="22" t="s">
        <v>24</v>
      </c>
      <c r="J504" s="22" t="s">
        <v>116</v>
      </c>
      <c r="K504" s="22" t="s">
        <v>53</v>
      </c>
      <c r="L504" s="22">
        <v>6</v>
      </c>
      <c r="M504" s="22">
        <v>13400</v>
      </c>
      <c r="N504" s="22">
        <v>0</v>
      </c>
      <c r="O504" s="22">
        <v>80400</v>
      </c>
      <c r="P504" s="22">
        <v>57261.68</v>
      </c>
      <c r="Q504" s="22">
        <v>23138.32</v>
      </c>
      <c r="R504" s="22" t="s">
        <v>58</v>
      </c>
    </row>
    <row r="505" hidden="1" spans="1:18">
      <c r="A505" s="22" t="s">
        <v>639</v>
      </c>
      <c r="B505" s="23">
        <v>44329</v>
      </c>
      <c r="C505" s="24">
        <f t="shared" si="7"/>
        <v>5</v>
      </c>
      <c r="D505" s="22" t="s">
        <v>65</v>
      </c>
      <c r="E505" s="22" t="s">
        <v>30</v>
      </c>
      <c r="F505" s="22" t="s">
        <v>96</v>
      </c>
      <c r="G505" s="22" t="s">
        <v>97</v>
      </c>
      <c r="H505" s="22" t="s">
        <v>147</v>
      </c>
      <c r="I505" s="22" t="s">
        <v>51</v>
      </c>
      <c r="J505" s="22" t="s">
        <v>34</v>
      </c>
      <c r="K505" s="22" t="s">
        <v>53</v>
      </c>
      <c r="L505" s="22">
        <v>3</v>
      </c>
      <c r="M505" s="22">
        <v>2600</v>
      </c>
      <c r="N505" s="22">
        <v>0.1</v>
      </c>
      <c r="O505" s="22">
        <v>7020</v>
      </c>
      <c r="P505" s="22">
        <v>5147.37</v>
      </c>
      <c r="Q505" s="22">
        <v>1872.63</v>
      </c>
      <c r="R505" s="22" t="s">
        <v>27</v>
      </c>
    </row>
    <row r="506" hidden="1" spans="1:18">
      <c r="A506" s="22" t="s">
        <v>640</v>
      </c>
      <c r="B506" s="23">
        <v>43108</v>
      </c>
      <c r="C506" s="24">
        <f t="shared" si="7"/>
        <v>1</v>
      </c>
      <c r="D506" s="22" t="s">
        <v>121</v>
      </c>
      <c r="E506" s="22" t="s">
        <v>213</v>
      </c>
      <c r="F506" s="22" t="s">
        <v>31</v>
      </c>
      <c r="G506" s="22" t="s">
        <v>43</v>
      </c>
      <c r="H506" s="22" t="s">
        <v>258</v>
      </c>
      <c r="I506" s="22" t="s">
        <v>24</v>
      </c>
      <c r="J506" s="22" t="s">
        <v>73</v>
      </c>
      <c r="K506" s="22" t="s">
        <v>26</v>
      </c>
      <c r="L506" s="22">
        <v>8</v>
      </c>
      <c r="M506" s="22">
        <v>84800</v>
      </c>
      <c r="N506" s="22">
        <v>0.15</v>
      </c>
      <c r="O506" s="22">
        <v>576640</v>
      </c>
      <c r="P506" s="22">
        <v>377889.84</v>
      </c>
      <c r="Q506" s="22">
        <v>198750.16</v>
      </c>
      <c r="R506" s="22" t="s">
        <v>35</v>
      </c>
    </row>
    <row r="507" hidden="1" spans="1:18">
      <c r="A507" s="22" t="s">
        <v>641</v>
      </c>
      <c r="B507" s="23">
        <v>43250</v>
      </c>
      <c r="C507" s="24">
        <f t="shared" si="7"/>
        <v>5</v>
      </c>
      <c r="D507" s="22" t="s">
        <v>65</v>
      </c>
      <c r="E507" s="22" t="s">
        <v>30</v>
      </c>
      <c r="F507" s="22" t="s">
        <v>96</v>
      </c>
      <c r="G507" s="22" t="s">
        <v>113</v>
      </c>
      <c r="H507" s="22" t="s">
        <v>119</v>
      </c>
      <c r="I507" s="22" t="s">
        <v>45</v>
      </c>
      <c r="J507" s="22" t="s">
        <v>99</v>
      </c>
      <c r="K507" s="22" t="s">
        <v>47</v>
      </c>
      <c r="L507" s="22">
        <v>10</v>
      </c>
      <c r="M507" s="22">
        <v>1700</v>
      </c>
      <c r="N507" s="22">
        <v>0.1</v>
      </c>
      <c r="O507" s="22">
        <v>15300</v>
      </c>
      <c r="P507" s="22">
        <v>10840.39</v>
      </c>
      <c r="Q507" s="22">
        <v>4459.61</v>
      </c>
      <c r="R507" s="22" t="s">
        <v>58</v>
      </c>
    </row>
    <row r="508" hidden="1" spans="1:18">
      <c r="A508" s="22" t="s">
        <v>642</v>
      </c>
      <c r="B508" s="23">
        <v>44937</v>
      </c>
      <c r="C508" s="24">
        <f t="shared" si="7"/>
        <v>1</v>
      </c>
      <c r="D508" s="22" t="s">
        <v>29</v>
      </c>
      <c r="E508" s="22" t="s">
        <v>30</v>
      </c>
      <c r="F508" s="22" t="s">
        <v>96</v>
      </c>
      <c r="G508" s="22" t="s">
        <v>97</v>
      </c>
      <c r="H508" s="22" t="s">
        <v>98</v>
      </c>
      <c r="I508" s="22" t="s">
        <v>24</v>
      </c>
      <c r="J508" s="22" t="s">
        <v>25</v>
      </c>
      <c r="K508" s="22" t="s">
        <v>26</v>
      </c>
      <c r="L508" s="22">
        <v>5</v>
      </c>
      <c r="M508" s="22">
        <v>6200</v>
      </c>
      <c r="N508" s="22">
        <v>0</v>
      </c>
      <c r="O508" s="22">
        <v>31000</v>
      </c>
      <c r="P508" s="22">
        <v>25935.34</v>
      </c>
      <c r="Q508" s="22">
        <v>5064.66</v>
      </c>
      <c r="R508" s="22" t="s">
        <v>27</v>
      </c>
    </row>
    <row r="509" hidden="1" spans="1:18">
      <c r="A509" s="22" t="s">
        <v>643</v>
      </c>
      <c r="B509" s="23">
        <v>43101</v>
      </c>
      <c r="C509" s="24">
        <f t="shared" si="7"/>
        <v>1</v>
      </c>
      <c r="D509" s="22" t="s">
        <v>37</v>
      </c>
      <c r="E509" s="22" t="s">
        <v>213</v>
      </c>
      <c r="F509" s="22" t="s">
        <v>96</v>
      </c>
      <c r="G509" s="22" t="s">
        <v>113</v>
      </c>
      <c r="H509" s="22" t="s">
        <v>126</v>
      </c>
      <c r="I509" s="22" t="s">
        <v>24</v>
      </c>
      <c r="J509" s="22" t="s">
        <v>124</v>
      </c>
      <c r="K509" s="22" t="s">
        <v>53</v>
      </c>
      <c r="L509" s="22">
        <v>10</v>
      </c>
      <c r="M509" s="22">
        <v>30200</v>
      </c>
      <c r="N509" s="22">
        <v>0.15</v>
      </c>
      <c r="O509" s="22">
        <v>256700</v>
      </c>
      <c r="P509" s="22">
        <v>164050.67</v>
      </c>
      <c r="Q509" s="22">
        <v>92649.33</v>
      </c>
      <c r="R509" s="22" t="s">
        <v>77</v>
      </c>
    </row>
    <row r="510" hidden="1" spans="1:18">
      <c r="A510" s="22" t="s">
        <v>644</v>
      </c>
      <c r="B510" s="23">
        <v>43267</v>
      </c>
      <c r="C510" s="24">
        <f t="shared" si="7"/>
        <v>6</v>
      </c>
      <c r="D510" s="22" t="s">
        <v>79</v>
      </c>
      <c r="E510" s="22" t="s">
        <v>213</v>
      </c>
      <c r="F510" s="22" t="s">
        <v>31</v>
      </c>
      <c r="G510" s="22" t="s">
        <v>43</v>
      </c>
      <c r="H510" s="22" t="s">
        <v>91</v>
      </c>
      <c r="I510" s="22" t="s">
        <v>51</v>
      </c>
      <c r="J510" s="22" t="s">
        <v>124</v>
      </c>
      <c r="K510" s="22" t="s">
        <v>47</v>
      </c>
      <c r="L510" s="22">
        <v>7</v>
      </c>
      <c r="M510" s="22">
        <v>71500</v>
      </c>
      <c r="N510" s="22">
        <v>0.1</v>
      </c>
      <c r="O510" s="22">
        <v>450450</v>
      </c>
      <c r="P510" s="22">
        <v>315291.97</v>
      </c>
      <c r="Q510" s="22">
        <v>135158.03</v>
      </c>
      <c r="R510" s="22" t="s">
        <v>58</v>
      </c>
    </row>
    <row r="511" hidden="1" spans="1:18">
      <c r="A511" s="22" t="s">
        <v>645</v>
      </c>
      <c r="B511" s="23">
        <v>45728</v>
      </c>
      <c r="C511" s="24">
        <f t="shared" si="7"/>
        <v>3</v>
      </c>
      <c r="D511" s="22" t="s">
        <v>103</v>
      </c>
      <c r="E511" s="22" t="s">
        <v>30</v>
      </c>
      <c r="F511" s="22" t="s">
        <v>96</v>
      </c>
      <c r="G511" s="22" t="s">
        <v>113</v>
      </c>
      <c r="H511" s="22" t="s">
        <v>114</v>
      </c>
      <c r="I511" s="22" t="s">
        <v>24</v>
      </c>
      <c r="J511" s="22" t="s">
        <v>25</v>
      </c>
      <c r="K511" s="22" t="s">
        <v>53</v>
      </c>
      <c r="L511" s="22">
        <v>10</v>
      </c>
      <c r="M511" s="22">
        <v>1400</v>
      </c>
      <c r="N511" s="22">
        <v>0</v>
      </c>
      <c r="O511" s="22">
        <v>14000</v>
      </c>
      <c r="P511" s="22">
        <v>9635.75</v>
      </c>
      <c r="Q511" s="22">
        <v>4364.25</v>
      </c>
      <c r="R511" s="22" t="s">
        <v>48</v>
      </c>
    </row>
    <row r="512" hidden="1" spans="1:18">
      <c r="A512" s="22" t="s">
        <v>646</v>
      </c>
      <c r="B512" s="23">
        <v>45302</v>
      </c>
      <c r="C512" s="24">
        <f t="shared" si="7"/>
        <v>1</v>
      </c>
      <c r="D512" s="22" t="s">
        <v>90</v>
      </c>
      <c r="E512" s="22" t="s">
        <v>213</v>
      </c>
      <c r="F512" s="22" t="s">
        <v>55</v>
      </c>
      <c r="G512" s="22" t="s">
        <v>109</v>
      </c>
      <c r="H512" s="22" t="s">
        <v>178</v>
      </c>
      <c r="I512" s="22" t="s">
        <v>24</v>
      </c>
      <c r="J512" s="22" t="s">
        <v>25</v>
      </c>
      <c r="K512" s="22" t="s">
        <v>47</v>
      </c>
      <c r="L512" s="22">
        <v>8</v>
      </c>
      <c r="M512" s="22">
        <v>23200</v>
      </c>
      <c r="N512" s="22">
        <v>0.05</v>
      </c>
      <c r="O512" s="22">
        <v>176320</v>
      </c>
      <c r="P512" s="22">
        <v>118589.87</v>
      </c>
      <c r="Q512" s="22">
        <v>57730.13</v>
      </c>
      <c r="R512" s="22" t="s">
        <v>27</v>
      </c>
    </row>
    <row r="513" spans="1:18">
      <c r="A513" s="22" t="s">
        <v>647</v>
      </c>
      <c r="B513" s="23">
        <v>43258</v>
      </c>
      <c r="C513" s="24">
        <f t="shared" si="7"/>
        <v>6</v>
      </c>
      <c r="D513" s="22" t="s">
        <v>79</v>
      </c>
      <c r="E513" s="22" t="s">
        <v>38</v>
      </c>
      <c r="F513" s="22" t="s">
        <v>21</v>
      </c>
      <c r="G513" s="22" t="s">
        <v>167</v>
      </c>
      <c r="H513" s="22" t="s">
        <v>254</v>
      </c>
      <c r="I513" s="22" t="s">
        <v>24</v>
      </c>
      <c r="J513" s="22" t="s">
        <v>170</v>
      </c>
      <c r="K513" s="22" t="s">
        <v>26</v>
      </c>
      <c r="L513" s="22">
        <v>9</v>
      </c>
      <c r="M513" s="22">
        <v>34600</v>
      </c>
      <c r="N513" s="22">
        <v>0.15</v>
      </c>
      <c r="O513" s="22">
        <v>264690</v>
      </c>
      <c r="P513" s="22">
        <v>187036.87</v>
      </c>
      <c r="Q513" s="22">
        <v>77653.13</v>
      </c>
      <c r="R513" s="22" t="s">
        <v>77</v>
      </c>
    </row>
    <row r="514" hidden="1" spans="1:18">
      <c r="A514" s="22" t="s">
        <v>648</v>
      </c>
      <c r="B514" s="23">
        <v>44080</v>
      </c>
      <c r="C514" s="24">
        <f t="shared" ref="C514:C577" si="8">MONTH(B514)</f>
        <v>9</v>
      </c>
      <c r="D514" s="22" t="s">
        <v>133</v>
      </c>
      <c r="E514" s="22" t="s">
        <v>213</v>
      </c>
      <c r="F514" s="22" t="s">
        <v>55</v>
      </c>
      <c r="G514" s="22" t="s">
        <v>56</v>
      </c>
      <c r="H514" s="22" t="s">
        <v>57</v>
      </c>
      <c r="I514" s="22" t="s">
        <v>45</v>
      </c>
      <c r="J514" s="22" t="s">
        <v>34</v>
      </c>
      <c r="K514" s="22" t="s">
        <v>26</v>
      </c>
      <c r="L514" s="22">
        <v>10</v>
      </c>
      <c r="M514" s="22">
        <v>10800</v>
      </c>
      <c r="N514" s="22">
        <v>0.1</v>
      </c>
      <c r="O514" s="22">
        <v>97200</v>
      </c>
      <c r="P514" s="22">
        <v>62792.41</v>
      </c>
      <c r="Q514" s="22">
        <v>34407.59</v>
      </c>
      <c r="R514" s="22" t="s">
        <v>35</v>
      </c>
    </row>
    <row r="515" spans="1:18">
      <c r="A515" s="22" t="s">
        <v>649</v>
      </c>
      <c r="B515" s="23">
        <v>43809</v>
      </c>
      <c r="C515" s="24">
        <f t="shared" si="8"/>
        <v>12</v>
      </c>
      <c r="D515" s="22" t="s">
        <v>79</v>
      </c>
      <c r="E515" s="22" t="s">
        <v>38</v>
      </c>
      <c r="F515" s="22" t="s">
        <v>60</v>
      </c>
      <c r="G515" s="22" t="s">
        <v>141</v>
      </c>
      <c r="H515" s="22" t="s">
        <v>183</v>
      </c>
      <c r="I515" s="22" t="s">
        <v>45</v>
      </c>
      <c r="J515" s="22" t="s">
        <v>25</v>
      </c>
      <c r="K515" s="22" t="s">
        <v>53</v>
      </c>
      <c r="L515" s="22">
        <v>7</v>
      </c>
      <c r="M515" s="22">
        <v>40200</v>
      </c>
      <c r="N515" s="22">
        <v>0.1</v>
      </c>
      <c r="O515" s="22">
        <v>253260</v>
      </c>
      <c r="P515" s="22">
        <v>179906.01</v>
      </c>
      <c r="Q515" s="22">
        <v>73353.99</v>
      </c>
      <c r="R515" s="22" t="s">
        <v>58</v>
      </c>
    </row>
    <row r="516" hidden="1" spans="1:18">
      <c r="A516" s="22" t="s">
        <v>650</v>
      </c>
      <c r="B516" s="23">
        <v>43768</v>
      </c>
      <c r="C516" s="24">
        <f t="shared" si="8"/>
        <v>10</v>
      </c>
      <c r="D516" s="22" t="s">
        <v>65</v>
      </c>
      <c r="E516" s="22" t="s">
        <v>30</v>
      </c>
      <c r="F516" s="22" t="s">
        <v>21</v>
      </c>
      <c r="G516" s="22" t="s">
        <v>70</v>
      </c>
      <c r="H516" s="22" t="s">
        <v>83</v>
      </c>
      <c r="I516" s="22" t="s">
        <v>45</v>
      </c>
      <c r="J516" s="22" t="s">
        <v>34</v>
      </c>
      <c r="K516" s="22" t="s">
        <v>53</v>
      </c>
      <c r="L516" s="22">
        <v>7</v>
      </c>
      <c r="M516" s="22">
        <v>2800</v>
      </c>
      <c r="N516" s="22">
        <v>0.1</v>
      </c>
      <c r="O516" s="22">
        <v>17640</v>
      </c>
      <c r="P516" s="22">
        <v>13195.7</v>
      </c>
      <c r="Q516" s="22">
        <v>4444.3</v>
      </c>
      <c r="R516" s="22" t="s">
        <v>77</v>
      </c>
    </row>
    <row r="517" hidden="1" spans="1:18">
      <c r="A517" s="22" t="s">
        <v>651</v>
      </c>
      <c r="B517" s="23">
        <v>43668</v>
      </c>
      <c r="C517" s="24">
        <f t="shared" si="8"/>
        <v>7</v>
      </c>
      <c r="D517" s="22" t="s">
        <v>29</v>
      </c>
      <c r="E517" s="22" t="s">
        <v>30</v>
      </c>
      <c r="F517" s="22" t="s">
        <v>31</v>
      </c>
      <c r="G517" s="22" t="s">
        <v>172</v>
      </c>
      <c r="H517" s="22" t="s">
        <v>269</v>
      </c>
      <c r="I517" s="22" t="s">
        <v>45</v>
      </c>
      <c r="J517" s="22" t="s">
        <v>46</v>
      </c>
      <c r="K517" s="22" t="s">
        <v>26</v>
      </c>
      <c r="L517" s="22">
        <v>7</v>
      </c>
      <c r="M517" s="22">
        <v>5700</v>
      </c>
      <c r="N517" s="22">
        <v>0</v>
      </c>
      <c r="O517" s="22">
        <v>39900</v>
      </c>
      <c r="P517" s="22">
        <v>25004.99</v>
      </c>
      <c r="Q517" s="22">
        <v>14895.01</v>
      </c>
      <c r="R517" s="22" t="s">
        <v>35</v>
      </c>
    </row>
    <row r="518" spans="1:18">
      <c r="A518" s="22" t="s">
        <v>652</v>
      </c>
      <c r="B518" s="23">
        <v>46000</v>
      </c>
      <c r="C518" s="24">
        <f t="shared" si="8"/>
        <v>12</v>
      </c>
      <c r="D518" s="22" t="s">
        <v>79</v>
      </c>
      <c r="E518" s="22" t="s">
        <v>38</v>
      </c>
      <c r="F518" s="22" t="s">
        <v>55</v>
      </c>
      <c r="G518" s="22" t="s">
        <v>109</v>
      </c>
      <c r="H518" s="22" t="s">
        <v>110</v>
      </c>
      <c r="I518" s="22" t="s">
        <v>45</v>
      </c>
      <c r="J518" s="22" t="s">
        <v>170</v>
      </c>
      <c r="K518" s="22" t="s">
        <v>53</v>
      </c>
      <c r="L518" s="22">
        <v>5</v>
      </c>
      <c r="M518" s="22">
        <v>39100</v>
      </c>
      <c r="N518" s="22">
        <v>0.1</v>
      </c>
      <c r="O518" s="22">
        <v>175950</v>
      </c>
      <c r="P518" s="22">
        <v>141583.4</v>
      </c>
      <c r="Q518" s="22">
        <v>34366.6</v>
      </c>
      <c r="R518" s="22" t="s">
        <v>77</v>
      </c>
    </row>
    <row r="519" hidden="1" spans="1:18">
      <c r="A519" s="22" t="s">
        <v>653</v>
      </c>
      <c r="B519" s="23">
        <v>44209</v>
      </c>
      <c r="C519" s="24">
        <f t="shared" si="8"/>
        <v>1</v>
      </c>
      <c r="D519" s="22" t="s">
        <v>29</v>
      </c>
      <c r="E519" s="22" t="s">
        <v>30</v>
      </c>
      <c r="F519" s="22" t="s">
        <v>21</v>
      </c>
      <c r="G519" s="22" t="s">
        <v>122</v>
      </c>
      <c r="H519" s="22" t="s">
        <v>138</v>
      </c>
      <c r="I519" s="22" t="s">
        <v>24</v>
      </c>
      <c r="J519" s="22" t="s">
        <v>25</v>
      </c>
      <c r="K519" s="22" t="s">
        <v>53</v>
      </c>
      <c r="L519" s="22">
        <v>9</v>
      </c>
      <c r="M519" s="22">
        <v>2800</v>
      </c>
      <c r="N519" s="22">
        <v>0.05</v>
      </c>
      <c r="O519" s="22">
        <v>23940</v>
      </c>
      <c r="P519" s="22">
        <v>19793.19</v>
      </c>
      <c r="Q519" s="22">
        <v>4146.81</v>
      </c>
      <c r="R519" s="22" t="s">
        <v>35</v>
      </c>
    </row>
    <row r="520" spans="1:18">
      <c r="A520" s="22" t="s">
        <v>654</v>
      </c>
      <c r="B520" s="23">
        <v>43220</v>
      </c>
      <c r="C520" s="24">
        <f t="shared" si="8"/>
        <v>4</v>
      </c>
      <c r="D520" s="22" t="s">
        <v>79</v>
      </c>
      <c r="E520" s="22" t="s">
        <v>38</v>
      </c>
      <c r="F520" s="22" t="s">
        <v>96</v>
      </c>
      <c r="G520" s="22" t="s">
        <v>113</v>
      </c>
      <c r="H520" s="22" t="s">
        <v>119</v>
      </c>
      <c r="I520" s="22" t="s">
        <v>24</v>
      </c>
      <c r="J520" s="22" t="s">
        <v>46</v>
      </c>
      <c r="K520" s="22" t="s">
        <v>47</v>
      </c>
      <c r="L520" s="22">
        <v>10</v>
      </c>
      <c r="M520" s="22">
        <v>57600</v>
      </c>
      <c r="N520" s="22">
        <v>0.2</v>
      </c>
      <c r="O520" s="22">
        <v>460800</v>
      </c>
      <c r="P520" s="22">
        <v>290782.58</v>
      </c>
      <c r="Q520" s="22">
        <v>170017.42</v>
      </c>
      <c r="R520" s="22" t="s">
        <v>27</v>
      </c>
    </row>
    <row r="521" hidden="1" spans="1:18">
      <c r="A521" s="22" t="s">
        <v>655</v>
      </c>
      <c r="B521" s="23">
        <v>45687</v>
      </c>
      <c r="C521" s="24">
        <f t="shared" si="8"/>
        <v>1</v>
      </c>
      <c r="D521" s="22" t="s">
        <v>121</v>
      </c>
      <c r="E521" s="22" t="s">
        <v>20</v>
      </c>
      <c r="F521" s="22" t="s">
        <v>60</v>
      </c>
      <c r="G521" s="22" t="s">
        <v>61</v>
      </c>
      <c r="H521" s="22" t="s">
        <v>188</v>
      </c>
      <c r="I521" s="22" t="s">
        <v>51</v>
      </c>
      <c r="J521" s="22" t="s">
        <v>34</v>
      </c>
      <c r="K521" s="22" t="s">
        <v>26</v>
      </c>
      <c r="L521" s="22">
        <v>10</v>
      </c>
      <c r="M521" s="22">
        <v>60400</v>
      </c>
      <c r="N521" s="22">
        <v>0.05</v>
      </c>
      <c r="O521" s="22">
        <v>573800</v>
      </c>
      <c r="P521" s="22">
        <v>432241.99</v>
      </c>
      <c r="Q521" s="22">
        <v>141558.01</v>
      </c>
      <c r="R521" s="22" t="s">
        <v>48</v>
      </c>
    </row>
    <row r="522" hidden="1" spans="1:18">
      <c r="A522" s="22" t="s">
        <v>656</v>
      </c>
      <c r="B522" s="23">
        <v>43246</v>
      </c>
      <c r="C522" s="24">
        <f t="shared" si="8"/>
        <v>5</v>
      </c>
      <c r="D522" s="22" t="s">
        <v>121</v>
      </c>
      <c r="E522" s="22" t="s">
        <v>20</v>
      </c>
      <c r="F522" s="22" t="s">
        <v>60</v>
      </c>
      <c r="G522" s="22" t="s">
        <v>141</v>
      </c>
      <c r="H522" s="22" t="s">
        <v>142</v>
      </c>
      <c r="I522" s="22" t="s">
        <v>24</v>
      </c>
      <c r="J522" s="22" t="s">
        <v>88</v>
      </c>
      <c r="K522" s="22" t="s">
        <v>26</v>
      </c>
      <c r="L522" s="22">
        <v>1</v>
      </c>
      <c r="M522" s="22">
        <v>94500</v>
      </c>
      <c r="N522" s="22">
        <v>0</v>
      </c>
      <c r="O522" s="22">
        <v>94500</v>
      </c>
      <c r="P522" s="22">
        <v>69185.76</v>
      </c>
      <c r="Q522" s="22">
        <v>25314.24</v>
      </c>
      <c r="R522" s="22" t="s">
        <v>35</v>
      </c>
    </row>
    <row r="523" hidden="1" spans="1:18">
      <c r="A523" s="22" t="s">
        <v>657</v>
      </c>
      <c r="B523" s="23">
        <v>43739</v>
      </c>
      <c r="C523" s="24">
        <f t="shared" si="8"/>
        <v>10</v>
      </c>
      <c r="D523" s="22" t="s">
        <v>65</v>
      </c>
      <c r="E523" s="22" t="s">
        <v>30</v>
      </c>
      <c r="F523" s="22" t="s">
        <v>55</v>
      </c>
      <c r="G523" s="22" t="s">
        <v>195</v>
      </c>
      <c r="H523" s="22" t="s">
        <v>209</v>
      </c>
      <c r="I523" s="22" t="s">
        <v>45</v>
      </c>
      <c r="J523" s="22" t="s">
        <v>124</v>
      </c>
      <c r="K523" s="22" t="s">
        <v>47</v>
      </c>
      <c r="L523" s="22">
        <v>6</v>
      </c>
      <c r="M523" s="22">
        <v>2700</v>
      </c>
      <c r="N523" s="22">
        <v>0</v>
      </c>
      <c r="O523" s="22">
        <v>16200</v>
      </c>
      <c r="P523" s="22">
        <v>11727.09</v>
      </c>
      <c r="Q523" s="22">
        <v>4472.91</v>
      </c>
      <c r="R523" s="22" t="s">
        <v>27</v>
      </c>
    </row>
    <row r="524" hidden="1" spans="1:18">
      <c r="A524" s="22" t="s">
        <v>658</v>
      </c>
      <c r="B524" s="23">
        <v>44581</v>
      </c>
      <c r="C524" s="24">
        <f t="shared" si="8"/>
        <v>1</v>
      </c>
      <c r="D524" s="22" t="s">
        <v>69</v>
      </c>
      <c r="E524" s="22" t="s">
        <v>20</v>
      </c>
      <c r="F524" s="22" t="s">
        <v>60</v>
      </c>
      <c r="G524" s="22" t="s">
        <v>61</v>
      </c>
      <c r="H524" s="22" t="s">
        <v>62</v>
      </c>
      <c r="I524" s="22" t="s">
        <v>45</v>
      </c>
      <c r="J524" s="22" t="s">
        <v>124</v>
      </c>
      <c r="K524" s="22" t="s">
        <v>47</v>
      </c>
      <c r="L524" s="22">
        <v>10</v>
      </c>
      <c r="M524" s="22">
        <v>24000</v>
      </c>
      <c r="N524" s="22">
        <v>0</v>
      </c>
      <c r="O524" s="22">
        <v>240000</v>
      </c>
      <c r="P524" s="22">
        <v>156958.7</v>
      </c>
      <c r="Q524" s="22">
        <v>83041.3</v>
      </c>
      <c r="R524" s="22" t="s">
        <v>77</v>
      </c>
    </row>
    <row r="525" hidden="1" spans="1:18">
      <c r="A525" s="22" t="s">
        <v>659</v>
      </c>
      <c r="B525" s="23">
        <v>44083</v>
      </c>
      <c r="C525" s="24">
        <f t="shared" si="8"/>
        <v>9</v>
      </c>
      <c r="D525" s="22" t="s">
        <v>121</v>
      </c>
      <c r="E525" s="22" t="s">
        <v>20</v>
      </c>
      <c r="F525" s="22" t="s">
        <v>96</v>
      </c>
      <c r="G525" s="22" t="s">
        <v>113</v>
      </c>
      <c r="H525" s="22" t="s">
        <v>114</v>
      </c>
      <c r="I525" s="22" t="s">
        <v>24</v>
      </c>
      <c r="J525" s="22" t="s">
        <v>88</v>
      </c>
      <c r="K525" s="22" t="s">
        <v>47</v>
      </c>
      <c r="L525" s="22">
        <v>7</v>
      </c>
      <c r="M525" s="22">
        <v>70700</v>
      </c>
      <c r="N525" s="22">
        <v>0</v>
      </c>
      <c r="O525" s="22">
        <v>494900</v>
      </c>
      <c r="P525" s="22">
        <v>344639.59</v>
      </c>
      <c r="Q525" s="22">
        <v>150260.41</v>
      </c>
      <c r="R525" s="22" t="s">
        <v>35</v>
      </c>
    </row>
    <row r="526" hidden="1" spans="1:18">
      <c r="A526" s="22" t="s">
        <v>660</v>
      </c>
      <c r="B526" s="23">
        <v>43154</v>
      </c>
      <c r="C526" s="24">
        <f t="shared" si="8"/>
        <v>2</v>
      </c>
      <c r="D526" s="22" t="s">
        <v>133</v>
      </c>
      <c r="E526" s="22" t="s">
        <v>213</v>
      </c>
      <c r="F526" s="22" t="s">
        <v>31</v>
      </c>
      <c r="G526" s="22" t="s">
        <v>43</v>
      </c>
      <c r="H526" s="22" t="s">
        <v>258</v>
      </c>
      <c r="I526" s="22" t="s">
        <v>51</v>
      </c>
      <c r="J526" s="22" t="s">
        <v>99</v>
      </c>
      <c r="K526" s="22" t="s">
        <v>26</v>
      </c>
      <c r="L526" s="22">
        <v>4</v>
      </c>
      <c r="M526" s="22">
        <v>20200</v>
      </c>
      <c r="N526" s="22">
        <v>0</v>
      </c>
      <c r="O526" s="22">
        <v>80800</v>
      </c>
      <c r="P526" s="22">
        <v>59590.87</v>
      </c>
      <c r="Q526" s="22">
        <v>21209.13</v>
      </c>
      <c r="R526" s="22" t="s">
        <v>58</v>
      </c>
    </row>
    <row r="527" hidden="1" spans="1:18">
      <c r="A527" s="22" t="s">
        <v>661</v>
      </c>
      <c r="B527" s="23">
        <v>43304</v>
      </c>
      <c r="C527" s="24">
        <f t="shared" si="8"/>
        <v>7</v>
      </c>
      <c r="D527" s="22" t="s">
        <v>42</v>
      </c>
      <c r="E527" s="22" t="s">
        <v>20</v>
      </c>
      <c r="F527" s="22" t="s">
        <v>96</v>
      </c>
      <c r="G527" s="22" t="s">
        <v>113</v>
      </c>
      <c r="H527" s="22" t="s">
        <v>114</v>
      </c>
      <c r="I527" s="22" t="s">
        <v>51</v>
      </c>
      <c r="J527" s="22" t="s">
        <v>40</v>
      </c>
      <c r="K527" s="22" t="s">
        <v>47</v>
      </c>
      <c r="L527" s="22">
        <v>7</v>
      </c>
      <c r="M527" s="22">
        <v>75700</v>
      </c>
      <c r="N527" s="22">
        <v>0.05</v>
      </c>
      <c r="O527" s="22">
        <v>503405</v>
      </c>
      <c r="P527" s="22">
        <v>330845.63</v>
      </c>
      <c r="Q527" s="22">
        <v>172559.37</v>
      </c>
      <c r="R527" s="22" t="s">
        <v>77</v>
      </c>
    </row>
    <row r="528" hidden="1" spans="1:18">
      <c r="A528" s="22" t="s">
        <v>662</v>
      </c>
      <c r="B528" s="23">
        <v>43669</v>
      </c>
      <c r="C528" s="24">
        <f t="shared" si="8"/>
        <v>7</v>
      </c>
      <c r="D528" s="22" t="s">
        <v>65</v>
      </c>
      <c r="E528" s="22" t="s">
        <v>30</v>
      </c>
      <c r="F528" s="22" t="s">
        <v>60</v>
      </c>
      <c r="G528" s="22" t="s">
        <v>86</v>
      </c>
      <c r="H528" s="22" t="s">
        <v>106</v>
      </c>
      <c r="I528" s="22" t="s">
        <v>51</v>
      </c>
      <c r="J528" s="22" t="s">
        <v>88</v>
      </c>
      <c r="K528" s="22" t="s">
        <v>53</v>
      </c>
      <c r="L528" s="22">
        <v>8</v>
      </c>
      <c r="M528" s="22">
        <v>2200</v>
      </c>
      <c r="N528" s="22">
        <v>0.1</v>
      </c>
      <c r="O528" s="22">
        <v>15840</v>
      </c>
      <c r="P528" s="22">
        <v>13271.75</v>
      </c>
      <c r="Q528" s="22">
        <v>2568.25</v>
      </c>
      <c r="R528" s="22" t="s">
        <v>48</v>
      </c>
    </row>
    <row r="529" hidden="1" spans="1:18">
      <c r="A529" s="22" t="s">
        <v>663</v>
      </c>
      <c r="B529" s="23">
        <v>45756</v>
      </c>
      <c r="C529" s="24">
        <f t="shared" si="8"/>
        <v>4</v>
      </c>
      <c r="D529" s="22" t="s">
        <v>69</v>
      </c>
      <c r="E529" s="22" t="s">
        <v>20</v>
      </c>
      <c r="F529" s="22" t="s">
        <v>60</v>
      </c>
      <c r="G529" s="22" t="s">
        <v>93</v>
      </c>
      <c r="H529" s="22" t="s">
        <v>101</v>
      </c>
      <c r="I529" s="22" t="s">
        <v>24</v>
      </c>
      <c r="J529" s="22" t="s">
        <v>46</v>
      </c>
      <c r="K529" s="22" t="s">
        <v>47</v>
      </c>
      <c r="L529" s="22">
        <v>8</v>
      </c>
      <c r="M529" s="22">
        <v>68400</v>
      </c>
      <c r="N529" s="22">
        <v>0.1</v>
      </c>
      <c r="O529" s="22">
        <v>492480</v>
      </c>
      <c r="P529" s="22">
        <v>391650.57</v>
      </c>
      <c r="Q529" s="22">
        <v>100829.43</v>
      </c>
      <c r="R529" s="22" t="s">
        <v>27</v>
      </c>
    </row>
    <row r="530" hidden="1" spans="1:18">
      <c r="A530" s="22" t="s">
        <v>664</v>
      </c>
      <c r="B530" s="23">
        <v>44317</v>
      </c>
      <c r="C530" s="24">
        <f t="shared" si="8"/>
        <v>5</v>
      </c>
      <c r="D530" s="22" t="s">
        <v>85</v>
      </c>
      <c r="E530" s="22" t="s">
        <v>30</v>
      </c>
      <c r="F530" s="22" t="s">
        <v>21</v>
      </c>
      <c r="G530" s="22" t="s">
        <v>70</v>
      </c>
      <c r="H530" s="22" t="s">
        <v>83</v>
      </c>
      <c r="I530" s="22" t="s">
        <v>45</v>
      </c>
      <c r="J530" s="22" t="s">
        <v>46</v>
      </c>
      <c r="K530" s="22" t="s">
        <v>53</v>
      </c>
      <c r="L530" s="22">
        <v>7</v>
      </c>
      <c r="M530" s="22">
        <v>2900</v>
      </c>
      <c r="N530" s="22">
        <v>0.05</v>
      </c>
      <c r="O530" s="22">
        <v>19285</v>
      </c>
      <c r="P530" s="22">
        <v>16059.26</v>
      </c>
      <c r="Q530" s="22">
        <v>3225.74</v>
      </c>
      <c r="R530" s="22" t="s">
        <v>48</v>
      </c>
    </row>
    <row r="531" hidden="1" spans="1:18">
      <c r="A531" s="22" t="s">
        <v>665</v>
      </c>
      <c r="B531" s="23">
        <v>44073</v>
      </c>
      <c r="C531" s="24">
        <f t="shared" si="8"/>
        <v>8</v>
      </c>
      <c r="D531" s="22" t="s">
        <v>133</v>
      </c>
      <c r="E531" s="22" t="s">
        <v>213</v>
      </c>
      <c r="F531" s="22" t="s">
        <v>31</v>
      </c>
      <c r="G531" s="22" t="s">
        <v>32</v>
      </c>
      <c r="H531" s="22" t="s">
        <v>50</v>
      </c>
      <c r="I531" s="22" t="s">
        <v>45</v>
      </c>
      <c r="J531" s="22" t="s">
        <v>40</v>
      </c>
      <c r="K531" s="22" t="s">
        <v>26</v>
      </c>
      <c r="L531" s="22">
        <v>2</v>
      </c>
      <c r="M531" s="22">
        <v>10900</v>
      </c>
      <c r="N531" s="22">
        <v>0</v>
      </c>
      <c r="O531" s="22">
        <v>21800</v>
      </c>
      <c r="P531" s="22">
        <v>15712.09</v>
      </c>
      <c r="Q531" s="22">
        <v>6087.91</v>
      </c>
      <c r="R531" s="22" t="s">
        <v>58</v>
      </c>
    </row>
    <row r="532" hidden="1" spans="1:18">
      <c r="A532" s="22" t="s">
        <v>666</v>
      </c>
      <c r="B532" s="23">
        <v>43681</v>
      </c>
      <c r="C532" s="24">
        <f t="shared" si="8"/>
        <v>8</v>
      </c>
      <c r="D532" s="22" t="s">
        <v>42</v>
      </c>
      <c r="E532" s="22" t="s">
        <v>20</v>
      </c>
      <c r="F532" s="22" t="s">
        <v>21</v>
      </c>
      <c r="G532" s="22" t="s">
        <v>167</v>
      </c>
      <c r="H532" s="22" t="s">
        <v>168</v>
      </c>
      <c r="I532" s="22" t="s">
        <v>51</v>
      </c>
      <c r="J532" s="22" t="s">
        <v>34</v>
      </c>
      <c r="K532" s="22" t="s">
        <v>53</v>
      </c>
      <c r="L532" s="22">
        <v>4</v>
      </c>
      <c r="M532" s="22">
        <v>104600</v>
      </c>
      <c r="N532" s="22">
        <v>0.05</v>
      </c>
      <c r="O532" s="22">
        <v>397480</v>
      </c>
      <c r="P532" s="22">
        <v>324177.8</v>
      </c>
      <c r="Q532" s="22">
        <v>73302.2</v>
      </c>
      <c r="R532" s="22" t="s">
        <v>77</v>
      </c>
    </row>
    <row r="533" hidden="1" spans="1:18">
      <c r="A533" s="22" t="s">
        <v>667</v>
      </c>
      <c r="B533" s="23">
        <v>44067</v>
      </c>
      <c r="C533" s="24">
        <f t="shared" si="8"/>
        <v>8</v>
      </c>
      <c r="D533" s="22" t="s">
        <v>79</v>
      </c>
      <c r="E533" s="22" t="s">
        <v>20</v>
      </c>
      <c r="F533" s="22" t="s">
        <v>60</v>
      </c>
      <c r="G533" s="22" t="s">
        <v>61</v>
      </c>
      <c r="H533" s="22" t="s">
        <v>62</v>
      </c>
      <c r="I533" s="22" t="s">
        <v>51</v>
      </c>
      <c r="J533" s="22" t="s">
        <v>124</v>
      </c>
      <c r="K533" s="22" t="s">
        <v>26</v>
      </c>
      <c r="L533" s="22">
        <v>9</v>
      </c>
      <c r="M533" s="22">
        <v>17900</v>
      </c>
      <c r="N533" s="22">
        <v>0.2</v>
      </c>
      <c r="O533" s="22">
        <v>128880</v>
      </c>
      <c r="P533" s="22">
        <v>100069.55</v>
      </c>
      <c r="Q533" s="22">
        <v>28810.45</v>
      </c>
      <c r="R533" s="22" t="s">
        <v>35</v>
      </c>
    </row>
    <row r="534" hidden="1" spans="1:18">
      <c r="A534" s="22" t="s">
        <v>668</v>
      </c>
      <c r="B534" s="23">
        <v>45731</v>
      </c>
      <c r="C534" s="24">
        <f t="shared" si="8"/>
        <v>3</v>
      </c>
      <c r="D534" s="22" t="s">
        <v>103</v>
      </c>
      <c r="E534" s="22" t="s">
        <v>30</v>
      </c>
      <c r="F534" s="22" t="s">
        <v>55</v>
      </c>
      <c r="G534" s="22" t="s">
        <v>80</v>
      </c>
      <c r="H534" s="22" t="s">
        <v>160</v>
      </c>
      <c r="I534" s="22" t="s">
        <v>45</v>
      </c>
      <c r="J534" s="22" t="s">
        <v>25</v>
      </c>
      <c r="K534" s="22" t="s">
        <v>26</v>
      </c>
      <c r="L534" s="22">
        <v>4</v>
      </c>
      <c r="M534" s="22">
        <v>2500</v>
      </c>
      <c r="N534" s="22">
        <v>0</v>
      </c>
      <c r="O534" s="22">
        <v>10000</v>
      </c>
      <c r="P534" s="22">
        <v>8069.88</v>
      </c>
      <c r="Q534" s="22">
        <v>1930.12</v>
      </c>
      <c r="R534" s="22" t="s">
        <v>35</v>
      </c>
    </row>
    <row r="535" hidden="1" spans="1:18">
      <c r="A535" s="22" t="s">
        <v>669</v>
      </c>
      <c r="B535" s="23">
        <v>43674</v>
      </c>
      <c r="C535" s="24">
        <f t="shared" si="8"/>
        <v>7</v>
      </c>
      <c r="D535" s="22" t="s">
        <v>85</v>
      </c>
      <c r="E535" s="22" t="s">
        <v>30</v>
      </c>
      <c r="F535" s="22" t="s">
        <v>96</v>
      </c>
      <c r="G535" s="22" t="s">
        <v>113</v>
      </c>
      <c r="H535" s="22" t="s">
        <v>114</v>
      </c>
      <c r="I535" s="22" t="s">
        <v>51</v>
      </c>
      <c r="J535" s="22" t="s">
        <v>63</v>
      </c>
      <c r="K535" s="22" t="s">
        <v>26</v>
      </c>
      <c r="L535" s="22">
        <v>2</v>
      </c>
      <c r="M535" s="22">
        <v>4300</v>
      </c>
      <c r="N535" s="22">
        <v>0</v>
      </c>
      <c r="O535" s="22">
        <v>8600</v>
      </c>
      <c r="P535" s="22">
        <v>6928.49</v>
      </c>
      <c r="Q535" s="22">
        <v>1671.51</v>
      </c>
      <c r="R535" s="22" t="s">
        <v>35</v>
      </c>
    </row>
    <row r="536" hidden="1" spans="1:18">
      <c r="A536" s="22" t="s">
        <v>670</v>
      </c>
      <c r="B536" s="23">
        <v>45708</v>
      </c>
      <c r="C536" s="24">
        <f t="shared" si="8"/>
        <v>2</v>
      </c>
      <c r="D536" s="22" t="s">
        <v>103</v>
      </c>
      <c r="E536" s="22" t="s">
        <v>20</v>
      </c>
      <c r="F536" s="22" t="s">
        <v>55</v>
      </c>
      <c r="G536" s="22" t="s">
        <v>56</v>
      </c>
      <c r="H536" s="22" t="s">
        <v>154</v>
      </c>
      <c r="I536" s="22" t="s">
        <v>24</v>
      </c>
      <c r="J536" s="22" t="s">
        <v>99</v>
      </c>
      <c r="K536" s="22" t="s">
        <v>53</v>
      </c>
      <c r="L536" s="22">
        <v>7</v>
      </c>
      <c r="M536" s="22">
        <v>65200</v>
      </c>
      <c r="N536" s="22">
        <v>0.15</v>
      </c>
      <c r="O536" s="22">
        <v>387940</v>
      </c>
      <c r="P536" s="22">
        <v>248166.97</v>
      </c>
      <c r="Q536" s="22">
        <v>139773.03</v>
      </c>
      <c r="R536" s="22" t="s">
        <v>48</v>
      </c>
    </row>
    <row r="537" hidden="1" spans="1:18">
      <c r="A537" s="22" t="s">
        <v>671</v>
      </c>
      <c r="B537" s="23">
        <v>43306</v>
      </c>
      <c r="C537" s="24">
        <f t="shared" si="8"/>
        <v>7</v>
      </c>
      <c r="D537" s="22" t="s">
        <v>29</v>
      </c>
      <c r="E537" s="22" t="s">
        <v>30</v>
      </c>
      <c r="F537" s="22" t="s">
        <v>60</v>
      </c>
      <c r="G537" s="22" t="s">
        <v>93</v>
      </c>
      <c r="H537" s="22" t="s">
        <v>101</v>
      </c>
      <c r="I537" s="22" t="s">
        <v>45</v>
      </c>
      <c r="J537" s="22" t="s">
        <v>63</v>
      </c>
      <c r="K537" s="22" t="s">
        <v>47</v>
      </c>
      <c r="L537" s="22">
        <v>3</v>
      </c>
      <c r="M537" s="22">
        <v>2500</v>
      </c>
      <c r="N537" s="22">
        <v>0.15</v>
      </c>
      <c r="O537" s="22">
        <v>6375</v>
      </c>
      <c r="P537" s="22">
        <v>5174.9</v>
      </c>
      <c r="Q537" s="22">
        <v>1200.1</v>
      </c>
      <c r="R537" s="22" t="s">
        <v>27</v>
      </c>
    </row>
    <row r="538" hidden="1" spans="1:18">
      <c r="A538" s="22" t="s">
        <v>672</v>
      </c>
      <c r="B538" s="23">
        <v>44075</v>
      </c>
      <c r="C538" s="24">
        <f t="shared" si="8"/>
        <v>9</v>
      </c>
      <c r="D538" s="22" t="s">
        <v>29</v>
      </c>
      <c r="E538" s="22" t="s">
        <v>30</v>
      </c>
      <c r="F538" s="22" t="s">
        <v>21</v>
      </c>
      <c r="G538" s="22" t="s">
        <v>70</v>
      </c>
      <c r="H538" s="22" t="s">
        <v>71</v>
      </c>
      <c r="I538" s="22" t="s">
        <v>51</v>
      </c>
      <c r="J538" s="22" t="s">
        <v>88</v>
      </c>
      <c r="K538" s="22" t="s">
        <v>47</v>
      </c>
      <c r="L538" s="22">
        <v>8</v>
      </c>
      <c r="M538" s="22">
        <v>2000</v>
      </c>
      <c r="N538" s="22">
        <v>0.1</v>
      </c>
      <c r="O538" s="22">
        <v>14400</v>
      </c>
      <c r="P538" s="22">
        <v>8967.91</v>
      </c>
      <c r="Q538" s="22">
        <v>5432.09</v>
      </c>
      <c r="R538" s="22" t="s">
        <v>48</v>
      </c>
    </row>
    <row r="539" hidden="1" spans="1:18">
      <c r="A539" s="22" t="s">
        <v>673</v>
      </c>
      <c r="B539" s="23">
        <v>43348</v>
      </c>
      <c r="C539" s="24">
        <f t="shared" si="8"/>
        <v>9</v>
      </c>
      <c r="D539" s="22" t="s">
        <v>29</v>
      </c>
      <c r="E539" s="22" t="s">
        <v>30</v>
      </c>
      <c r="F539" s="22" t="s">
        <v>60</v>
      </c>
      <c r="G539" s="22" t="s">
        <v>61</v>
      </c>
      <c r="H539" s="22" t="s">
        <v>101</v>
      </c>
      <c r="I539" s="22" t="s">
        <v>45</v>
      </c>
      <c r="J539" s="22" t="s">
        <v>25</v>
      </c>
      <c r="K539" s="22" t="s">
        <v>26</v>
      </c>
      <c r="L539" s="22">
        <v>4</v>
      </c>
      <c r="M539" s="22">
        <v>2900</v>
      </c>
      <c r="N539" s="22">
        <v>0.15</v>
      </c>
      <c r="O539" s="22">
        <v>9860</v>
      </c>
      <c r="P539" s="22">
        <v>7076.72</v>
      </c>
      <c r="Q539" s="22">
        <v>2783.28</v>
      </c>
      <c r="R539" s="22" t="s">
        <v>48</v>
      </c>
    </row>
    <row r="540" hidden="1" spans="1:18">
      <c r="A540" s="22" t="s">
        <v>674</v>
      </c>
      <c r="B540" s="23">
        <v>43735</v>
      </c>
      <c r="C540" s="24">
        <f t="shared" si="8"/>
        <v>9</v>
      </c>
      <c r="D540" s="22" t="s">
        <v>133</v>
      </c>
      <c r="E540" s="22" t="s">
        <v>213</v>
      </c>
      <c r="F540" s="22" t="s">
        <v>96</v>
      </c>
      <c r="G540" s="22" t="s">
        <v>97</v>
      </c>
      <c r="H540" s="22" t="s">
        <v>147</v>
      </c>
      <c r="I540" s="22" t="s">
        <v>24</v>
      </c>
      <c r="J540" s="22" t="s">
        <v>116</v>
      </c>
      <c r="K540" s="22" t="s">
        <v>53</v>
      </c>
      <c r="L540" s="22">
        <v>5</v>
      </c>
      <c r="M540" s="22">
        <v>15300</v>
      </c>
      <c r="N540" s="22">
        <v>0.1</v>
      </c>
      <c r="O540" s="22">
        <v>68850</v>
      </c>
      <c r="P540" s="22">
        <v>49623.77</v>
      </c>
      <c r="Q540" s="22">
        <v>19226.23</v>
      </c>
      <c r="R540" s="22" t="s">
        <v>27</v>
      </c>
    </row>
    <row r="541" hidden="1" spans="1:18">
      <c r="A541" s="22" t="s">
        <v>675</v>
      </c>
      <c r="B541" s="23">
        <v>45692</v>
      </c>
      <c r="C541" s="24">
        <f t="shared" si="8"/>
        <v>2</v>
      </c>
      <c r="D541" s="22" t="s">
        <v>85</v>
      </c>
      <c r="E541" s="22" t="s">
        <v>30</v>
      </c>
      <c r="F541" s="22" t="s">
        <v>96</v>
      </c>
      <c r="G541" s="22" t="s">
        <v>113</v>
      </c>
      <c r="H541" s="22" t="s">
        <v>114</v>
      </c>
      <c r="I541" s="22" t="s">
        <v>45</v>
      </c>
      <c r="J541" s="22" t="s">
        <v>116</v>
      </c>
      <c r="K541" s="22" t="s">
        <v>26</v>
      </c>
      <c r="L541" s="22">
        <v>7</v>
      </c>
      <c r="M541" s="22">
        <v>1500</v>
      </c>
      <c r="N541" s="22">
        <v>0.1</v>
      </c>
      <c r="O541" s="22">
        <v>9450</v>
      </c>
      <c r="P541" s="22">
        <v>7344.36</v>
      </c>
      <c r="Q541" s="22">
        <v>2105.64</v>
      </c>
      <c r="R541" s="22" t="s">
        <v>48</v>
      </c>
    </row>
    <row r="542" hidden="1" spans="1:18">
      <c r="A542" s="22" t="s">
        <v>676</v>
      </c>
      <c r="B542" s="23">
        <v>43785</v>
      </c>
      <c r="C542" s="24">
        <f t="shared" si="8"/>
        <v>11</v>
      </c>
      <c r="D542" s="22" t="s">
        <v>85</v>
      </c>
      <c r="E542" s="22" t="s">
        <v>30</v>
      </c>
      <c r="F542" s="22" t="s">
        <v>31</v>
      </c>
      <c r="G542" s="22" t="s">
        <v>43</v>
      </c>
      <c r="H542" s="22" t="s">
        <v>44</v>
      </c>
      <c r="I542" s="22" t="s">
        <v>45</v>
      </c>
      <c r="J542" s="22" t="s">
        <v>25</v>
      </c>
      <c r="K542" s="22" t="s">
        <v>47</v>
      </c>
      <c r="L542" s="22">
        <v>4</v>
      </c>
      <c r="M542" s="22">
        <v>2200</v>
      </c>
      <c r="N542" s="22">
        <v>0</v>
      </c>
      <c r="O542" s="22">
        <v>8800</v>
      </c>
      <c r="P542" s="22">
        <v>6354.28</v>
      </c>
      <c r="Q542" s="22">
        <v>2445.72</v>
      </c>
      <c r="R542" s="22" t="s">
        <v>27</v>
      </c>
    </row>
    <row r="543" hidden="1" spans="1:18">
      <c r="A543" s="22" t="s">
        <v>677</v>
      </c>
      <c r="B543" s="23">
        <v>43311</v>
      </c>
      <c r="C543" s="24">
        <f t="shared" si="8"/>
        <v>7</v>
      </c>
      <c r="D543" s="22" t="s">
        <v>29</v>
      </c>
      <c r="E543" s="22" t="s">
        <v>30</v>
      </c>
      <c r="F543" s="22" t="s">
        <v>21</v>
      </c>
      <c r="G543" s="22" t="s">
        <v>167</v>
      </c>
      <c r="H543" s="22" t="s">
        <v>206</v>
      </c>
      <c r="I543" s="22" t="s">
        <v>24</v>
      </c>
      <c r="J543" s="22" t="s">
        <v>116</v>
      </c>
      <c r="K543" s="22" t="s">
        <v>47</v>
      </c>
      <c r="L543" s="22">
        <v>6</v>
      </c>
      <c r="M543" s="22">
        <v>9900</v>
      </c>
      <c r="N543" s="22">
        <v>0.15</v>
      </c>
      <c r="O543" s="22">
        <v>50490</v>
      </c>
      <c r="P543" s="22">
        <v>32569.71</v>
      </c>
      <c r="Q543" s="22">
        <v>17920.29</v>
      </c>
      <c r="R543" s="22" t="s">
        <v>58</v>
      </c>
    </row>
    <row r="544" hidden="1" spans="1:18">
      <c r="A544" s="22" t="s">
        <v>678</v>
      </c>
      <c r="B544" s="23">
        <v>45709</v>
      </c>
      <c r="C544" s="24">
        <f t="shared" si="8"/>
        <v>2</v>
      </c>
      <c r="D544" s="22" t="s">
        <v>103</v>
      </c>
      <c r="E544" s="22" t="s">
        <v>20</v>
      </c>
      <c r="F544" s="22" t="s">
        <v>31</v>
      </c>
      <c r="G544" s="22" t="s">
        <v>66</v>
      </c>
      <c r="H544" s="22" t="s">
        <v>316</v>
      </c>
      <c r="I544" s="22" t="s">
        <v>45</v>
      </c>
      <c r="J544" s="22" t="s">
        <v>52</v>
      </c>
      <c r="K544" s="22" t="s">
        <v>26</v>
      </c>
      <c r="L544" s="22">
        <v>7</v>
      </c>
      <c r="M544" s="22">
        <v>39200</v>
      </c>
      <c r="N544" s="22">
        <v>0</v>
      </c>
      <c r="O544" s="22">
        <v>274400</v>
      </c>
      <c r="P544" s="22">
        <v>222417.78</v>
      </c>
      <c r="Q544" s="22">
        <v>51982.22</v>
      </c>
      <c r="R544" s="22" t="s">
        <v>35</v>
      </c>
    </row>
    <row r="545" hidden="1" spans="1:18">
      <c r="A545" s="22" t="s">
        <v>679</v>
      </c>
      <c r="B545" s="23">
        <v>45780</v>
      </c>
      <c r="C545" s="24">
        <f t="shared" si="8"/>
        <v>5</v>
      </c>
      <c r="D545" s="22" t="s">
        <v>75</v>
      </c>
      <c r="E545" s="22" t="s">
        <v>30</v>
      </c>
      <c r="F545" s="22" t="s">
        <v>31</v>
      </c>
      <c r="G545" s="22" t="s">
        <v>66</v>
      </c>
      <c r="H545" s="22" t="s">
        <v>316</v>
      </c>
      <c r="I545" s="22" t="s">
        <v>24</v>
      </c>
      <c r="J545" s="22" t="s">
        <v>40</v>
      </c>
      <c r="K545" s="22" t="s">
        <v>26</v>
      </c>
      <c r="L545" s="22">
        <v>6</v>
      </c>
      <c r="M545" s="22">
        <v>7400</v>
      </c>
      <c r="N545" s="22">
        <v>0.05</v>
      </c>
      <c r="O545" s="22">
        <v>42180</v>
      </c>
      <c r="P545" s="22">
        <v>31015.93</v>
      </c>
      <c r="Q545" s="22">
        <v>11164.07</v>
      </c>
      <c r="R545" s="22" t="s">
        <v>27</v>
      </c>
    </row>
    <row r="546" hidden="1" spans="1:18">
      <c r="A546" s="22" t="s">
        <v>680</v>
      </c>
      <c r="B546" s="23">
        <v>45749</v>
      </c>
      <c r="C546" s="24">
        <f t="shared" si="8"/>
        <v>4</v>
      </c>
      <c r="D546" s="22" t="s">
        <v>69</v>
      </c>
      <c r="E546" s="22" t="s">
        <v>20</v>
      </c>
      <c r="F546" s="22" t="s">
        <v>96</v>
      </c>
      <c r="G546" s="22" t="s">
        <v>113</v>
      </c>
      <c r="H546" s="22" t="s">
        <v>126</v>
      </c>
      <c r="I546" s="22" t="s">
        <v>45</v>
      </c>
      <c r="J546" s="22" t="s">
        <v>73</v>
      </c>
      <c r="K546" s="22" t="s">
        <v>26</v>
      </c>
      <c r="L546" s="22">
        <v>10</v>
      </c>
      <c r="M546" s="22">
        <v>19700</v>
      </c>
      <c r="N546" s="22">
        <v>0</v>
      </c>
      <c r="O546" s="22">
        <v>197000</v>
      </c>
      <c r="P546" s="22">
        <v>141419.34</v>
      </c>
      <c r="Q546" s="22">
        <v>55580.66</v>
      </c>
      <c r="R546" s="22" t="s">
        <v>27</v>
      </c>
    </row>
    <row r="547" hidden="1" spans="1:18">
      <c r="A547" s="22" t="s">
        <v>681</v>
      </c>
      <c r="B547" s="23">
        <v>43756</v>
      </c>
      <c r="C547" s="24">
        <f t="shared" si="8"/>
        <v>10</v>
      </c>
      <c r="D547" s="22" t="s">
        <v>42</v>
      </c>
      <c r="E547" s="22" t="s">
        <v>20</v>
      </c>
      <c r="F547" s="22" t="s">
        <v>31</v>
      </c>
      <c r="G547" s="22" t="s">
        <v>32</v>
      </c>
      <c r="H547" s="22" t="s">
        <v>226</v>
      </c>
      <c r="I547" s="22" t="s">
        <v>45</v>
      </c>
      <c r="J547" s="22" t="s">
        <v>25</v>
      </c>
      <c r="K547" s="22" t="s">
        <v>53</v>
      </c>
      <c r="L547" s="22">
        <v>3</v>
      </c>
      <c r="M547" s="22">
        <v>94900</v>
      </c>
      <c r="N547" s="22">
        <v>0</v>
      </c>
      <c r="O547" s="22">
        <v>284700</v>
      </c>
      <c r="P547" s="22">
        <v>216543.88</v>
      </c>
      <c r="Q547" s="22">
        <v>68156.12</v>
      </c>
      <c r="R547" s="22" t="s">
        <v>48</v>
      </c>
    </row>
    <row r="548" hidden="1" spans="1:18">
      <c r="A548" s="22" t="s">
        <v>682</v>
      </c>
      <c r="B548" s="23">
        <v>45721</v>
      </c>
      <c r="C548" s="24">
        <f t="shared" si="8"/>
        <v>3</v>
      </c>
      <c r="D548" s="22" t="s">
        <v>103</v>
      </c>
      <c r="E548" s="22" t="s">
        <v>30</v>
      </c>
      <c r="F548" s="22" t="s">
        <v>21</v>
      </c>
      <c r="G548" s="22" t="s">
        <v>122</v>
      </c>
      <c r="H548" s="22" t="s">
        <v>123</v>
      </c>
      <c r="I548" s="22" t="s">
        <v>51</v>
      </c>
      <c r="J548" s="22" t="s">
        <v>170</v>
      </c>
      <c r="K548" s="22" t="s">
        <v>26</v>
      </c>
      <c r="L548" s="22">
        <v>10</v>
      </c>
      <c r="M548" s="22">
        <v>700</v>
      </c>
      <c r="N548" s="22">
        <v>0</v>
      </c>
      <c r="O548" s="22">
        <v>7000</v>
      </c>
      <c r="P548" s="22">
        <v>4968.16</v>
      </c>
      <c r="Q548" s="22">
        <v>2031.84</v>
      </c>
      <c r="R548" s="22" t="s">
        <v>77</v>
      </c>
    </row>
    <row r="549" hidden="1" spans="1:18">
      <c r="A549" s="22" t="s">
        <v>683</v>
      </c>
      <c r="B549" s="23">
        <v>44320</v>
      </c>
      <c r="C549" s="24">
        <f t="shared" si="8"/>
        <v>5</v>
      </c>
      <c r="D549" s="22" t="s">
        <v>65</v>
      </c>
      <c r="E549" s="22" t="s">
        <v>30</v>
      </c>
      <c r="F549" s="22" t="s">
        <v>60</v>
      </c>
      <c r="G549" s="22" t="s">
        <v>93</v>
      </c>
      <c r="H549" s="22" t="s">
        <v>181</v>
      </c>
      <c r="I549" s="22" t="s">
        <v>51</v>
      </c>
      <c r="J549" s="22" t="s">
        <v>99</v>
      </c>
      <c r="K549" s="22" t="s">
        <v>26</v>
      </c>
      <c r="L549" s="22">
        <v>3</v>
      </c>
      <c r="M549" s="22">
        <v>2100</v>
      </c>
      <c r="N549" s="22">
        <v>0.2</v>
      </c>
      <c r="O549" s="22">
        <v>5040</v>
      </c>
      <c r="P549" s="22">
        <v>4135.82</v>
      </c>
      <c r="Q549" s="22">
        <v>904.18</v>
      </c>
      <c r="R549" s="22" t="s">
        <v>48</v>
      </c>
    </row>
    <row r="550" hidden="1" spans="1:18">
      <c r="A550" s="22" t="s">
        <v>684</v>
      </c>
      <c r="B550" s="23">
        <v>43712</v>
      </c>
      <c r="C550" s="24">
        <f t="shared" si="8"/>
        <v>9</v>
      </c>
      <c r="D550" s="22" t="s">
        <v>121</v>
      </c>
      <c r="E550" s="22" t="s">
        <v>20</v>
      </c>
      <c r="F550" s="22" t="s">
        <v>96</v>
      </c>
      <c r="G550" s="22" t="s">
        <v>113</v>
      </c>
      <c r="H550" s="22" t="s">
        <v>119</v>
      </c>
      <c r="I550" s="22" t="s">
        <v>45</v>
      </c>
      <c r="J550" s="22" t="s">
        <v>52</v>
      </c>
      <c r="K550" s="22" t="s">
        <v>53</v>
      </c>
      <c r="L550" s="22">
        <v>5</v>
      </c>
      <c r="M550" s="22">
        <v>89300</v>
      </c>
      <c r="N550" s="22">
        <v>0.05</v>
      </c>
      <c r="O550" s="22">
        <v>424175</v>
      </c>
      <c r="P550" s="22">
        <v>336175.52</v>
      </c>
      <c r="Q550" s="22">
        <v>87999.48</v>
      </c>
      <c r="R550" s="22" t="s">
        <v>77</v>
      </c>
    </row>
    <row r="551" hidden="1" spans="1:18">
      <c r="A551" s="22" t="s">
        <v>685</v>
      </c>
      <c r="B551" s="23">
        <v>44057</v>
      </c>
      <c r="C551" s="24">
        <f t="shared" si="8"/>
        <v>8</v>
      </c>
      <c r="D551" s="22" t="s">
        <v>85</v>
      </c>
      <c r="E551" s="22" t="s">
        <v>30</v>
      </c>
      <c r="F551" s="22" t="s">
        <v>60</v>
      </c>
      <c r="G551" s="22" t="s">
        <v>93</v>
      </c>
      <c r="H551" s="22" t="s">
        <v>94</v>
      </c>
      <c r="I551" s="22" t="s">
        <v>24</v>
      </c>
      <c r="J551" s="22" t="s">
        <v>52</v>
      </c>
      <c r="K551" s="22" t="s">
        <v>53</v>
      </c>
      <c r="L551" s="22">
        <v>1</v>
      </c>
      <c r="M551" s="22">
        <v>4900</v>
      </c>
      <c r="N551" s="22">
        <v>0.1</v>
      </c>
      <c r="O551" s="22">
        <v>4410</v>
      </c>
      <c r="P551" s="22">
        <v>3526.75</v>
      </c>
      <c r="Q551" s="22">
        <v>883.25</v>
      </c>
      <c r="R551" s="22" t="s">
        <v>77</v>
      </c>
    </row>
    <row r="552" hidden="1" spans="1:18">
      <c r="A552" s="22" t="s">
        <v>686</v>
      </c>
      <c r="B552" s="23">
        <v>45683</v>
      </c>
      <c r="C552" s="24">
        <f t="shared" si="8"/>
        <v>1</v>
      </c>
      <c r="D552" s="22" t="s">
        <v>69</v>
      </c>
      <c r="E552" s="22" t="s">
        <v>20</v>
      </c>
      <c r="F552" s="22" t="s">
        <v>21</v>
      </c>
      <c r="G552" s="22" t="s">
        <v>22</v>
      </c>
      <c r="H552" s="22" t="s">
        <v>23</v>
      </c>
      <c r="I552" s="22" t="s">
        <v>45</v>
      </c>
      <c r="J552" s="22" t="s">
        <v>34</v>
      </c>
      <c r="K552" s="22" t="s">
        <v>47</v>
      </c>
      <c r="L552" s="22">
        <v>5</v>
      </c>
      <c r="M552" s="22">
        <v>16600</v>
      </c>
      <c r="N552" s="22">
        <v>0.1</v>
      </c>
      <c r="O552" s="22">
        <v>74700</v>
      </c>
      <c r="P552" s="22">
        <v>62300.89</v>
      </c>
      <c r="Q552" s="22">
        <v>12399.11</v>
      </c>
      <c r="R552" s="22" t="s">
        <v>35</v>
      </c>
    </row>
    <row r="553" hidden="1" spans="1:18">
      <c r="A553" s="22" t="s">
        <v>687</v>
      </c>
      <c r="B553" s="23">
        <v>44035</v>
      </c>
      <c r="C553" s="24">
        <f t="shared" si="8"/>
        <v>7</v>
      </c>
      <c r="D553" s="22" t="s">
        <v>19</v>
      </c>
      <c r="E553" s="22" t="s">
        <v>20</v>
      </c>
      <c r="F553" s="22" t="s">
        <v>31</v>
      </c>
      <c r="G553" s="22" t="s">
        <v>43</v>
      </c>
      <c r="H553" s="22" t="s">
        <v>258</v>
      </c>
      <c r="I553" s="22" t="s">
        <v>24</v>
      </c>
      <c r="J553" s="22" t="s">
        <v>25</v>
      </c>
      <c r="K553" s="22" t="s">
        <v>53</v>
      </c>
      <c r="L553" s="22">
        <v>6</v>
      </c>
      <c r="M553" s="22">
        <v>24500</v>
      </c>
      <c r="N553" s="22">
        <v>0.15</v>
      </c>
      <c r="O553" s="22">
        <v>124950</v>
      </c>
      <c r="P553" s="22">
        <v>84153.77</v>
      </c>
      <c r="Q553" s="22">
        <v>40796.23</v>
      </c>
      <c r="R553" s="22" t="s">
        <v>27</v>
      </c>
    </row>
    <row r="554" hidden="1" spans="1:18">
      <c r="A554" s="22" t="s">
        <v>688</v>
      </c>
      <c r="B554" s="23">
        <v>43682</v>
      </c>
      <c r="C554" s="24">
        <f t="shared" si="8"/>
        <v>8</v>
      </c>
      <c r="D554" s="22" t="s">
        <v>133</v>
      </c>
      <c r="E554" s="22" t="s">
        <v>213</v>
      </c>
      <c r="F554" s="22" t="s">
        <v>96</v>
      </c>
      <c r="G554" s="22" t="s">
        <v>113</v>
      </c>
      <c r="H554" s="22" t="s">
        <v>119</v>
      </c>
      <c r="I554" s="22" t="s">
        <v>51</v>
      </c>
      <c r="J554" s="22" t="s">
        <v>52</v>
      </c>
      <c r="K554" s="22" t="s">
        <v>47</v>
      </c>
      <c r="L554" s="22">
        <v>2</v>
      </c>
      <c r="M554" s="22">
        <v>10200</v>
      </c>
      <c r="N554" s="22">
        <v>0.1</v>
      </c>
      <c r="O554" s="22">
        <v>18360</v>
      </c>
      <c r="P554" s="22">
        <v>11752.19</v>
      </c>
      <c r="Q554" s="22">
        <v>6607.81</v>
      </c>
      <c r="R554" s="22" t="s">
        <v>77</v>
      </c>
    </row>
    <row r="555" hidden="1" spans="1:18">
      <c r="A555" s="22" t="s">
        <v>689</v>
      </c>
      <c r="B555" s="23">
        <v>45741</v>
      </c>
      <c r="C555" s="24">
        <f t="shared" si="8"/>
        <v>3</v>
      </c>
      <c r="D555" s="22" t="s">
        <v>79</v>
      </c>
      <c r="E555" s="22" t="s">
        <v>20</v>
      </c>
      <c r="F555" s="22" t="s">
        <v>96</v>
      </c>
      <c r="G555" s="22" t="s">
        <v>113</v>
      </c>
      <c r="H555" s="22" t="s">
        <v>114</v>
      </c>
      <c r="I555" s="22" t="s">
        <v>51</v>
      </c>
      <c r="J555" s="22" t="s">
        <v>73</v>
      </c>
      <c r="K555" s="22" t="s">
        <v>47</v>
      </c>
      <c r="L555" s="22">
        <v>7</v>
      </c>
      <c r="M555" s="22">
        <v>38800</v>
      </c>
      <c r="N555" s="22">
        <v>0</v>
      </c>
      <c r="O555" s="22">
        <v>271600</v>
      </c>
      <c r="P555" s="22">
        <v>199788.4</v>
      </c>
      <c r="Q555" s="22">
        <v>71811.6</v>
      </c>
      <c r="R555" s="22" t="s">
        <v>58</v>
      </c>
    </row>
    <row r="556" hidden="1" spans="1:18">
      <c r="A556" s="22" t="s">
        <v>690</v>
      </c>
      <c r="B556" s="23">
        <v>45730</v>
      </c>
      <c r="C556" s="24">
        <f t="shared" si="8"/>
        <v>3</v>
      </c>
      <c r="D556" s="22" t="s">
        <v>103</v>
      </c>
      <c r="E556" s="22" t="s">
        <v>20</v>
      </c>
      <c r="F556" s="22" t="s">
        <v>21</v>
      </c>
      <c r="G556" s="22" t="s">
        <v>22</v>
      </c>
      <c r="H556" s="22" t="s">
        <v>23</v>
      </c>
      <c r="I556" s="22" t="s">
        <v>45</v>
      </c>
      <c r="J556" s="22" t="s">
        <v>73</v>
      </c>
      <c r="K556" s="22" t="s">
        <v>53</v>
      </c>
      <c r="L556" s="22">
        <v>10</v>
      </c>
      <c r="M556" s="22">
        <v>26500</v>
      </c>
      <c r="N556" s="22">
        <v>0</v>
      </c>
      <c r="O556" s="22">
        <v>265000</v>
      </c>
      <c r="P556" s="22">
        <v>213178.7</v>
      </c>
      <c r="Q556" s="22">
        <v>51821.3</v>
      </c>
      <c r="R556" s="22" t="s">
        <v>35</v>
      </c>
    </row>
    <row r="557" hidden="1" spans="1:18">
      <c r="A557" s="22" t="s">
        <v>691</v>
      </c>
      <c r="B557" s="23">
        <v>44059</v>
      </c>
      <c r="C557" s="24">
        <f t="shared" si="8"/>
        <v>8</v>
      </c>
      <c r="D557" s="22" t="s">
        <v>90</v>
      </c>
      <c r="E557" s="22" t="s">
        <v>20</v>
      </c>
      <c r="F557" s="22" t="s">
        <v>31</v>
      </c>
      <c r="G557" s="22" t="s">
        <v>43</v>
      </c>
      <c r="H557" s="22" t="s">
        <v>91</v>
      </c>
      <c r="I557" s="22" t="s">
        <v>51</v>
      </c>
      <c r="J557" s="22" t="s">
        <v>99</v>
      </c>
      <c r="K557" s="22" t="s">
        <v>47</v>
      </c>
      <c r="L557" s="22">
        <v>9</v>
      </c>
      <c r="M557" s="22">
        <v>37100</v>
      </c>
      <c r="N557" s="22">
        <v>0.1</v>
      </c>
      <c r="O557" s="22">
        <v>300510</v>
      </c>
      <c r="P557" s="22">
        <v>191434.05</v>
      </c>
      <c r="Q557" s="22">
        <v>109075.95</v>
      </c>
      <c r="R557" s="22" t="s">
        <v>27</v>
      </c>
    </row>
    <row r="558" hidden="1" spans="1:18">
      <c r="A558" s="22" t="s">
        <v>692</v>
      </c>
      <c r="B558" s="23">
        <v>45724</v>
      </c>
      <c r="C558" s="24">
        <f t="shared" si="8"/>
        <v>3</v>
      </c>
      <c r="D558" s="22" t="s">
        <v>103</v>
      </c>
      <c r="E558" s="22" t="s">
        <v>30</v>
      </c>
      <c r="F558" s="22" t="s">
        <v>31</v>
      </c>
      <c r="G558" s="22" t="s">
        <v>43</v>
      </c>
      <c r="H558" s="22" t="s">
        <v>44</v>
      </c>
      <c r="I558" s="22" t="s">
        <v>51</v>
      </c>
      <c r="J558" s="22" t="s">
        <v>73</v>
      </c>
      <c r="K558" s="22" t="s">
        <v>26</v>
      </c>
      <c r="L558" s="22">
        <v>2</v>
      </c>
      <c r="M558" s="22">
        <v>700</v>
      </c>
      <c r="N558" s="22">
        <v>0.1</v>
      </c>
      <c r="O558" s="22">
        <v>1260</v>
      </c>
      <c r="P558" s="22">
        <v>1005.51</v>
      </c>
      <c r="Q558" s="22">
        <v>254.49</v>
      </c>
      <c r="R558" s="22" t="s">
        <v>77</v>
      </c>
    </row>
    <row r="559" hidden="1" spans="1:18">
      <c r="A559" s="22" t="s">
        <v>693</v>
      </c>
      <c r="B559" s="23">
        <v>45722</v>
      </c>
      <c r="C559" s="24">
        <f t="shared" si="8"/>
        <v>3</v>
      </c>
      <c r="D559" s="22" t="s">
        <v>103</v>
      </c>
      <c r="E559" s="22" t="s">
        <v>20</v>
      </c>
      <c r="F559" s="22" t="s">
        <v>21</v>
      </c>
      <c r="G559" s="22" t="s">
        <v>122</v>
      </c>
      <c r="H559" s="22" t="s">
        <v>156</v>
      </c>
      <c r="I559" s="22" t="s">
        <v>45</v>
      </c>
      <c r="J559" s="22" t="s">
        <v>34</v>
      </c>
      <c r="K559" s="22" t="s">
        <v>53</v>
      </c>
      <c r="L559" s="22">
        <v>4</v>
      </c>
      <c r="M559" s="22">
        <v>93200</v>
      </c>
      <c r="N559" s="22">
        <v>0</v>
      </c>
      <c r="O559" s="22">
        <v>372800</v>
      </c>
      <c r="P559" s="22">
        <v>295840.64</v>
      </c>
      <c r="Q559" s="22">
        <v>76959.36</v>
      </c>
      <c r="R559" s="22" t="s">
        <v>77</v>
      </c>
    </row>
    <row r="560" hidden="1" spans="1:18">
      <c r="A560" s="22" t="s">
        <v>694</v>
      </c>
      <c r="B560" s="23">
        <v>43233</v>
      </c>
      <c r="C560" s="24">
        <f t="shared" si="8"/>
        <v>5</v>
      </c>
      <c r="D560" s="22" t="s">
        <v>133</v>
      </c>
      <c r="E560" s="22" t="s">
        <v>213</v>
      </c>
      <c r="F560" s="22" t="s">
        <v>60</v>
      </c>
      <c r="G560" s="22" t="s">
        <v>86</v>
      </c>
      <c r="H560" s="22" t="s">
        <v>106</v>
      </c>
      <c r="I560" s="22" t="s">
        <v>45</v>
      </c>
      <c r="J560" s="22" t="s">
        <v>88</v>
      </c>
      <c r="K560" s="22" t="s">
        <v>26</v>
      </c>
      <c r="L560" s="22">
        <v>10</v>
      </c>
      <c r="M560" s="22">
        <v>19600</v>
      </c>
      <c r="N560" s="22">
        <v>0.1</v>
      </c>
      <c r="O560" s="22">
        <v>176400</v>
      </c>
      <c r="P560" s="22">
        <v>144752.56</v>
      </c>
      <c r="Q560" s="22">
        <v>31647.44</v>
      </c>
      <c r="R560" s="22" t="s">
        <v>58</v>
      </c>
    </row>
    <row r="561" hidden="1" spans="1:18">
      <c r="A561" s="22" t="s">
        <v>695</v>
      </c>
      <c r="B561" s="23">
        <v>43140</v>
      </c>
      <c r="C561" s="24">
        <f t="shared" si="8"/>
        <v>2</v>
      </c>
      <c r="D561" s="22" t="s">
        <v>19</v>
      </c>
      <c r="E561" s="22" t="s">
        <v>20</v>
      </c>
      <c r="F561" s="22" t="s">
        <v>31</v>
      </c>
      <c r="G561" s="22" t="s">
        <v>66</v>
      </c>
      <c r="H561" s="22" t="s">
        <v>244</v>
      </c>
      <c r="I561" s="22" t="s">
        <v>45</v>
      </c>
      <c r="J561" s="22" t="s">
        <v>40</v>
      </c>
      <c r="K561" s="22" t="s">
        <v>53</v>
      </c>
      <c r="L561" s="22">
        <v>5</v>
      </c>
      <c r="M561" s="22">
        <v>14900</v>
      </c>
      <c r="N561" s="22">
        <v>0.2</v>
      </c>
      <c r="O561" s="22">
        <v>59600</v>
      </c>
      <c r="P561" s="22">
        <v>40783.97</v>
      </c>
      <c r="Q561" s="22">
        <v>18816.03</v>
      </c>
      <c r="R561" s="22" t="s">
        <v>35</v>
      </c>
    </row>
    <row r="562" hidden="1" spans="1:18">
      <c r="A562" s="22" t="s">
        <v>696</v>
      </c>
      <c r="B562" s="23">
        <v>43733</v>
      </c>
      <c r="C562" s="24">
        <f t="shared" si="8"/>
        <v>9</v>
      </c>
      <c r="D562" s="22" t="s">
        <v>19</v>
      </c>
      <c r="E562" s="22" t="s">
        <v>20</v>
      </c>
      <c r="F562" s="22" t="s">
        <v>21</v>
      </c>
      <c r="G562" s="22" t="s">
        <v>22</v>
      </c>
      <c r="H562" s="22" t="s">
        <v>39</v>
      </c>
      <c r="I562" s="22" t="s">
        <v>24</v>
      </c>
      <c r="J562" s="22" t="s">
        <v>25</v>
      </c>
      <c r="K562" s="22" t="s">
        <v>53</v>
      </c>
      <c r="L562" s="22">
        <v>1</v>
      </c>
      <c r="M562" s="22">
        <v>25700</v>
      </c>
      <c r="N562" s="22">
        <v>0</v>
      </c>
      <c r="O562" s="22">
        <v>25700</v>
      </c>
      <c r="P562" s="22">
        <v>19646.21</v>
      </c>
      <c r="Q562" s="22">
        <v>6053.79</v>
      </c>
      <c r="R562" s="22" t="s">
        <v>27</v>
      </c>
    </row>
    <row r="563" hidden="1" spans="1:18">
      <c r="A563" s="22" t="s">
        <v>697</v>
      </c>
      <c r="B563" s="23">
        <v>44056</v>
      </c>
      <c r="C563" s="24">
        <f t="shared" si="8"/>
        <v>8</v>
      </c>
      <c r="D563" s="22" t="s">
        <v>79</v>
      </c>
      <c r="E563" s="22" t="s">
        <v>20</v>
      </c>
      <c r="F563" s="22" t="s">
        <v>96</v>
      </c>
      <c r="G563" s="22" t="s">
        <v>97</v>
      </c>
      <c r="H563" s="22" t="s">
        <v>98</v>
      </c>
      <c r="I563" s="22" t="s">
        <v>45</v>
      </c>
      <c r="J563" s="22" t="s">
        <v>88</v>
      </c>
      <c r="K563" s="22" t="s">
        <v>47</v>
      </c>
      <c r="L563" s="22">
        <v>6</v>
      </c>
      <c r="M563" s="22">
        <v>35100</v>
      </c>
      <c r="N563" s="22">
        <v>0.1</v>
      </c>
      <c r="O563" s="22">
        <v>189540</v>
      </c>
      <c r="P563" s="22">
        <v>138980.68</v>
      </c>
      <c r="Q563" s="22">
        <v>50559.32</v>
      </c>
      <c r="R563" s="22" t="s">
        <v>48</v>
      </c>
    </row>
    <row r="564" hidden="1" spans="1:18">
      <c r="A564" s="22" t="s">
        <v>698</v>
      </c>
      <c r="B564" s="23">
        <v>44590</v>
      </c>
      <c r="C564" s="24">
        <f t="shared" si="8"/>
        <v>1</v>
      </c>
      <c r="D564" s="22" t="s">
        <v>69</v>
      </c>
      <c r="E564" s="22" t="s">
        <v>20</v>
      </c>
      <c r="F564" s="22" t="s">
        <v>96</v>
      </c>
      <c r="G564" s="22" t="s">
        <v>113</v>
      </c>
      <c r="H564" s="22" t="s">
        <v>126</v>
      </c>
      <c r="I564" s="22" t="s">
        <v>51</v>
      </c>
      <c r="J564" s="22" t="s">
        <v>170</v>
      </c>
      <c r="K564" s="22" t="s">
        <v>47</v>
      </c>
      <c r="L564" s="22">
        <v>5</v>
      </c>
      <c r="M564" s="22">
        <v>23200</v>
      </c>
      <c r="N564" s="22">
        <v>0</v>
      </c>
      <c r="O564" s="22">
        <v>116000</v>
      </c>
      <c r="P564" s="22">
        <v>77964.4</v>
      </c>
      <c r="Q564" s="22">
        <v>38035.6</v>
      </c>
      <c r="R564" s="22" t="s">
        <v>35</v>
      </c>
    </row>
    <row r="565" hidden="1" spans="1:18">
      <c r="A565" s="22" t="s">
        <v>699</v>
      </c>
      <c r="B565" s="23">
        <v>44592</v>
      </c>
      <c r="C565" s="24">
        <f t="shared" si="8"/>
        <v>1</v>
      </c>
      <c r="D565" s="22" t="s">
        <v>69</v>
      </c>
      <c r="E565" s="22" t="s">
        <v>20</v>
      </c>
      <c r="F565" s="22" t="s">
        <v>55</v>
      </c>
      <c r="G565" s="22" t="s">
        <v>195</v>
      </c>
      <c r="H565" s="22" t="s">
        <v>448</v>
      </c>
      <c r="I565" s="22" t="s">
        <v>45</v>
      </c>
      <c r="J565" s="22" t="s">
        <v>25</v>
      </c>
      <c r="K565" s="22" t="s">
        <v>47</v>
      </c>
      <c r="L565" s="22">
        <v>7</v>
      </c>
      <c r="M565" s="22">
        <v>21200</v>
      </c>
      <c r="N565" s="22">
        <v>0</v>
      </c>
      <c r="O565" s="22">
        <v>148400</v>
      </c>
      <c r="P565" s="22">
        <v>106078.76</v>
      </c>
      <c r="Q565" s="22">
        <v>42321.24</v>
      </c>
      <c r="R565" s="22" t="s">
        <v>58</v>
      </c>
    </row>
    <row r="566" hidden="1" spans="1:18">
      <c r="A566" s="22" t="s">
        <v>700</v>
      </c>
      <c r="B566" s="23">
        <v>44297</v>
      </c>
      <c r="C566" s="24">
        <f t="shared" si="8"/>
        <v>4</v>
      </c>
      <c r="D566" s="22" t="s">
        <v>79</v>
      </c>
      <c r="E566" s="22" t="s">
        <v>20</v>
      </c>
      <c r="F566" s="22" t="s">
        <v>21</v>
      </c>
      <c r="G566" s="22" t="s">
        <v>122</v>
      </c>
      <c r="H566" s="22" t="s">
        <v>138</v>
      </c>
      <c r="I566" s="22" t="s">
        <v>45</v>
      </c>
      <c r="J566" s="22" t="s">
        <v>40</v>
      </c>
      <c r="K566" s="22" t="s">
        <v>26</v>
      </c>
      <c r="L566" s="22">
        <v>10</v>
      </c>
      <c r="M566" s="22">
        <v>56200</v>
      </c>
      <c r="N566" s="22">
        <v>0</v>
      </c>
      <c r="O566" s="22">
        <v>562000</v>
      </c>
      <c r="P566" s="22">
        <v>447173.44</v>
      </c>
      <c r="Q566" s="22">
        <v>114826.56</v>
      </c>
      <c r="R566" s="22" t="s">
        <v>48</v>
      </c>
    </row>
    <row r="567" hidden="1" spans="1:18">
      <c r="A567" s="22" t="s">
        <v>701</v>
      </c>
      <c r="B567" s="23">
        <v>43764</v>
      </c>
      <c r="C567" s="24">
        <f t="shared" si="8"/>
        <v>10</v>
      </c>
      <c r="D567" s="22" t="s">
        <v>19</v>
      </c>
      <c r="E567" s="22" t="s">
        <v>20</v>
      </c>
      <c r="F567" s="22" t="s">
        <v>55</v>
      </c>
      <c r="G567" s="22" t="s">
        <v>195</v>
      </c>
      <c r="H567" s="22" t="s">
        <v>196</v>
      </c>
      <c r="I567" s="22" t="s">
        <v>51</v>
      </c>
      <c r="J567" s="22" t="s">
        <v>52</v>
      </c>
      <c r="K567" s="22" t="s">
        <v>53</v>
      </c>
      <c r="L567" s="22">
        <v>7</v>
      </c>
      <c r="M567" s="22">
        <v>10800</v>
      </c>
      <c r="N567" s="22">
        <v>0</v>
      </c>
      <c r="O567" s="22">
        <v>75600</v>
      </c>
      <c r="P567" s="22">
        <v>56409.32</v>
      </c>
      <c r="Q567" s="22">
        <v>19190.68</v>
      </c>
      <c r="R567" s="22" t="s">
        <v>48</v>
      </c>
    </row>
    <row r="568" hidden="1" spans="1:18">
      <c r="A568" s="22" t="s">
        <v>702</v>
      </c>
      <c r="B568" s="23">
        <v>43347</v>
      </c>
      <c r="C568" s="24">
        <f t="shared" si="8"/>
        <v>9</v>
      </c>
      <c r="D568" s="22" t="s">
        <v>42</v>
      </c>
      <c r="E568" s="22" t="s">
        <v>20</v>
      </c>
      <c r="F568" s="22" t="s">
        <v>31</v>
      </c>
      <c r="G568" s="22" t="s">
        <v>172</v>
      </c>
      <c r="H568" s="22" t="s">
        <v>286</v>
      </c>
      <c r="I568" s="22" t="s">
        <v>24</v>
      </c>
      <c r="J568" s="22" t="s">
        <v>170</v>
      </c>
      <c r="K568" s="22" t="s">
        <v>53</v>
      </c>
      <c r="L568" s="22">
        <v>1</v>
      </c>
      <c r="M568" s="22">
        <v>70000</v>
      </c>
      <c r="N568" s="22">
        <v>0.15</v>
      </c>
      <c r="O568" s="22">
        <v>59500</v>
      </c>
      <c r="P568" s="22">
        <v>40443.03</v>
      </c>
      <c r="Q568" s="22">
        <v>19056.97</v>
      </c>
      <c r="R568" s="22" t="s">
        <v>58</v>
      </c>
    </row>
    <row r="569" hidden="1" spans="1:18">
      <c r="A569" s="22" t="s">
        <v>703</v>
      </c>
      <c r="B569" s="23">
        <v>43994</v>
      </c>
      <c r="C569" s="24">
        <f t="shared" si="8"/>
        <v>6</v>
      </c>
      <c r="D569" s="22" t="s">
        <v>75</v>
      </c>
      <c r="E569" s="22" t="s">
        <v>20</v>
      </c>
      <c r="F569" s="22" t="s">
        <v>31</v>
      </c>
      <c r="G569" s="22" t="s">
        <v>172</v>
      </c>
      <c r="H569" s="22" t="s">
        <v>173</v>
      </c>
      <c r="I569" s="22" t="s">
        <v>45</v>
      </c>
      <c r="J569" s="22" t="s">
        <v>25</v>
      </c>
      <c r="K569" s="22" t="s">
        <v>26</v>
      </c>
      <c r="L569" s="22">
        <v>4</v>
      </c>
      <c r="M569" s="22">
        <v>32700</v>
      </c>
      <c r="N569" s="22">
        <v>0</v>
      </c>
      <c r="O569" s="22">
        <v>130800</v>
      </c>
      <c r="P569" s="22">
        <v>104778.75</v>
      </c>
      <c r="Q569" s="22">
        <v>26021.25</v>
      </c>
      <c r="R569" s="22" t="s">
        <v>35</v>
      </c>
    </row>
    <row r="570" hidden="1" spans="1:18">
      <c r="A570" s="22" t="s">
        <v>704</v>
      </c>
      <c r="B570" s="23">
        <v>45719</v>
      </c>
      <c r="C570" s="24">
        <f t="shared" si="8"/>
        <v>3</v>
      </c>
      <c r="D570" s="22" t="s">
        <v>103</v>
      </c>
      <c r="E570" s="22" t="s">
        <v>20</v>
      </c>
      <c r="F570" s="22" t="s">
        <v>96</v>
      </c>
      <c r="G570" s="22" t="s">
        <v>113</v>
      </c>
      <c r="H570" s="22" t="s">
        <v>119</v>
      </c>
      <c r="I570" s="22" t="s">
        <v>51</v>
      </c>
      <c r="J570" s="22" t="s">
        <v>99</v>
      </c>
      <c r="K570" s="22" t="s">
        <v>26</v>
      </c>
      <c r="L570" s="22">
        <v>10</v>
      </c>
      <c r="M570" s="22">
        <v>31200</v>
      </c>
      <c r="N570" s="22">
        <v>0.15</v>
      </c>
      <c r="O570" s="22">
        <v>265200</v>
      </c>
      <c r="P570" s="22">
        <v>222730.09</v>
      </c>
      <c r="Q570" s="22">
        <v>42469.91</v>
      </c>
      <c r="R570" s="22" t="s">
        <v>58</v>
      </c>
    </row>
    <row r="571" hidden="1" spans="1:18">
      <c r="A571" s="22" t="s">
        <v>705</v>
      </c>
      <c r="B571" s="23">
        <v>45749</v>
      </c>
      <c r="C571" s="24">
        <f t="shared" si="8"/>
        <v>4</v>
      </c>
      <c r="D571" s="22" t="s">
        <v>69</v>
      </c>
      <c r="E571" s="22" t="s">
        <v>20</v>
      </c>
      <c r="F571" s="22" t="s">
        <v>55</v>
      </c>
      <c r="G571" s="22" t="s">
        <v>80</v>
      </c>
      <c r="H571" s="22" t="s">
        <v>160</v>
      </c>
      <c r="I571" s="22" t="s">
        <v>24</v>
      </c>
      <c r="J571" s="22" t="s">
        <v>25</v>
      </c>
      <c r="K571" s="22" t="s">
        <v>53</v>
      </c>
      <c r="L571" s="22">
        <v>6</v>
      </c>
      <c r="M571" s="22">
        <v>74300</v>
      </c>
      <c r="N571" s="22">
        <v>0.05</v>
      </c>
      <c r="O571" s="22">
        <v>423510</v>
      </c>
      <c r="P571" s="22">
        <v>268330.74</v>
      </c>
      <c r="Q571" s="22">
        <v>155179.26</v>
      </c>
      <c r="R571" s="22" t="s">
        <v>35</v>
      </c>
    </row>
    <row r="572" hidden="1" spans="1:18">
      <c r="A572" s="22" t="s">
        <v>706</v>
      </c>
      <c r="B572" s="23">
        <v>43696</v>
      </c>
      <c r="C572" s="24">
        <f t="shared" si="8"/>
        <v>8</v>
      </c>
      <c r="D572" s="22" t="s">
        <v>29</v>
      </c>
      <c r="E572" s="22" t="s">
        <v>30</v>
      </c>
      <c r="F572" s="22" t="s">
        <v>31</v>
      </c>
      <c r="G572" s="22" t="s">
        <v>172</v>
      </c>
      <c r="H572" s="22" t="s">
        <v>286</v>
      </c>
      <c r="I572" s="22" t="s">
        <v>24</v>
      </c>
      <c r="J572" s="22" t="s">
        <v>63</v>
      </c>
      <c r="K572" s="22" t="s">
        <v>47</v>
      </c>
      <c r="L572" s="22">
        <v>9</v>
      </c>
      <c r="M572" s="22">
        <v>4800</v>
      </c>
      <c r="N572" s="22">
        <v>0.2</v>
      </c>
      <c r="O572" s="22">
        <v>34560</v>
      </c>
      <c r="P572" s="22">
        <v>26214.81</v>
      </c>
      <c r="Q572" s="22">
        <v>8345.19</v>
      </c>
      <c r="R572" s="22" t="s">
        <v>77</v>
      </c>
    </row>
    <row r="573" hidden="1" spans="1:18">
      <c r="A573" s="22" t="s">
        <v>707</v>
      </c>
      <c r="B573" s="23">
        <v>44052</v>
      </c>
      <c r="C573" s="24">
        <f t="shared" si="8"/>
        <v>8</v>
      </c>
      <c r="D573" s="22" t="s">
        <v>19</v>
      </c>
      <c r="E573" s="22" t="s">
        <v>20</v>
      </c>
      <c r="F573" s="22" t="s">
        <v>60</v>
      </c>
      <c r="G573" s="22" t="s">
        <v>141</v>
      </c>
      <c r="H573" s="22" t="s">
        <v>142</v>
      </c>
      <c r="I573" s="22" t="s">
        <v>51</v>
      </c>
      <c r="J573" s="22" t="s">
        <v>170</v>
      </c>
      <c r="K573" s="22" t="s">
        <v>47</v>
      </c>
      <c r="L573" s="22">
        <v>6</v>
      </c>
      <c r="M573" s="22">
        <v>7200</v>
      </c>
      <c r="N573" s="22">
        <v>0</v>
      </c>
      <c r="O573" s="22">
        <v>43200</v>
      </c>
      <c r="P573" s="22">
        <v>32303.62</v>
      </c>
      <c r="Q573" s="22">
        <v>10896.38</v>
      </c>
      <c r="R573" s="22" t="s">
        <v>27</v>
      </c>
    </row>
    <row r="574" hidden="1" spans="1:18">
      <c r="A574" s="22" t="s">
        <v>708</v>
      </c>
      <c r="B574" s="23">
        <v>45715</v>
      </c>
      <c r="C574" s="24">
        <f t="shared" si="8"/>
        <v>2</v>
      </c>
      <c r="D574" s="22" t="s">
        <v>103</v>
      </c>
      <c r="E574" s="22" t="s">
        <v>20</v>
      </c>
      <c r="F574" s="22" t="s">
        <v>31</v>
      </c>
      <c r="G574" s="22" t="s">
        <v>32</v>
      </c>
      <c r="H574" s="22" t="s">
        <v>226</v>
      </c>
      <c r="I574" s="22" t="s">
        <v>51</v>
      </c>
      <c r="J574" s="22" t="s">
        <v>25</v>
      </c>
      <c r="K574" s="22" t="s">
        <v>26</v>
      </c>
      <c r="L574" s="22">
        <v>9</v>
      </c>
      <c r="M574" s="22">
        <v>85100</v>
      </c>
      <c r="N574" s="22">
        <v>0.1</v>
      </c>
      <c r="O574" s="22">
        <v>689310</v>
      </c>
      <c r="P574" s="22">
        <v>446754.64</v>
      </c>
      <c r="Q574" s="22">
        <v>242555.36</v>
      </c>
      <c r="R574" s="22" t="s">
        <v>27</v>
      </c>
    </row>
    <row r="575" hidden="1" spans="1:18">
      <c r="A575" s="22" t="s">
        <v>709</v>
      </c>
      <c r="B575" s="23">
        <v>45660</v>
      </c>
      <c r="C575" s="24">
        <f t="shared" si="8"/>
        <v>1</v>
      </c>
      <c r="D575" s="22" t="s">
        <v>85</v>
      </c>
      <c r="E575" s="22" t="s">
        <v>30</v>
      </c>
      <c r="F575" s="22" t="s">
        <v>96</v>
      </c>
      <c r="G575" s="22" t="s">
        <v>113</v>
      </c>
      <c r="H575" s="22" t="s">
        <v>114</v>
      </c>
      <c r="I575" s="22" t="s">
        <v>45</v>
      </c>
      <c r="J575" s="22" t="s">
        <v>25</v>
      </c>
      <c r="K575" s="22" t="s">
        <v>53</v>
      </c>
      <c r="L575" s="22">
        <v>10</v>
      </c>
      <c r="M575" s="22">
        <v>4500</v>
      </c>
      <c r="N575" s="22">
        <v>0.15</v>
      </c>
      <c r="O575" s="22">
        <v>38250</v>
      </c>
      <c r="P575" s="22">
        <v>29731.33</v>
      </c>
      <c r="Q575" s="22">
        <v>8518.67</v>
      </c>
      <c r="R575" s="22" t="s">
        <v>35</v>
      </c>
    </row>
    <row r="576" hidden="1" spans="1:18">
      <c r="A576" s="22" t="s">
        <v>710</v>
      </c>
      <c r="B576" s="23">
        <v>44004</v>
      </c>
      <c r="C576" s="24">
        <f t="shared" si="8"/>
        <v>6</v>
      </c>
      <c r="D576" s="22" t="s">
        <v>79</v>
      </c>
      <c r="E576" s="22" t="s">
        <v>20</v>
      </c>
      <c r="F576" s="22" t="s">
        <v>55</v>
      </c>
      <c r="G576" s="22" t="s">
        <v>80</v>
      </c>
      <c r="H576" s="22" t="s">
        <v>81</v>
      </c>
      <c r="I576" s="22" t="s">
        <v>51</v>
      </c>
      <c r="J576" s="22" t="s">
        <v>116</v>
      </c>
      <c r="K576" s="22" t="s">
        <v>53</v>
      </c>
      <c r="L576" s="22">
        <v>5</v>
      </c>
      <c r="M576" s="22">
        <v>29200</v>
      </c>
      <c r="N576" s="22">
        <v>0</v>
      </c>
      <c r="O576" s="22">
        <v>146000</v>
      </c>
      <c r="P576" s="22">
        <v>114161.46</v>
      </c>
      <c r="Q576" s="22">
        <v>31838.54</v>
      </c>
      <c r="R576" s="22" t="s">
        <v>58</v>
      </c>
    </row>
    <row r="577" hidden="1" spans="1:18">
      <c r="A577" s="22" t="s">
        <v>711</v>
      </c>
      <c r="B577" s="23">
        <v>43320</v>
      </c>
      <c r="C577" s="24">
        <f t="shared" si="8"/>
        <v>8</v>
      </c>
      <c r="D577" s="22" t="s">
        <v>79</v>
      </c>
      <c r="E577" s="22" t="s">
        <v>20</v>
      </c>
      <c r="F577" s="22" t="s">
        <v>60</v>
      </c>
      <c r="G577" s="22" t="s">
        <v>93</v>
      </c>
      <c r="H577" s="22" t="s">
        <v>101</v>
      </c>
      <c r="I577" s="22" t="s">
        <v>45</v>
      </c>
      <c r="J577" s="22" t="s">
        <v>63</v>
      </c>
      <c r="K577" s="22" t="s">
        <v>53</v>
      </c>
      <c r="L577" s="22">
        <v>8</v>
      </c>
      <c r="M577" s="22">
        <v>56400</v>
      </c>
      <c r="N577" s="22">
        <v>0.2</v>
      </c>
      <c r="O577" s="22">
        <v>360960</v>
      </c>
      <c r="P577" s="22">
        <v>273992.62</v>
      </c>
      <c r="Q577" s="22">
        <v>86967.38</v>
      </c>
      <c r="R577" s="22" t="s">
        <v>35</v>
      </c>
    </row>
    <row r="578" hidden="1" spans="1:18">
      <c r="A578" s="22" t="s">
        <v>712</v>
      </c>
      <c r="B578" s="23">
        <v>44071</v>
      </c>
      <c r="C578" s="24">
        <f t="shared" ref="C578:C641" si="9">MONTH(B578)</f>
        <v>8</v>
      </c>
      <c r="D578" s="22" t="s">
        <v>29</v>
      </c>
      <c r="E578" s="22" t="s">
        <v>30</v>
      </c>
      <c r="F578" s="22" t="s">
        <v>60</v>
      </c>
      <c r="G578" s="22" t="s">
        <v>93</v>
      </c>
      <c r="H578" s="22" t="s">
        <v>101</v>
      </c>
      <c r="I578" s="22" t="s">
        <v>24</v>
      </c>
      <c r="J578" s="22" t="s">
        <v>52</v>
      </c>
      <c r="K578" s="22" t="s">
        <v>47</v>
      </c>
      <c r="L578" s="22">
        <v>3</v>
      </c>
      <c r="M578" s="22">
        <v>4000</v>
      </c>
      <c r="N578" s="22">
        <v>0.2</v>
      </c>
      <c r="O578" s="22">
        <v>9600</v>
      </c>
      <c r="P578" s="22">
        <v>6760.69</v>
      </c>
      <c r="Q578" s="22">
        <v>2839.31</v>
      </c>
      <c r="R578" s="22" t="s">
        <v>27</v>
      </c>
    </row>
    <row r="579" hidden="1" spans="1:18">
      <c r="A579" s="22" t="s">
        <v>713</v>
      </c>
      <c r="B579" s="23">
        <v>44096</v>
      </c>
      <c r="C579" s="24">
        <f t="shared" si="9"/>
        <v>9</v>
      </c>
      <c r="D579" s="22" t="s">
        <v>37</v>
      </c>
      <c r="E579" s="22" t="s">
        <v>20</v>
      </c>
      <c r="F579" s="22" t="s">
        <v>96</v>
      </c>
      <c r="G579" s="22" t="s">
        <v>113</v>
      </c>
      <c r="H579" s="22" t="s">
        <v>126</v>
      </c>
      <c r="I579" s="22" t="s">
        <v>51</v>
      </c>
      <c r="J579" s="22" t="s">
        <v>25</v>
      </c>
      <c r="K579" s="22" t="s">
        <v>47</v>
      </c>
      <c r="L579" s="22">
        <v>7</v>
      </c>
      <c r="M579" s="22">
        <v>10400</v>
      </c>
      <c r="N579" s="22">
        <v>0.1</v>
      </c>
      <c r="O579" s="22">
        <v>65520</v>
      </c>
      <c r="P579" s="22">
        <v>41425.69</v>
      </c>
      <c r="Q579" s="22">
        <v>24094.31</v>
      </c>
      <c r="R579" s="22" t="s">
        <v>35</v>
      </c>
    </row>
    <row r="580" hidden="1" spans="1:18">
      <c r="A580" s="22" t="s">
        <v>714</v>
      </c>
      <c r="B580" s="23">
        <v>44092</v>
      </c>
      <c r="C580" s="24">
        <f t="shared" si="9"/>
        <v>9</v>
      </c>
      <c r="D580" s="22" t="s">
        <v>85</v>
      </c>
      <c r="E580" s="22" t="s">
        <v>30</v>
      </c>
      <c r="F580" s="22" t="s">
        <v>31</v>
      </c>
      <c r="G580" s="22" t="s">
        <v>172</v>
      </c>
      <c r="H580" s="22" t="s">
        <v>269</v>
      </c>
      <c r="I580" s="22" t="s">
        <v>51</v>
      </c>
      <c r="J580" s="22" t="s">
        <v>88</v>
      </c>
      <c r="K580" s="22" t="s">
        <v>26</v>
      </c>
      <c r="L580" s="22">
        <v>2</v>
      </c>
      <c r="M580" s="22">
        <v>2700</v>
      </c>
      <c r="N580" s="22">
        <v>0.1</v>
      </c>
      <c r="O580" s="22">
        <v>4860</v>
      </c>
      <c r="P580" s="22">
        <v>3640</v>
      </c>
      <c r="Q580" s="22">
        <v>1220</v>
      </c>
      <c r="R580" s="22" t="s">
        <v>27</v>
      </c>
    </row>
    <row r="581" hidden="1" spans="1:18">
      <c r="A581" s="22" t="s">
        <v>715</v>
      </c>
      <c r="B581" s="23">
        <v>45843</v>
      </c>
      <c r="C581" s="24">
        <f t="shared" si="9"/>
        <v>7</v>
      </c>
      <c r="D581" s="22" t="s">
        <v>133</v>
      </c>
      <c r="E581" s="22" t="s">
        <v>213</v>
      </c>
      <c r="F581" s="22" t="s">
        <v>31</v>
      </c>
      <c r="G581" s="22" t="s">
        <v>66</v>
      </c>
      <c r="H581" s="22" t="s">
        <v>244</v>
      </c>
      <c r="I581" s="22" t="s">
        <v>24</v>
      </c>
      <c r="J581" s="22" t="s">
        <v>73</v>
      </c>
      <c r="K581" s="22" t="s">
        <v>47</v>
      </c>
      <c r="L581" s="22">
        <v>6</v>
      </c>
      <c r="M581" s="22">
        <v>22700</v>
      </c>
      <c r="N581" s="22">
        <v>0.05</v>
      </c>
      <c r="O581" s="22">
        <v>129390</v>
      </c>
      <c r="P581" s="22">
        <v>84475.62</v>
      </c>
      <c r="Q581" s="22">
        <v>44914.38</v>
      </c>
      <c r="R581" s="22" t="s">
        <v>35</v>
      </c>
    </row>
    <row r="582" hidden="1" spans="1:18">
      <c r="A582" s="22" t="s">
        <v>716</v>
      </c>
      <c r="B582" s="23">
        <v>44113</v>
      </c>
      <c r="C582" s="24">
        <f t="shared" si="9"/>
        <v>10</v>
      </c>
      <c r="D582" s="22" t="s">
        <v>79</v>
      </c>
      <c r="E582" s="22" t="s">
        <v>20</v>
      </c>
      <c r="F582" s="22" t="s">
        <v>55</v>
      </c>
      <c r="G582" s="22" t="s">
        <v>80</v>
      </c>
      <c r="H582" s="22" t="s">
        <v>160</v>
      </c>
      <c r="I582" s="22" t="s">
        <v>45</v>
      </c>
      <c r="J582" s="22" t="s">
        <v>52</v>
      </c>
      <c r="K582" s="22" t="s">
        <v>26</v>
      </c>
      <c r="L582" s="22">
        <v>2</v>
      </c>
      <c r="M582" s="22">
        <v>57600</v>
      </c>
      <c r="N582" s="22">
        <v>0.05</v>
      </c>
      <c r="O582" s="22">
        <v>109440</v>
      </c>
      <c r="P582" s="22">
        <v>80307.06</v>
      </c>
      <c r="Q582" s="22">
        <v>29132.94</v>
      </c>
      <c r="R582" s="22" t="s">
        <v>58</v>
      </c>
    </row>
    <row r="583" hidden="1" spans="1:18">
      <c r="A583" s="22" t="s">
        <v>717</v>
      </c>
      <c r="B583" s="23">
        <v>43298</v>
      </c>
      <c r="C583" s="24">
        <f t="shared" si="9"/>
        <v>7</v>
      </c>
      <c r="D583" s="22" t="s">
        <v>37</v>
      </c>
      <c r="E583" s="22" t="s">
        <v>20</v>
      </c>
      <c r="F583" s="22" t="s">
        <v>60</v>
      </c>
      <c r="G583" s="22" t="s">
        <v>86</v>
      </c>
      <c r="H583" s="22" t="s">
        <v>87</v>
      </c>
      <c r="I583" s="22" t="s">
        <v>45</v>
      </c>
      <c r="J583" s="22" t="s">
        <v>46</v>
      </c>
      <c r="K583" s="22" t="s">
        <v>26</v>
      </c>
      <c r="L583" s="22">
        <v>3</v>
      </c>
      <c r="M583" s="22">
        <v>15400</v>
      </c>
      <c r="N583" s="22">
        <v>0.1</v>
      </c>
      <c r="O583" s="22">
        <v>41580</v>
      </c>
      <c r="P583" s="22">
        <v>32885.65</v>
      </c>
      <c r="Q583" s="22">
        <v>8694.35</v>
      </c>
      <c r="R583" s="22" t="s">
        <v>27</v>
      </c>
    </row>
    <row r="584" hidden="1" spans="1:18">
      <c r="A584" s="22" t="s">
        <v>718</v>
      </c>
      <c r="B584" s="23">
        <v>43713</v>
      </c>
      <c r="C584" s="24">
        <f t="shared" si="9"/>
        <v>9</v>
      </c>
      <c r="D584" s="22" t="s">
        <v>79</v>
      </c>
      <c r="E584" s="22" t="s">
        <v>20</v>
      </c>
      <c r="F584" s="22" t="s">
        <v>60</v>
      </c>
      <c r="G584" s="22" t="s">
        <v>141</v>
      </c>
      <c r="H584" s="22" t="s">
        <v>142</v>
      </c>
      <c r="I584" s="22" t="s">
        <v>51</v>
      </c>
      <c r="J584" s="22" t="s">
        <v>63</v>
      </c>
      <c r="K584" s="22" t="s">
        <v>53</v>
      </c>
      <c r="L584" s="22">
        <v>8</v>
      </c>
      <c r="M584" s="22">
        <v>38400</v>
      </c>
      <c r="N584" s="22">
        <v>0.1</v>
      </c>
      <c r="O584" s="22">
        <v>276480</v>
      </c>
      <c r="P584" s="22">
        <v>213066.42</v>
      </c>
      <c r="Q584" s="22">
        <v>63413.58</v>
      </c>
      <c r="R584" s="22" t="s">
        <v>77</v>
      </c>
    </row>
    <row r="585" hidden="1" spans="1:18">
      <c r="A585" s="22" t="s">
        <v>719</v>
      </c>
      <c r="B585" s="23">
        <v>44191</v>
      </c>
      <c r="C585" s="24">
        <f t="shared" si="9"/>
        <v>12</v>
      </c>
      <c r="D585" s="22" t="s">
        <v>79</v>
      </c>
      <c r="E585" s="22" t="s">
        <v>20</v>
      </c>
      <c r="F585" s="22" t="s">
        <v>21</v>
      </c>
      <c r="G585" s="22" t="s">
        <v>22</v>
      </c>
      <c r="H585" s="22" t="s">
        <v>215</v>
      </c>
      <c r="I585" s="22" t="s">
        <v>45</v>
      </c>
      <c r="J585" s="22" t="s">
        <v>170</v>
      </c>
      <c r="K585" s="22" t="s">
        <v>53</v>
      </c>
      <c r="L585" s="22">
        <v>1</v>
      </c>
      <c r="M585" s="22">
        <v>72900</v>
      </c>
      <c r="N585" s="22">
        <v>0.05</v>
      </c>
      <c r="O585" s="22">
        <v>69255</v>
      </c>
      <c r="P585" s="22">
        <v>48095.62</v>
      </c>
      <c r="Q585" s="22">
        <v>21159.38</v>
      </c>
      <c r="R585" s="22" t="s">
        <v>48</v>
      </c>
    </row>
    <row r="586" hidden="1" spans="1:18">
      <c r="A586" s="22" t="s">
        <v>720</v>
      </c>
      <c r="B586" s="23">
        <v>43770</v>
      </c>
      <c r="C586" s="24">
        <f t="shared" si="9"/>
        <v>11</v>
      </c>
      <c r="D586" s="22" t="s">
        <v>79</v>
      </c>
      <c r="E586" s="22" t="s">
        <v>20</v>
      </c>
      <c r="F586" s="22" t="s">
        <v>21</v>
      </c>
      <c r="G586" s="22" t="s">
        <v>167</v>
      </c>
      <c r="H586" s="22" t="s">
        <v>206</v>
      </c>
      <c r="I586" s="22" t="s">
        <v>51</v>
      </c>
      <c r="J586" s="22" t="s">
        <v>40</v>
      </c>
      <c r="K586" s="22" t="s">
        <v>53</v>
      </c>
      <c r="L586" s="22">
        <v>9</v>
      </c>
      <c r="M586" s="22">
        <v>16900</v>
      </c>
      <c r="N586" s="22">
        <v>0</v>
      </c>
      <c r="O586" s="22">
        <v>152100</v>
      </c>
      <c r="P586" s="22">
        <v>115486.29</v>
      </c>
      <c r="Q586" s="22">
        <v>36613.71</v>
      </c>
      <c r="R586" s="22" t="s">
        <v>27</v>
      </c>
    </row>
    <row r="587" hidden="1" spans="1:18">
      <c r="A587" s="22" t="s">
        <v>721</v>
      </c>
      <c r="B587" s="23">
        <v>43815</v>
      </c>
      <c r="C587" s="24">
        <f t="shared" si="9"/>
        <v>12</v>
      </c>
      <c r="D587" s="22" t="s">
        <v>79</v>
      </c>
      <c r="E587" s="22" t="s">
        <v>20</v>
      </c>
      <c r="F587" s="22" t="s">
        <v>21</v>
      </c>
      <c r="G587" s="22" t="s">
        <v>167</v>
      </c>
      <c r="H587" s="22" t="s">
        <v>254</v>
      </c>
      <c r="I587" s="22" t="s">
        <v>24</v>
      </c>
      <c r="J587" s="22" t="s">
        <v>34</v>
      </c>
      <c r="K587" s="22" t="s">
        <v>53</v>
      </c>
      <c r="L587" s="22">
        <v>6</v>
      </c>
      <c r="M587" s="22">
        <v>46200</v>
      </c>
      <c r="N587" s="22">
        <v>0</v>
      </c>
      <c r="O587" s="22">
        <v>277200</v>
      </c>
      <c r="P587" s="22">
        <v>176783.57</v>
      </c>
      <c r="Q587" s="22">
        <v>100416.43</v>
      </c>
      <c r="R587" s="22" t="s">
        <v>77</v>
      </c>
    </row>
    <row r="588" hidden="1" spans="1:18">
      <c r="A588" s="22" t="s">
        <v>722</v>
      </c>
      <c r="B588" s="23">
        <v>45733</v>
      </c>
      <c r="C588" s="24">
        <f t="shared" si="9"/>
        <v>3</v>
      </c>
      <c r="D588" s="22" t="s">
        <v>19</v>
      </c>
      <c r="E588" s="22" t="s">
        <v>20</v>
      </c>
      <c r="F588" s="22" t="s">
        <v>31</v>
      </c>
      <c r="G588" s="22" t="s">
        <v>32</v>
      </c>
      <c r="H588" s="22" t="s">
        <v>50</v>
      </c>
      <c r="I588" s="22" t="s">
        <v>24</v>
      </c>
      <c r="J588" s="22" t="s">
        <v>25</v>
      </c>
      <c r="K588" s="22" t="s">
        <v>26</v>
      </c>
      <c r="L588" s="22">
        <v>6</v>
      </c>
      <c r="M588" s="22">
        <v>27300</v>
      </c>
      <c r="N588" s="22">
        <v>0</v>
      </c>
      <c r="O588" s="22">
        <v>163800</v>
      </c>
      <c r="P588" s="22">
        <v>135461.42</v>
      </c>
      <c r="Q588" s="22">
        <v>28338.58</v>
      </c>
      <c r="R588" s="22" t="s">
        <v>58</v>
      </c>
    </row>
    <row r="589" hidden="1" spans="1:18">
      <c r="A589" s="22" t="s">
        <v>723</v>
      </c>
      <c r="B589" s="23">
        <v>43734</v>
      </c>
      <c r="C589" s="24">
        <f t="shared" si="9"/>
        <v>9</v>
      </c>
      <c r="D589" s="22" t="s">
        <v>42</v>
      </c>
      <c r="E589" s="22" t="s">
        <v>20</v>
      </c>
      <c r="F589" s="22" t="s">
        <v>96</v>
      </c>
      <c r="G589" s="22" t="s">
        <v>97</v>
      </c>
      <c r="H589" s="22" t="s">
        <v>98</v>
      </c>
      <c r="I589" s="22" t="s">
        <v>51</v>
      </c>
      <c r="J589" s="22" t="s">
        <v>25</v>
      </c>
      <c r="K589" s="22" t="s">
        <v>47</v>
      </c>
      <c r="L589" s="22">
        <v>7</v>
      </c>
      <c r="M589" s="22">
        <v>49500</v>
      </c>
      <c r="N589" s="22">
        <v>0.1</v>
      </c>
      <c r="O589" s="22">
        <v>311850</v>
      </c>
      <c r="P589" s="22">
        <v>194333.09</v>
      </c>
      <c r="Q589" s="22">
        <v>117516.91</v>
      </c>
      <c r="R589" s="22" t="s">
        <v>27</v>
      </c>
    </row>
    <row r="590" hidden="1" spans="1:18">
      <c r="A590" s="22" t="s">
        <v>724</v>
      </c>
      <c r="B590" s="23">
        <v>45715</v>
      </c>
      <c r="C590" s="24">
        <f t="shared" si="9"/>
        <v>2</v>
      </c>
      <c r="D590" s="22" t="s">
        <v>103</v>
      </c>
      <c r="E590" s="22" t="s">
        <v>20</v>
      </c>
      <c r="F590" s="22" t="s">
        <v>96</v>
      </c>
      <c r="G590" s="22" t="s">
        <v>97</v>
      </c>
      <c r="H590" s="22" t="s">
        <v>147</v>
      </c>
      <c r="I590" s="22" t="s">
        <v>51</v>
      </c>
      <c r="J590" s="22" t="s">
        <v>40</v>
      </c>
      <c r="K590" s="22" t="s">
        <v>53</v>
      </c>
      <c r="L590" s="22">
        <v>4</v>
      </c>
      <c r="M590" s="22">
        <v>75000</v>
      </c>
      <c r="N590" s="22">
        <v>0</v>
      </c>
      <c r="O590" s="22">
        <v>300000</v>
      </c>
      <c r="P590" s="22">
        <v>231172.73</v>
      </c>
      <c r="Q590" s="22">
        <v>68827.27</v>
      </c>
      <c r="R590" s="22" t="s">
        <v>58</v>
      </c>
    </row>
    <row r="591" hidden="1" spans="1:18">
      <c r="A591" s="22" t="s">
        <v>725</v>
      </c>
      <c r="B591" s="23">
        <v>43297</v>
      </c>
      <c r="C591" s="24">
        <f t="shared" si="9"/>
        <v>7</v>
      </c>
      <c r="D591" s="22" t="s">
        <v>65</v>
      </c>
      <c r="E591" s="22" t="s">
        <v>30</v>
      </c>
      <c r="F591" s="22" t="s">
        <v>21</v>
      </c>
      <c r="G591" s="22" t="s">
        <v>122</v>
      </c>
      <c r="H591" s="22" t="s">
        <v>156</v>
      </c>
      <c r="I591" s="22" t="s">
        <v>51</v>
      </c>
      <c r="J591" s="22" t="s">
        <v>73</v>
      </c>
      <c r="K591" s="22" t="s">
        <v>53</v>
      </c>
      <c r="L591" s="22">
        <v>3</v>
      </c>
      <c r="M591" s="22">
        <v>2000</v>
      </c>
      <c r="N591" s="22">
        <v>0</v>
      </c>
      <c r="O591" s="22">
        <v>6000</v>
      </c>
      <c r="P591" s="22">
        <v>4990.29</v>
      </c>
      <c r="Q591" s="22">
        <v>1009.71</v>
      </c>
      <c r="R591" s="22" t="s">
        <v>27</v>
      </c>
    </row>
    <row r="592" hidden="1" spans="1:18">
      <c r="A592" s="22" t="s">
        <v>726</v>
      </c>
      <c r="B592" s="23">
        <v>45842</v>
      </c>
      <c r="C592" s="24">
        <f t="shared" si="9"/>
        <v>7</v>
      </c>
      <c r="D592" s="22" t="s">
        <v>19</v>
      </c>
      <c r="E592" s="22" t="s">
        <v>20</v>
      </c>
      <c r="F592" s="22" t="s">
        <v>21</v>
      </c>
      <c r="G592" s="22" t="s">
        <v>22</v>
      </c>
      <c r="H592" s="22" t="s">
        <v>23</v>
      </c>
      <c r="I592" s="22" t="s">
        <v>51</v>
      </c>
      <c r="J592" s="22" t="s">
        <v>99</v>
      </c>
      <c r="K592" s="22" t="s">
        <v>53</v>
      </c>
      <c r="L592" s="22">
        <v>4</v>
      </c>
      <c r="M592" s="22">
        <v>17000</v>
      </c>
      <c r="N592" s="22">
        <v>0.05</v>
      </c>
      <c r="O592" s="22">
        <v>64600</v>
      </c>
      <c r="P592" s="22">
        <v>50760.4</v>
      </c>
      <c r="Q592" s="22">
        <v>13839.6</v>
      </c>
      <c r="R592" s="22" t="s">
        <v>77</v>
      </c>
    </row>
    <row r="593" hidden="1" spans="1:18">
      <c r="A593" s="22" t="s">
        <v>727</v>
      </c>
      <c r="B593" s="23">
        <v>43331</v>
      </c>
      <c r="C593" s="24">
        <f t="shared" si="9"/>
        <v>8</v>
      </c>
      <c r="D593" s="22" t="s">
        <v>90</v>
      </c>
      <c r="E593" s="22" t="s">
        <v>20</v>
      </c>
      <c r="F593" s="22" t="s">
        <v>31</v>
      </c>
      <c r="G593" s="22" t="s">
        <v>66</v>
      </c>
      <c r="H593" s="22" t="s">
        <v>316</v>
      </c>
      <c r="I593" s="22" t="s">
        <v>45</v>
      </c>
      <c r="J593" s="22" t="s">
        <v>170</v>
      </c>
      <c r="K593" s="22" t="s">
        <v>47</v>
      </c>
      <c r="L593" s="22">
        <v>8</v>
      </c>
      <c r="M593" s="22">
        <v>14600</v>
      </c>
      <c r="N593" s="22">
        <v>0.05</v>
      </c>
      <c r="O593" s="22">
        <v>110960</v>
      </c>
      <c r="P593" s="22">
        <v>71282.5</v>
      </c>
      <c r="Q593" s="22">
        <v>39677.5</v>
      </c>
      <c r="R593" s="22" t="s">
        <v>77</v>
      </c>
    </row>
    <row r="594" hidden="1" spans="1:18">
      <c r="A594" s="22" t="s">
        <v>728</v>
      </c>
      <c r="B594" s="23">
        <v>45672</v>
      </c>
      <c r="C594" s="24">
        <f t="shared" si="9"/>
        <v>1</v>
      </c>
      <c r="D594" s="22" t="s">
        <v>69</v>
      </c>
      <c r="E594" s="22" t="s">
        <v>20</v>
      </c>
      <c r="F594" s="22" t="s">
        <v>96</v>
      </c>
      <c r="G594" s="22" t="s">
        <v>113</v>
      </c>
      <c r="H594" s="22" t="s">
        <v>126</v>
      </c>
      <c r="I594" s="22" t="s">
        <v>51</v>
      </c>
      <c r="J594" s="22" t="s">
        <v>73</v>
      </c>
      <c r="K594" s="22" t="s">
        <v>26</v>
      </c>
      <c r="L594" s="22">
        <v>10</v>
      </c>
      <c r="M594" s="22">
        <v>67400</v>
      </c>
      <c r="N594" s="22">
        <v>0</v>
      </c>
      <c r="O594" s="22">
        <v>674000</v>
      </c>
      <c r="P594" s="22">
        <v>546378.81</v>
      </c>
      <c r="Q594" s="22">
        <v>127621.19</v>
      </c>
      <c r="R594" s="22" t="s">
        <v>48</v>
      </c>
    </row>
    <row r="595" hidden="1" spans="1:18">
      <c r="A595" s="22" t="s">
        <v>729</v>
      </c>
      <c r="B595" s="23">
        <v>45686</v>
      </c>
      <c r="C595" s="24">
        <f t="shared" si="9"/>
        <v>1</v>
      </c>
      <c r="D595" s="22" t="s">
        <v>29</v>
      </c>
      <c r="E595" s="22" t="s">
        <v>30</v>
      </c>
      <c r="F595" s="22" t="s">
        <v>60</v>
      </c>
      <c r="G595" s="22" t="s">
        <v>61</v>
      </c>
      <c r="H595" s="22" t="s">
        <v>188</v>
      </c>
      <c r="I595" s="22" t="s">
        <v>51</v>
      </c>
      <c r="J595" s="22" t="s">
        <v>99</v>
      </c>
      <c r="K595" s="22" t="s">
        <v>53</v>
      </c>
      <c r="L595" s="22">
        <v>5</v>
      </c>
      <c r="M595" s="22">
        <v>11300</v>
      </c>
      <c r="N595" s="22">
        <v>0.1</v>
      </c>
      <c r="O595" s="22">
        <v>50850</v>
      </c>
      <c r="P595" s="22">
        <v>42157.77</v>
      </c>
      <c r="Q595" s="22">
        <v>8692.23</v>
      </c>
      <c r="R595" s="22" t="s">
        <v>48</v>
      </c>
    </row>
    <row r="596" hidden="1" spans="1:18">
      <c r="A596" s="22" t="s">
        <v>730</v>
      </c>
      <c r="B596" s="23">
        <v>44109</v>
      </c>
      <c r="C596" s="24">
        <f t="shared" si="9"/>
        <v>10</v>
      </c>
      <c r="D596" s="22" t="s">
        <v>85</v>
      </c>
      <c r="E596" s="22" t="s">
        <v>30</v>
      </c>
      <c r="F596" s="22" t="s">
        <v>96</v>
      </c>
      <c r="G596" s="22" t="s">
        <v>113</v>
      </c>
      <c r="H596" s="22" t="s">
        <v>114</v>
      </c>
      <c r="I596" s="22" t="s">
        <v>24</v>
      </c>
      <c r="J596" s="22" t="s">
        <v>124</v>
      </c>
      <c r="K596" s="22" t="s">
        <v>47</v>
      </c>
      <c r="L596" s="22">
        <v>1</v>
      </c>
      <c r="M596" s="22">
        <v>4300</v>
      </c>
      <c r="N596" s="22">
        <v>0.05</v>
      </c>
      <c r="O596" s="22">
        <v>4085</v>
      </c>
      <c r="P596" s="22">
        <v>2832.24</v>
      </c>
      <c r="Q596" s="22">
        <v>1252.76</v>
      </c>
      <c r="R596" s="22" t="s">
        <v>48</v>
      </c>
    </row>
    <row r="597" hidden="1" spans="1:18">
      <c r="A597" s="22" t="s">
        <v>731</v>
      </c>
      <c r="B597" s="23">
        <v>43740</v>
      </c>
      <c r="C597" s="24">
        <f t="shared" si="9"/>
        <v>10</v>
      </c>
      <c r="D597" s="22" t="s">
        <v>133</v>
      </c>
      <c r="E597" s="22" t="s">
        <v>213</v>
      </c>
      <c r="F597" s="22" t="s">
        <v>96</v>
      </c>
      <c r="G597" s="22" t="s">
        <v>113</v>
      </c>
      <c r="H597" s="22" t="s">
        <v>126</v>
      </c>
      <c r="I597" s="22" t="s">
        <v>51</v>
      </c>
      <c r="J597" s="22" t="s">
        <v>88</v>
      </c>
      <c r="K597" s="22" t="s">
        <v>26</v>
      </c>
      <c r="L597" s="22">
        <v>4</v>
      </c>
      <c r="M597" s="22">
        <v>24500</v>
      </c>
      <c r="N597" s="22">
        <v>0.15</v>
      </c>
      <c r="O597" s="22">
        <v>83300</v>
      </c>
      <c r="P597" s="22">
        <v>53593.43</v>
      </c>
      <c r="Q597" s="22">
        <v>29706.57</v>
      </c>
      <c r="R597" s="22" t="s">
        <v>48</v>
      </c>
    </row>
    <row r="598" hidden="1" spans="1:18">
      <c r="A598" s="22" t="s">
        <v>732</v>
      </c>
      <c r="B598" s="23">
        <v>45673</v>
      </c>
      <c r="C598" s="24">
        <f t="shared" si="9"/>
        <v>1</v>
      </c>
      <c r="D598" s="22" t="s">
        <v>69</v>
      </c>
      <c r="E598" s="22" t="s">
        <v>30</v>
      </c>
      <c r="F598" s="22" t="s">
        <v>55</v>
      </c>
      <c r="G598" s="22" t="s">
        <v>109</v>
      </c>
      <c r="H598" s="22" t="s">
        <v>185</v>
      </c>
      <c r="I598" s="22" t="s">
        <v>24</v>
      </c>
      <c r="J598" s="22" t="s">
        <v>124</v>
      </c>
      <c r="K598" s="22" t="s">
        <v>26</v>
      </c>
      <c r="L598" s="22">
        <v>5</v>
      </c>
      <c r="M598" s="22">
        <v>4900</v>
      </c>
      <c r="N598" s="22">
        <v>0.05</v>
      </c>
      <c r="O598" s="22">
        <v>23275</v>
      </c>
      <c r="P598" s="22">
        <v>15752.75</v>
      </c>
      <c r="Q598" s="22">
        <v>7522.25</v>
      </c>
      <c r="R598" s="22" t="s">
        <v>77</v>
      </c>
    </row>
    <row r="599" hidden="1" spans="1:18">
      <c r="A599" s="22" t="s">
        <v>733</v>
      </c>
      <c r="B599" s="23">
        <v>44027</v>
      </c>
      <c r="C599" s="24">
        <f t="shared" si="9"/>
        <v>7</v>
      </c>
      <c r="D599" s="22" t="s">
        <v>79</v>
      </c>
      <c r="E599" s="22" t="s">
        <v>20</v>
      </c>
      <c r="F599" s="22" t="s">
        <v>55</v>
      </c>
      <c r="G599" s="22" t="s">
        <v>56</v>
      </c>
      <c r="H599" s="22" t="s">
        <v>154</v>
      </c>
      <c r="I599" s="22" t="s">
        <v>24</v>
      </c>
      <c r="J599" s="22" t="s">
        <v>73</v>
      </c>
      <c r="K599" s="22" t="s">
        <v>53</v>
      </c>
      <c r="L599" s="22">
        <v>6</v>
      </c>
      <c r="M599" s="22">
        <v>40100</v>
      </c>
      <c r="N599" s="22">
        <v>0.15</v>
      </c>
      <c r="O599" s="22">
        <v>204510</v>
      </c>
      <c r="P599" s="22">
        <v>142036.54</v>
      </c>
      <c r="Q599" s="22">
        <v>62473.46</v>
      </c>
      <c r="R599" s="22" t="s">
        <v>27</v>
      </c>
    </row>
    <row r="600" hidden="1" spans="1:18">
      <c r="A600" s="22" t="s">
        <v>734</v>
      </c>
      <c r="B600" s="23">
        <v>43754</v>
      </c>
      <c r="C600" s="24">
        <f t="shared" si="9"/>
        <v>10</v>
      </c>
      <c r="D600" s="22" t="s">
        <v>85</v>
      </c>
      <c r="E600" s="22" t="s">
        <v>30</v>
      </c>
      <c r="F600" s="22" t="s">
        <v>96</v>
      </c>
      <c r="G600" s="22" t="s">
        <v>113</v>
      </c>
      <c r="H600" s="22" t="s">
        <v>126</v>
      </c>
      <c r="I600" s="22" t="s">
        <v>45</v>
      </c>
      <c r="J600" s="22" t="s">
        <v>52</v>
      </c>
      <c r="K600" s="22" t="s">
        <v>47</v>
      </c>
      <c r="L600" s="22">
        <v>10</v>
      </c>
      <c r="M600" s="22">
        <v>4500</v>
      </c>
      <c r="N600" s="22">
        <v>0.05</v>
      </c>
      <c r="O600" s="22">
        <v>42750</v>
      </c>
      <c r="P600" s="22">
        <v>33301.84</v>
      </c>
      <c r="Q600" s="22">
        <v>9448.16</v>
      </c>
      <c r="R600" s="22" t="s">
        <v>77</v>
      </c>
    </row>
    <row r="601" hidden="1" spans="1:18">
      <c r="A601" s="22" t="s">
        <v>735</v>
      </c>
      <c r="B601" s="23">
        <v>43104</v>
      </c>
      <c r="C601" s="24">
        <f t="shared" si="9"/>
        <v>1</v>
      </c>
      <c r="D601" s="22" t="s">
        <v>79</v>
      </c>
      <c r="E601" s="22" t="s">
        <v>20</v>
      </c>
      <c r="F601" s="22" t="s">
        <v>96</v>
      </c>
      <c r="G601" s="22" t="s">
        <v>97</v>
      </c>
      <c r="H601" s="22" t="s">
        <v>289</v>
      </c>
      <c r="I601" s="22" t="s">
        <v>24</v>
      </c>
      <c r="J601" s="22" t="s">
        <v>52</v>
      </c>
      <c r="K601" s="22" t="s">
        <v>47</v>
      </c>
      <c r="L601" s="22">
        <v>9</v>
      </c>
      <c r="M601" s="22">
        <v>34300</v>
      </c>
      <c r="N601" s="22">
        <v>0</v>
      </c>
      <c r="O601" s="22">
        <v>308700</v>
      </c>
      <c r="P601" s="22">
        <v>200034.35</v>
      </c>
      <c r="Q601" s="22">
        <v>108665.65</v>
      </c>
      <c r="R601" s="22" t="s">
        <v>77</v>
      </c>
    </row>
    <row r="602" hidden="1" spans="1:18">
      <c r="A602" s="22" t="s">
        <v>736</v>
      </c>
      <c r="B602" s="23">
        <v>43761</v>
      </c>
      <c r="C602" s="24">
        <f t="shared" si="9"/>
        <v>10</v>
      </c>
      <c r="D602" s="22" t="s">
        <v>42</v>
      </c>
      <c r="E602" s="22" t="s">
        <v>20</v>
      </c>
      <c r="F602" s="22" t="s">
        <v>55</v>
      </c>
      <c r="G602" s="22" t="s">
        <v>80</v>
      </c>
      <c r="H602" s="22" t="s">
        <v>81</v>
      </c>
      <c r="I602" s="22" t="s">
        <v>45</v>
      </c>
      <c r="J602" s="22" t="s">
        <v>34</v>
      </c>
      <c r="K602" s="22" t="s">
        <v>26</v>
      </c>
      <c r="L602" s="22">
        <v>6</v>
      </c>
      <c r="M602" s="22">
        <v>29900</v>
      </c>
      <c r="N602" s="22">
        <v>0</v>
      </c>
      <c r="O602" s="22">
        <v>179400</v>
      </c>
      <c r="P602" s="22">
        <v>111382.65</v>
      </c>
      <c r="Q602" s="22">
        <v>68017.35</v>
      </c>
      <c r="R602" s="22" t="s">
        <v>58</v>
      </c>
    </row>
    <row r="603" hidden="1" spans="1:18">
      <c r="A603" s="22" t="s">
        <v>737</v>
      </c>
      <c r="B603" s="23">
        <v>45757</v>
      </c>
      <c r="C603" s="24">
        <f t="shared" si="9"/>
        <v>4</v>
      </c>
      <c r="D603" s="22" t="s">
        <v>69</v>
      </c>
      <c r="E603" s="22" t="s">
        <v>30</v>
      </c>
      <c r="F603" s="22" t="s">
        <v>21</v>
      </c>
      <c r="G603" s="22" t="s">
        <v>22</v>
      </c>
      <c r="H603" s="22" t="s">
        <v>39</v>
      </c>
      <c r="I603" s="22" t="s">
        <v>51</v>
      </c>
      <c r="J603" s="22" t="s">
        <v>99</v>
      </c>
      <c r="K603" s="22" t="s">
        <v>26</v>
      </c>
      <c r="L603" s="22">
        <v>5</v>
      </c>
      <c r="M603" s="22">
        <v>3200</v>
      </c>
      <c r="N603" s="22">
        <v>0.15</v>
      </c>
      <c r="O603" s="22">
        <v>13600</v>
      </c>
      <c r="P603" s="22">
        <v>9015.43</v>
      </c>
      <c r="Q603" s="22">
        <v>4584.57</v>
      </c>
      <c r="R603" s="22" t="s">
        <v>77</v>
      </c>
    </row>
    <row r="604" hidden="1" spans="1:18">
      <c r="A604" s="22" t="s">
        <v>738</v>
      </c>
      <c r="B604" s="23">
        <v>43723</v>
      </c>
      <c r="C604" s="24">
        <f t="shared" si="9"/>
        <v>9</v>
      </c>
      <c r="D604" s="22" t="s">
        <v>133</v>
      </c>
      <c r="E604" s="22" t="s">
        <v>213</v>
      </c>
      <c r="F604" s="22" t="s">
        <v>21</v>
      </c>
      <c r="G604" s="22" t="s">
        <v>167</v>
      </c>
      <c r="H604" s="22" t="s">
        <v>254</v>
      </c>
      <c r="I604" s="22" t="s">
        <v>51</v>
      </c>
      <c r="J604" s="22" t="s">
        <v>25</v>
      </c>
      <c r="K604" s="22" t="s">
        <v>53</v>
      </c>
      <c r="L604" s="22">
        <v>8</v>
      </c>
      <c r="M604" s="22">
        <v>24600</v>
      </c>
      <c r="N604" s="22">
        <v>0.1</v>
      </c>
      <c r="O604" s="22">
        <v>177120</v>
      </c>
      <c r="P604" s="22">
        <v>114412.67</v>
      </c>
      <c r="Q604" s="22">
        <v>62707.33</v>
      </c>
      <c r="R604" s="22" t="s">
        <v>35</v>
      </c>
    </row>
    <row r="605" hidden="1" spans="1:18">
      <c r="A605" s="22" t="s">
        <v>739</v>
      </c>
      <c r="B605" s="23">
        <v>44345</v>
      </c>
      <c r="C605" s="24">
        <f t="shared" si="9"/>
        <v>5</v>
      </c>
      <c r="D605" s="22" t="s">
        <v>75</v>
      </c>
      <c r="E605" s="22" t="s">
        <v>20</v>
      </c>
      <c r="F605" s="22" t="s">
        <v>60</v>
      </c>
      <c r="G605" s="22" t="s">
        <v>93</v>
      </c>
      <c r="H605" s="22" t="s">
        <v>181</v>
      </c>
      <c r="I605" s="22" t="s">
        <v>45</v>
      </c>
      <c r="J605" s="22" t="s">
        <v>40</v>
      </c>
      <c r="K605" s="22" t="s">
        <v>47</v>
      </c>
      <c r="L605" s="22">
        <v>3</v>
      </c>
      <c r="M605" s="22">
        <v>10300</v>
      </c>
      <c r="N605" s="22">
        <v>0</v>
      </c>
      <c r="O605" s="22">
        <v>30900</v>
      </c>
      <c r="P605" s="22">
        <v>20431.58</v>
      </c>
      <c r="Q605" s="22">
        <v>10468.42</v>
      </c>
      <c r="R605" s="22" t="s">
        <v>35</v>
      </c>
    </row>
    <row r="606" hidden="1" spans="1:18">
      <c r="A606" s="22" t="s">
        <v>740</v>
      </c>
      <c r="B606" s="23">
        <v>44082</v>
      </c>
      <c r="C606" s="24">
        <f t="shared" si="9"/>
        <v>9</v>
      </c>
      <c r="D606" s="22" t="s">
        <v>42</v>
      </c>
      <c r="E606" s="22" t="s">
        <v>20</v>
      </c>
      <c r="F606" s="22" t="s">
        <v>96</v>
      </c>
      <c r="G606" s="22" t="s">
        <v>113</v>
      </c>
      <c r="H606" s="22" t="s">
        <v>119</v>
      </c>
      <c r="I606" s="22" t="s">
        <v>24</v>
      </c>
      <c r="J606" s="22" t="s">
        <v>40</v>
      </c>
      <c r="K606" s="22" t="s">
        <v>26</v>
      </c>
      <c r="L606" s="22">
        <v>7</v>
      </c>
      <c r="M606" s="22">
        <v>60400</v>
      </c>
      <c r="N606" s="22">
        <v>0</v>
      </c>
      <c r="O606" s="22">
        <v>422800</v>
      </c>
      <c r="P606" s="22">
        <v>307616.26</v>
      </c>
      <c r="Q606" s="22">
        <v>115183.74</v>
      </c>
      <c r="R606" s="22" t="s">
        <v>48</v>
      </c>
    </row>
    <row r="607" hidden="1" spans="1:18">
      <c r="A607" s="22" t="s">
        <v>741</v>
      </c>
      <c r="B607" s="23">
        <v>44300</v>
      </c>
      <c r="C607" s="24">
        <f t="shared" si="9"/>
        <v>4</v>
      </c>
      <c r="D607" s="22" t="s">
        <v>65</v>
      </c>
      <c r="E607" s="22" t="s">
        <v>30</v>
      </c>
      <c r="F607" s="22" t="s">
        <v>31</v>
      </c>
      <c r="G607" s="22" t="s">
        <v>172</v>
      </c>
      <c r="H607" s="22" t="s">
        <v>173</v>
      </c>
      <c r="I607" s="22" t="s">
        <v>51</v>
      </c>
      <c r="J607" s="22" t="s">
        <v>25</v>
      </c>
      <c r="K607" s="22" t="s">
        <v>47</v>
      </c>
      <c r="L607" s="22">
        <v>1</v>
      </c>
      <c r="M607" s="22">
        <v>600</v>
      </c>
      <c r="N607" s="22">
        <v>0.15</v>
      </c>
      <c r="O607" s="22">
        <v>510</v>
      </c>
      <c r="P607" s="22">
        <v>373.64</v>
      </c>
      <c r="Q607" s="22">
        <v>136.36</v>
      </c>
      <c r="R607" s="22" t="s">
        <v>35</v>
      </c>
    </row>
    <row r="608" hidden="1" spans="1:18">
      <c r="A608" s="22" t="s">
        <v>742</v>
      </c>
      <c r="B608" s="23">
        <v>43112</v>
      </c>
      <c r="C608" s="24">
        <f t="shared" si="9"/>
        <v>1</v>
      </c>
      <c r="D608" s="22" t="s">
        <v>29</v>
      </c>
      <c r="E608" s="22" t="s">
        <v>30</v>
      </c>
      <c r="F608" s="22" t="s">
        <v>96</v>
      </c>
      <c r="G608" s="22" t="s">
        <v>97</v>
      </c>
      <c r="H608" s="22" t="s">
        <v>98</v>
      </c>
      <c r="I608" s="22" t="s">
        <v>45</v>
      </c>
      <c r="J608" s="22" t="s">
        <v>170</v>
      </c>
      <c r="K608" s="22" t="s">
        <v>47</v>
      </c>
      <c r="L608" s="22">
        <v>1</v>
      </c>
      <c r="M608" s="22">
        <v>1200</v>
      </c>
      <c r="N608" s="22">
        <v>0.05</v>
      </c>
      <c r="O608" s="22">
        <v>1140</v>
      </c>
      <c r="P608" s="22">
        <v>729.33</v>
      </c>
      <c r="Q608" s="22">
        <v>410.67</v>
      </c>
      <c r="R608" s="22" t="s">
        <v>35</v>
      </c>
    </row>
    <row r="609" hidden="1" spans="1:18">
      <c r="A609" s="22" t="s">
        <v>743</v>
      </c>
      <c r="B609" s="23">
        <v>44074</v>
      </c>
      <c r="C609" s="24">
        <f t="shared" si="9"/>
        <v>8</v>
      </c>
      <c r="D609" s="22" t="s">
        <v>133</v>
      </c>
      <c r="E609" s="22" t="s">
        <v>213</v>
      </c>
      <c r="F609" s="22" t="s">
        <v>21</v>
      </c>
      <c r="G609" s="22" t="s">
        <v>167</v>
      </c>
      <c r="H609" s="22" t="s">
        <v>206</v>
      </c>
      <c r="I609" s="22" t="s">
        <v>45</v>
      </c>
      <c r="J609" s="22" t="s">
        <v>25</v>
      </c>
      <c r="K609" s="22" t="s">
        <v>47</v>
      </c>
      <c r="L609" s="22">
        <v>8</v>
      </c>
      <c r="M609" s="22">
        <v>8000</v>
      </c>
      <c r="N609" s="22">
        <v>0.15</v>
      </c>
      <c r="O609" s="22">
        <v>54400</v>
      </c>
      <c r="P609" s="22">
        <v>36232.98</v>
      </c>
      <c r="Q609" s="22">
        <v>18167.02</v>
      </c>
      <c r="R609" s="22" t="s">
        <v>35</v>
      </c>
    </row>
    <row r="610" hidden="1" spans="1:18">
      <c r="A610" s="22" t="s">
        <v>744</v>
      </c>
      <c r="B610" s="23">
        <v>43775</v>
      </c>
      <c r="C610" s="24">
        <f t="shared" si="9"/>
        <v>11</v>
      </c>
      <c r="D610" s="22" t="s">
        <v>121</v>
      </c>
      <c r="E610" s="22" t="s">
        <v>20</v>
      </c>
      <c r="F610" s="22" t="s">
        <v>96</v>
      </c>
      <c r="G610" s="22" t="s">
        <v>113</v>
      </c>
      <c r="H610" s="22" t="s">
        <v>114</v>
      </c>
      <c r="I610" s="22" t="s">
        <v>51</v>
      </c>
      <c r="J610" s="22" t="s">
        <v>73</v>
      </c>
      <c r="K610" s="22" t="s">
        <v>26</v>
      </c>
      <c r="L610" s="22">
        <v>2</v>
      </c>
      <c r="M610" s="22">
        <v>67600</v>
      </c>
      <c r="N610" s="22">
        <v>0.15</v>
      </c>
      <c r="O610" s="22">
        <v>114920</v>
      </c>
      <c r="P610" s="22">
        <v>88487.57</v>
      </c>
      <c r="Q610" s="22">
        <v>26432.43</v>
      </c>
      <c r="R610" s="22" t="s">
        <v>77</v>
      </c>
    </row>
    <row r="611" hidden="1" spans="1:18">
      <c r="A611" s="22" t="s">
        <v>745</v>
      </c>
      <c r="B611" s="23">
        <v>43118</v>
      </c>
      <c r="C611" s="24">
        <f t="shared" si="9"/>
        <v>1</v>
      </c>
      <c r="D611" s="22" t="s">
        <v>79</v>
      </c>
      <c r="E611" s="22" t="s">
        <v>20</v>
      </c>
      <c r="F611" s="22" t="s">
        <v>31</v>
      </c>
      <c r="G611" s="22" t="s">
        <v>43</v>
      </c>
      <c r="H611" s="22" t="s">
        <v>258</v>
      </c>
      <c r="I611" s="22" t="s">
        <v>45</v>
      </c>
      <c r="J611" s="22" t="s">
        <v>25</v>
      </c>
      <c r="K611" s="22" t="s">
        <v>26</v>
      </c>
      <c r="L611" s="22">
        <v>10</v>
      </c>
      <c r="M611" s="22">
        <v>24100</v>
      </c>
      <c r="N611" s="22">
        <v>0.15</v>
      </c>
      <c r="O611" s="22">
        <v>204850</v>
      </c>
      <c r="P611" s="22">
        <v>158879.66</v>
      </c>
      <c r="Q611" s="22">
        <v>45970.34</v>
      </c>
      <c r="R611" s="22" t="s">
        <v>27</v>
      </c>
    </row>
    <row r="612" hidden="1" spans="1:18">
      <c r="A612" s="22" t="s">
        <v>746</v>
      </c>
      <c r="B612" s="23">
        <v>43803</v>
      </c>
      <c r="C612" s="24">
        <f t="shared" si="9"/>
        <v>12</v>
      </c>
      <c r="D612" s="22" t="s">
        <v>42</v>
      </c>
      <c r="E612" s="22" t="s">
        <v>20</v>
      </c>
      <c r="F612" s="22" t="s">
        <v>31</v>
      </c>
      <c r="G612" s="22" t="s">
        <v>43</v>
      </c>
      <c r="H612" s="22" t="s">
        <v>44</v>
      </c>
      <c r="I612" s="22" t="s">
        <v>45</v>
      </c>
      <c r="J612" s="22" t="s">
        <v>52</v>
      </c>
      <c r="K612" s="22" t="s">
        <v>53</v>
      </c>
      <c r="L612" s="22">
        <v>7</v>
      </c>
      <c r="M612" s="22">
        <v>71900</v>
      </c>
      <c r="N612" s="22">
        <v>0</v>
      </c>
      <c r="O612" s="22">
        <v>503300</v>
      </c>
      <c r="P612" s="22">
        <v>367537.74</v>
      </c>
      <c r="Q612" s="22">
        <v>135762.26</v>
      </c>
      <c r="R612" s="22" t="s">
        <v>77</v>
      </c>
    </row>
    <row r="613" hidden="1" spans="1:18">
      <c r="A613" s="22" t="s">
        <v>747</v>
      </c>
      <c r="B613" s="23">
        <v>44662</v>
      </c>
      <c r="C613" s="24">
        <f t="shared" si="9"/>
        <v>4</v>
      </c>
      <c r="D613" s="22" t="s">
        <v>65</v>
      </c>
      <c r="E613" s="22" t="s">
        <v>30</v>
      </c>
      <c r="F613" s="22" t="s">
        <v>21</v>
      </c>
      <c r="G613" s="22" t="s">
        <v>22</v>
      </c>
      <c r="H613" s="22" t="s">
        <v>39</v>
      </c>
      <c r="I613" s="22" t="s">
        <v>51</v>
      </c>
      <c r="J613" s="22" t="s">
        <v>25</v>
      </c>
      <c r="K613" s="22" t="s">
        <v>53</v>
      </c>
      <c r="L613" s="22">
        <v>7</v>
      </c>
      <c r="M613" s="22">
        <v>2700</v>
      </c>
      <c r="N613" s="22">
        <v>0.2</v>
      </c>
      <c r="O613" s="22">
        <v>15120</v>
      </c>
      <c r="P613" s="22">
        <v>9689.91</v>
      </c>
      <c r="Q613" s="22">
        <v>5430.09</v>
      </c>
      <c r="R613" s="22" t="s">
        <v>58</v>
      </c>
    </row>
    <row r="614" hidden="1" spans="1:18">
      <c r="A614" s="22" t="s">
        <v>748</v>
      </c>
      <c r="B614" s="23">
        <v>43239</v>
      </c>
      <c r="C614" s="24">
        <f t="shared" si="9"/>
        <v>5</v>
      </c>
      <c r="D614" s="22" t="s">
        <v>37</v>
      </c>
      <c r="E614" s="22" t="s">
        <v>20</v>
      </c>
      <c r="F614" s="22" t="s">
        <v>60</v>
      </c>
      <c r="G614" s="22" t="s">
        <v>86</v>
      </c>
      <c r="H614" s="22" t="s">
        <v>87</v>
      </c>
      <c r="I614" s="22" t="s">
        <v>45</v>
      </c>
      <c r="J614" s="22" t="s">
        <v>25</v>
      </c>
      <c r="K614" s="22" t="s">
        <v>26</v>
      </c>
      <c r="L614" s="22">
        <v>10</v>
      </c>
      <c r="M614" s="22">
        <v>9300</v>
      </c>
      <c r="N614" s="22">
        <v>0</v>
      </c>
      <c r="O614" s="22">
        <v>93000</v>
      </c>
      <c r="P614" s="22">
        <v>69052.92</v>
      </c>
      <c r="Q614" s="22">
        <v>23947.08</v>
      </c>
      <c r="R614" s="22" t="s">
        <v>48</v>
      </c>
    </row>
    <row r="615" hidden="1" spans="1:18">
      <c r="A615" s="22" t="s">
        <v>749</v>
      </c>
      <c r="B615" s="23">
        <v>44311</v>
      </c>
      <c r="C615" s="24">
        <f t="shared" si="9"/>
        <v>4</v>
      </c>
      <c r="D615" s="22" t="s">
        <v>79</v>
      </c>
      <c r="E615" s="22" t="s">
        <v>20</v>
      </c>
      <c r="F615" s="22" t="s">
        <v>55</v>
      </c>
      <c r="G615" s="22" t="s">
        <v>109</v>
      </c>
      <c r="H615" s="22" t="s">
        <v>110</v>
      </c>
      <c r="I615" s="22" t="s">
        <v>45</v>
      </c>
      <c r="J615" s="22" t="s">
        <v>124</v>
      </c>
      <c r="K615" s="22" t="s">
        <v>26</v>
      </c>
      <c r="L615" s="22">
        <v>5</v>
      </c>
      <c r="M615" s="22">
        <v>55400</v>
      </c>
      <c r="N615" s="22">
        <v>0.2</v>
      </c>
      <c r="O615" s="22">
        <v>221600</v>
      </c>
      <c r="P615" s="22">
        <v>180431.39</v>
      </c>
      <c r="Q615" s="22">
        <v>41168.61</v>
      </c>
      <c r="R615" s="22" t="s">
        <v>27</v>
      </c>
    </row>
    <row r="616" hidden="1" spans="1:18">
      <c r="A616" s="22" t="s">
        <v>750</v>
      </c>
      <c r="B616" s="23">
        <v>44313</v>
      </c>
      <c r="C616" s="24">
        <f t="shared" si="9"/>
        <v>4</v>
      </c>
      <c r="D616" s="22" t="s">
        <v>37</v>
      </c>
      <c r="E616" s="22" t="s">
        <v>20</v>
      </c>
      <c r="F616" s="22" t="s">
        <v>31</v>
      </c>
      <c r="G616" s="22" t="s">
        <v>32</v>
      </c>
      <c r="H616" s="22" t="s">
        <v>50</v>
      </c>
      <c r="I616" s="22" t="s">
        <v>51</v>
      </c>
      <c r="J616" s="22" t="s">
        <v>170</v>
      </c>
      <c r="K616" s="22" t="s">
        <v>47</v>
      </c>
      <c r="L616" s="22">
        <v>6</v>
      </c>
      <c r="M616" s="22">
        <v>11500</v>
      </c>
      <c r="N616" s="22">
        <v>0.05</v>
      </c>
      <c r="O616" s="22">
        <v>65550</v>
      </c>
      <c r="P616" s="22">
        <v>49844.83</v>
      </c>
      <c r="Q616" s="22">
        <v>15705.17</v>
      </c>
      <c r="R616" s="22" t="s">
        <v>35</v>
      </c>
    </row>
    <row r="617" hidden="1" spans="1:18">
      <c r="A617" s="22" t="s">
        <v>751</v>
      </c>
      <c r="B617" s="23">
        <v>44187</v>
      </c>
      <c r="C617" s="24">
        <f t="shared" si="9"/>
        <v>12</v>
      </c>
      <c r="D617" s="22" t="s">
        <v>85</v>
      </c>
      <c r="E617" s="22" t="s">
        <v>30</v>
      </c>
      <c r="F617" s="22" t="s">
        <v>31</v>
      </c>
      <c r="G617" s="22" t="s">
        <v>32</v>
      </c>
      <c r="H617" s="22" t="s">
        <v>226</v>
      </c>
      <c r="I617" s="22" t="s">
        <v>45</v>
      </c>
      <c r="J617" s="22" t="s">
        <v>116</v>
      </c>
      <c r="K617" s="22" t="s">
        <v>47</v>
      </c>
      <c r="L617" s="22">
        <v>8</v>
      </c>
      <c r="M617" s="22">
        <v>1900</v>
      </c>
      <c r="N617" s="22">
        <v>0.05</v>
      </c>
      <c r="O617" s="22">
        <v>14440</v>
      </c>
      <c r="P617" s="22">
        <v>11633</v>
      </c>
      <c r="Q617" s="22">
        <v>2807</v>
      </c>
      <c r="R617" s="22" t="s">
        <v>48</v>
      </c>
    </row>
    <row r="618" hidden="1" spans="1:18">
      <c r="A618" s="22" t="s">
        <v>752</v>
      </c>
      <c r="B618" s="23">
        <v>44033</v>
      </c>
      <c r="C618" s="24">
        <f t="shared" si="9"/>
        <v>7</v>
      </c>
      <c r="D618" s="22" t="s">
        <v>121</v>
      </c>
      <c r="E618" s="22" t="s">
        <v>20</v>
      </c>
      <c r="F618" s="22" t="s">
        <v>55</v>
      </c>
      <c r="G618" s="22" t="s">
        <v>56</v>
      </c>
      <c r="H618" s="22" t="s">
        <v>57</v>
      </c>
      <c r="I618" s="22" t="s">
        <v>51</v>
      </c>
      <c r="J618" s="22" t="s">
        <v>170</v>
      </c>
      <c r="K618" s="22" t="s">
        <v>47</v>
      </c>
      <c r="L618" s="22">
        <v>8</v>
      </c>
      <c r="M618" s="22">
        <v>60700</v>
      </c>
      <c r="N618" s="22">
        <v>0</v>
      </c>
      <c r="O618" s="22">
        <v>485600</v>
      </c>
      <c r="P618" s="22">
        <v>358276.79</v>
      </c>
      <c r="Q618" s="22">
        <v>127323.21</v>
      </c>
      <c r="R618" s="22" t="s">
        <v>48</v>
      </c>
    </row>
    <row r="619" hidden="1" spans="1:18">
      <c r="A619" s="22" t="s">
        <v>753</v>
      </c>
      <c r="B619" s="23">
        <v>43802</v>
      </c>
      <c r="C619" s="24">
        <f t="shared" si="9"/>
        <v>12</v>
      </c>
      <c r="D619" s="22" t="s">
        <v>42</v>
      </c>
      <c r="E619" s="22" t="s">
        <v>20</v>
      </c>
      <c r="F619" s="22" t="s">
        <v>96</v>
      </c>
      <c r="G619" s="22" t="s">
        <v>113</v>
      </c>
      <c r="H619" s="22" t="s">
        <v>119</v>
      </c>
      <c r="I619" s="22" t="s">
        <v>51</v>
      </c>
      <c r="J619" s="22" t="s">
        <v>124</v>
      </c>
      <c r="K619" s="22" t="s">
        <v>26</v>
      </c>
      <c r="L619" s="22">
        <v>9</v>
      </c>
      <c r="M619" s="22">
        <v>52900</v>
      </c>
      <c r="N619" s="22">
        <v>0.1</v>
      </c>
      <c r="O619" s="22">
        <v>428490</v>
      </c>
      <c r="P619" s="22">
        <v>331854.57</v>
      </c>
      <c r="Q619" s="22">
        <v>96635.43</v>
      </c>
      <c r="R619" s="22" t="s">
        <v>48</v>
      </c>
    </row>
    <row r="620" hidden="1" spans="1:18">
      <c r="A620" s="22" t="s">
        <v>754</v>
      </c>
      <c r="B620" s="23">
        <v>44054</v>
      </c>
      <c r="C620" s="24">
        <f t="shared" si="9"/>
        <v>8</v>
      </c>
      <c r="D620" s="22" t="s">
        <v>29</v>
      </c>
      <c r="E620" s="22" t="s">
        <v>30</v>
      </c>
      <c r="F620" s="22" t="s">
        <v>96</v>
      </c>
      <c r="G620" s="22" t="s">
        <v>97</v>
      </c>
      <c r="H620" s="22" t="s">
        <v>289</v>
      </c>
      <c r="I620" s="22" t="s">
        <v>24</v>
      </c>
      <c r="J620" s="22" t="s">
        <v>40</v>
      </c>
      <c r="K620" s="22" t="s">
        <v>47</v>
      </c>
      <c r="L620" s="22">
        <v>1</v>
      </c>
      <c r="M620" s="22">
        <v>10800</v>
      </c>
      <c r="N620" s="22">
        <v>0.05</v>
      </c>
      <c r="O620" s="22">
        <v>10260</v>
      </c>
      <c r="P620" s="22">
        <v>8005.4</v>
      </c>
      <c r="Q620" s="22">
        <v>2254.6</v>
      </c>
      <c r="R620" s="22" t="s">
        <v>77</v>
      </c>
    </row>
    <row r="621" hidden="1" spans="1:18">
      <c r="A621" s="22" t="s">
        <v>755</v>
      </c>
      <c r="B621" s="23">
        <v>44331</v>
      </c>
      <c r="C621" s="24">
        <f t="shared" si="9"/>
        <v>5</v>
      </c>
      <c r="D621" s="22" t="s">
        <v>29</v>
      </c>
      <c r="E621" s="22" t="s">
        <v>30</v>
      </c>
      <c r="F621" s="22" t="s">
        <v>96</v>
      </c>
      <c r="G621" s="22" t="s">
        <v>113</v>
      </c>
      <c r="H621" s="22" t="s">
        <v>126</v>
      </c>
      <c r="I621" s="22" t="s">
        <v>24</v>
      </c>
      <c r="J621" s="22" t="s">
        <v>99</v>
      </c>
      <c r="K621" s="22" t="s">
        <v>47</v>
      </c>
      <c r="L621" s="22">
        <v>5</v>
      </c>
      <c r="M621" s="22">
        <v>1300</v>
      </c>
      <c r="N621" s="22">
        <v>0.1</v>
      </c>
      <c r="O621" s="22">
        <v>5850</v>
      </c>
      <c r="P621" s="22">
        <v>4282.74</v>
      </c>
      <c r="Q621" s="22">
        <v>1567.26</v>
      </c>
      <c r="R621" s="22" t="s">
        <v>35</v>
      </c>
    </row>
    <row r="622" hidden="1" spans="1:18">
      <c r="A622" s="22" t="s">
        <v>756</v>
      </c>
      <c r="B622" s="23">
        <v>43774</v>
      </c>
      <c r="C622" s="24">
        <f t="shared" si="9"/>
        <v>11</v>
      </c>
      <c r="D622" s="22" t="s">
        <v>37</v>
      </c>
      <c r="E622" s="22" t="s">
        <v>20</v>
      </c>
      <c r="F622" s="22" t="s">
        <v>55</v>
      </c>
      <c r="G622" s="22" t="s">
        <v>80</v>
      </c>
      <c r="H622" s="22" t="s">
        <v>160</v>
      </c>
      <c r="I622" s="22" t="s">
        <v>45</v>
      </c>
      <c r="J622" s="22" t="s">
        <v>73</v>
      </c>
      <c r="K622" s="22" t="s">
        <v>53</v>
      </c>
      <c r="L622" s="22">
        <v>1</v>
      </c>
      <c r="M622" s="22">
        <v>10000</v>
      </c>
      <c r="N622" s="22">
        <v>0.1</v>
      </c>
      <c r="O622" s="22">
        <v>9000</v>
      </c>
      <c r="P622" s="22">
        <v>6645.43</v>
      </c>
      <c r="Q622" s="22">
        <v>2354.57</v>
      </c>
      <c r="R622" s="22" t="s">
        <v>58</v>
      </c>
    </row>
    <row r="623" hidden="1" spans="1:18">
      <c r="A623" s="22" t="s">
        <v>757</v>
      </c>
      <c r="B623" s="23">
        <v>45713</v>
      </c>
      <c r="C623" s="24">
        <f t="shared" si="9"/>
        <v>2</v>
      </c>
      <c r="D623" s="22" t="s">
        <v>103</v>
      </c>
      <c r="E623" s="22" t="s">
        <v>30</v>
      </c>
      <c r="F623" s="22" t="s">
        <v>96</v>
      </c>
      <c r="G623" s="22" t="s">
        <v>113</v>
      </c>
      <c r="H623" s="22" t="s">
        <v>114</v>
      </c>
      <c r="I623" s="22" t="s">
        <v>45</v>
      </c>
      <c r="J623" s="22" t="s">
        <v>124</v>
      </c>
      <c r="K623" s="22" t="s">
        <v>47</v>
      </c>
      <c r="L623" s="22">
        <v>4</v>
      </c>
      <c r="M623" s="22">
        <v>8200</v>
      </c>
      <c r="N623" s="22">
        <v>0.15</v>
      </c>
      <c r="O623" s="22">
        <v>27880</v>
      </c>
      <c r="P623" s="22">
        <v>19847.66</v>
      </c>
      <c r="Q623" s="22">
        <v>8032.34</v>
      </c>
      <c r="R623" s="22" t="s">
        <v>48</v>
      </c>
    </row>
    <row r="624" hidden="1" spans="1:18">
      <c r="A624" s="22" t="s">
        <v>758</v>
      </c>
      <c r="B624" s="23">
        <v>43752</v>
      </c>
      <c r="C624" s="24">
        <f t="shared" si="9"/>
        <v>10</v>
      </c>
      <c r="D624" s="22" t="s">
        <v>90</v>
      </c>
      <c r="E624" s="22" t="s">
        <v>20</v>
      </c>
      <c r="F624" s="22" t="s">
        <v>21</v>
      </c>
      <c r="G624" s="22" t="s">
        <v>70</v>
      </c>
      <c r="H624" s="22" t="s">
        <v>163</v>
      </c>
      <c r="I624" s="22" t="s">
        <v>24</v>
      </c>
      <c r="J624" s="22" t="s">
        <v>40</v>
      </c>
      <c r="K624" s="22" t="s">
        <v>53</v>
      </c>
      <c r="L624" s="22">
        <v>7</v>
      </c>
      <c r="M624" s="22">
        <v>37600</v>
      </c>
      <c r="N624" s="22">
        <v>0.05</v>
      </c>
      <c r="O624" s="22">
        <v>250040</v>
      </c>
      <c r="P624" s="22">
        <v>179641.25</v>
      </c>
      <c r="Q624" s="22">
        <v>70398.75</v>
      </c>
      <c r="R624" s="22" t="s">
        <v>27</v>
      </c>
    </row>
    <row r="625" hidden="1" spans="1:18">
      <c r="A625" s="22" t="s">
        <v>759</v>
      </c>
      <c r="B625" s="23">
        <v>43332</v>
      </c>
      <c r="C625" s="24">
        <f t="shared" si="9"/>
        <v>8</v>
      </c>
      <c r="D625" s="22" t="s">
        <v>65</v>
      </c>
      <c r="E625" s="22" t="s">
        <v>30</v>
      </c>
      <c r="F625" s="22" t="s">
        <v>55</v>
      </c>
      <c r="G625" s="22" t="s">
        <v>56</v>
      </c>
      <c r="H625" s="22" t="s">
        <v>154</v>
      </c>
      <c r="I625" s="22" t="s">
        <v>45</v>
      </c>
      <c r="J625" s="22" t="s">
        <v>116</v>
      </c>
      <c r="K625" s="22" t="s">
        <v>26</v>
      </c>
      <c r="L625" s="22">
        <v>2</v>
      </c>
      <c r="M625" s="22">
        <v>1700</v>
      </c>
      <c r="N625" s="22">
        <v>0.05</v>
      </c>
      <c r="O625" s="22">
        <v>3230</v>
      </c>
      <c r="P625" s="22">
        <v>2416.27</v>
      </c>
      <c r="Q625" s="22">
        <v>813.73</v>
      </c>
      <c r="R625" s="22" t="s">
        <v>58</v>
      </c>
    </row>
    <row r="626" hidden="1" spans="1:18">
      <c r="A626" s="22" t="s">
        <v>760</v>
      </c>
      <c r="B626" s="23">
        <v>43157</v>
      </c>
      <c r="C626" s="24">
        <f t="shared" si="9"/>
        <v>2</v>
      </c>
      <c r="D626" s="22" t="s">
        <v>133</v>
      </c>
      <c r="E626" s="22" t="s">
        <v>213</v>
      </c>
      <c r="F626" s="22" t="s">
        <v>96</v>
      </c>
      <c r="G626" s="22" t="s">
        <v>97</v>
      </c>
      <c r="H626" s="22" t="s">
        <v>98</v>
      </c>
      <c r="I626" s="22" t="s">
        <v>45</v>
      </c>
      <c r="J626" s="22" t="s">
        <v>73</v>
      </c>
      <c r="K626" s="22" t="s">
        <v>47</v>
      </c>
      <c r="L626" s="22">
        <v>8</v>
      </c>
      <c r="M626" s="22">
        <v>16100</v>
      </c>
      <c r="N626" s="22">
        <v>0.1</v>
      </c>
      <c r="O626" s="22">
        <v>115920</v>
      </c>
      <c r="P626" s="22">
        <v>85278.81</v>
      </c>
      <c r="Q626" s="22">
        <v>30641.19</v>
      </c>
      <c r="R626" s="22" t="s">
        <v>27</v>
      </c>
    </row>
    <row r="627" hidden="1" spans="1:18">
      <c r="A627" s="22" t="s">
        <v>761</v>
      </c>
      <c r="B627" s="23">
        <v>43794</v>
      </c>
      <c r="C627" s="24">
        <f t="shared" si="9"/>
        <v>11</v>
      </c>
      <c r="D627" s="22" t="s">
        <v>121</v>
      </c>
      <c r="E627" s="22" t="s">
        <v>20</v>
      </c>
      <c r="F627" s="22" t="s">
        <v>96</v>
      </c>
      <c r="G627" s="22" t="s">
        <v>97</v>
      </c>
      <c r="H627" s="22" t="s">
        <v>98</v>
      </c>
      <c r="I627" s="22" t="s">
        <v>45</v>
      </c>
      <c r="J627" s="22" t="s">
        <v>25</v>
      </c>
      <c r="K627" s="22" t="s">
        <v>47</v>
      </c>
      <c r="L627" s="22">
        <v>9</v>
      </c>
      <c r="M627" s="22">
        <v>80800</v>
      </c>
      <c r="N627" s="22">
        <v>0.15</v>
      </c>
      <c r="O627" s="22">
        <v>618120</v>
      </c>
      <c r="P627" s="22">
        <v>482895.77</v>
      </c>
      <c r="Q627" s="22">
        <v>135224.23</v>
      </c>
      <c r="R627" s="22" t="s">
        <v>35</v>
      </c>
    </row>
    <row r="628" hidden="1" spans="1:18">
      <c r="A628" s="22" t="s">
        <v>762</v>
      </c>
      <c r="B628" s="23">
        <v>45743</v>
      </c>
      <c r="C628" s="24">
        <f t="shared" si="9"/>
        <v>3</v>
      </c>
      <c r="D628" s="22" t="s">
        <v>121</v>
      </c>
      <c r="E628" s="22" t="s">
        <v>20</v>
      </c>
      <c r="F628" s="22" t="s">
        <v>60</v>
      </c>
      <c r="G628" s="22" t="s">
        <v>86</v>
      </c>
      <c r="H628" s="22" t="s">
        <v>106</v>
      </c>
      <c r="I628" s="22" t="s">
        <v>51</v>
      </c>
      <c r="J628" s="22" t="s">
        <v>34</v>
      </c>
      <c r="K628" s="22" t="s">
        <v>26</v>
      </c>
      <c r="L628" s="22">
        <v>1</v>
      </c>
      <c r="M628" s="22">
        <v>82700</v>
      </c>
      <c r="N628" s="22">
        <v>0.2</v>
      </c>
      <c r="O628" s="22">
        <v>66160</v>
      </c>
      <c r="P628" s="22">
        <v>45063.96</v>
      </c>
      <c r="Q628" s="22">
        <v>21096.04</v>
      </c>
      <c r="R628" s="22" t="s">
        <v>77</v>
      </c>
    </row>
    <row r="629" hidden="1" spans="1:18">
      <c r="A629" s="22" t="s">
        <v>763</v>
      </c>
      <c r="B629" s="23">
        <v>44217</v>
      </c>
      <c r="C629" s="24">
        <f t="shared" si="9"/>
        <v>1</v>
      </c>
      <c r="D629" s="22" t="s">
        <v>37</v>
      </c>
      <c r="E629" s="22" t="s">
        <v>20</v>
      </c>
      <c r="F629" s="22" t="s">
        <v>21</v>
      </c>
      <c r="G629" s="22" t="s">
        <v>167</v>
      </c>
      <c r="H629" s="22" t="s">
        <v>168</v>
      </c>
      <c r="I629" s="22" t="s">
        <v>51</v>
      </c>
      <c r="J629" s="22" t="s">
        <v>124</v>
      </c>
      <c r="K629" s="22" t="s">
        <v>47</v>
      </c>
      <c r="L629" s="22">
        <v>2</v>
      </c>
      <c r="M629" s="22">
        <v>31700</v>
      </c>
      <c r="N629" s="22">
        <v>0</v>
      </c>
      <c r="O629" s="22">
        <v>63400</v>
      </c>
      <c r="P629" s="22">
        <v>51702.18</v>
      </c>
      <c r="Q629" s="22">
        <v>11697.82</v>
      </c>
      <c r="R629" s="22" t="s">
        <v>27</v>
      </c>
    </row>
    <row r="630" hidden="1" spans="1:18">
      <c r="A630" s="22" t="s">
        <v>764</v>
      </c>
      <c r="B630" s="23">
        <v>44314</v>
      </c>
      <c r="C630" s="24">
        <f t="shared" si="9"/>
        <v>4</v>
      </c>
      <c r="D630" s="22" t="s">
        <v>29</v>
      </c>
      <c r="E630" s="22" t="s">
        <v>30</v>
      </c>
      <c r="F630" s="22" t="s">
        <v>55</v>
      </c>
      <c r="G630" s="22" t="s">
        <v>195</v>
      </c>
      <c r="H630" s="22" t="s">
        <v>448</v>
      </c>
      <c r="I630" s="22" t="s">
        <v>24</v>
      </c>
      <c r="J630" s="22" t="s">
        <v>25</v>
      </c>
      <c r="K630" s="22" t="s">
        <v>53</v>
      </c>
      <c r="L630" s="22">
        <v>1</v>
      </c>
      <c r="M630" s="22">
        <v>2400</v>
      </c>
      <c r="N630" s="22">
        <v>0.05</v>
      </c>
      <c r="O630" s="22">
        <v>2280</v>
      </c>
      <c r="P630" s="22">
        <v>1857.98</v>
      </c>
      <c r="Q630" s="22">
        <v>422.02</v>
      </c>
      <c r="R630" s="22" t="s">
        <v>35</v>
      </c>
    </row>
    <row r="631" hidden="1" spans="1:18">
      <c r="A631" s="22" t="s">
        <v>765</v>
      </c>
      <c r="B631" s="23">
        <v>43783</v>
      </c>
      <c r="C631" s="24">
        <f t="shared" si="9"/>
        <v>11</v>
      </c>
      <c r="D631" s="22" t="s">
        <v>37</v>
      </c>
      <c r="E631" s="22" t="s">
        <v>20</v>
      </c>
      <c r="F631" s="22" t="s">
        <v>21</v>
      </c>
      <c r="G631" s="22" t="s">
        <v>167</v>
      </c>
      <c r="H631" s="22" t="s">
        <v>206</v>
      </c>
      <c r="I631" s="22" t="s">
        <v>24</v>
      </c>
      <c r="J631" s="22" t="s">
        <v>52</v>
      </c>
      <c r="K631" s="22" t="s">
        <v>53</v>
      </c>
      <c r="L631" s="22">
        <v>8</v>
      </c>
      <c r="M631" s="22">
        <v>20300</v>
      </c>
      <c r="N631" s="22">
        <v>0</v>
      </c>
      <c r="O631" s="22">
        <v>162400</v>
      </c>
      <c r="P631" s="22">
        <v>134542.61</v>
      </c>
      <c r="Q631" s="22">
        <v>27857.39</v>
      </c>
      <c r="R631" s="22" t="s">
        <v>48</v>
      </c>
    </row>
    <row r="632" hidden="1" spans="1:18">
      <c r="A632" s="22" t="s">
        <v>766</v>
      </c>
      <c r="B632" s="23">
        <v>45841</v>
      </c>
      <c r="C632" s="24">
        <f t="shared" si="9"/>
        <v>7</v>
      </c>
      <c r="D632" s="22" t="s">
        <v>85</v>
      </c>
      <c r="E632" s="22" t="s">
        <v>30</v>
      </c>
      <c r="F632" s="22" t="s">
        <v>96</v>
      </c>
      <c r="G632" s="22" t="s">
        <v>113</v>
      </c>
      <c r="H632" s="22" t="s">
        <v>119</v>
      </c>
      <c r="I632" s="22" t="s">
        <v>51</v>
      </c>
      <c r="J632" s="22" t="s">
        <v>124</v>
      </c>
      <c r="K632" s="22" t="s">
        <v>26</v>
      </c>
      <c r="L632" s="22">
        <v>4</v>
      </c>
      <c r="M632" s="22">
        <v>3100</v>
      </c>
      <c r="N632" s="22">
        <v>0</v>
      </c>
      <c r="O632" s="22">
        <v>12400</v>
      </c>
      <c r="P632" s="22">
        <v>8032.1</v>
      </c>
      <c r="Q632" s="22">
        <v>4367.9</v>
      </c>
      <c r="R632" s="22" t="s">
        <v>77</v>
      </c>
    </row>
    <row r="633" hidden="1" spans="1:18">
      <c r="A633" s="22" t="s">
        <v>767</v>
      </c>
      <c r="B633" s="23">
        <v>44101</v>
      </c>
      <c r="C633" s="24">
        <f t="shared" si="9"/>
        <v>9</v>
      </c>
      <c r="D633" s="22" t="s">
        <v>79</v>
      </c>
      <c r="E633" s="22" t="s">
        <v>20</v>
      </c>
      <c r="F633" s="22" t="s">
        <v>96</v>
      </c>
      <c r="G633" s="22" t="s">
        <v>113</v>
      </c>
      <c r="H633" s="22" t="s">
        <v>119</v>
      </c>
      <c r="I633" s="22" t="s">
        <v>51</v>
      </c>
      <c r="J633" s="22" t="s">
        <v>170</v>
      </c>
      <c r="K633" s="22" t="s">
        <v>26</v>
      </c>
      <c r="L633" s="22">
        <v>6</v>
      </c>
      <c r="M633" s="22">
        <v>44100</v>
      </c>
      <c r="N633" s="22">
        <v>0</v>
      </c>
      <c r="O633" s="22">
        <v>264600</v>
      </c>
      <c r="P633" s="22">
        <v>196166.86</v>
      </c>
      <c r="Q633" s="22">
        <v>68433.14</v>
      </c>
      <c r="R633" s="22" t="s">
        <v>35</v>
      </c>
    </row>
    <row r="634" hidden="1" spans="1:18">
      <c r="A634" s="22" t="s">
        <v>768</v>
      </c>
      <c r="B634" s="23">
        <v>44332</v>
      </c>
      <c r="C634" s="24">
        <f t="shared" si="9"/>
        <v>5</v>
      </c>
      <c r="D634" s="22" t="s">
        <v>121</v>
      </c>
      <c r="E634" s="22" t="s">
        <v>20</v>
      </c>
      <c r="F634" s="22" t="s">
        <v>60</v>
      </c>
      <c r="G634" s="22" t="s">
        <v>61</v>
      </c>
      <c r="H634" s="22" t="s">
        <v>62</v>
      </c>
      <c r="I634" s="22" t="s">
        <v>51</v>
      </c>
      <c r="J634" s="22" t="s">
        <v>88</v>
      </c>
      <c r="K634" s="22" t="s">
        <v>26</v>
      </c>
      <c r="L634" s="22">
        <v>6</v>
      </c>
      <c r="M634" s="22">
        <v>82400</v>
      </c>
      <c r="N634" s="22">
        <v>0.2</v>
      </c>
      <c r="O634" s="22">
        <v>395520</v>
      </c>
      <c r="P634" s="22">
        <v>305358.56</v>
      </c>
      <c r="Q634" s="22">
        <v>90161.44</v>
      </c>
      <c r="R634" s="22" t="s">
        <v>35</v>
      </c>
    </row>
    <row r="635" hidden="1" spans="1:18">
      <c r="A635" s="22" t="s">
        <v>769</v>
      </c>
      <c r="B635" s="23">
        <v>44206</v>
      </c>
      <c r="C635" s="24">
        <f t="shared" si="9"/>
        <v>1</v>
      </c>
      <c r="D635" s="22" t="s">
        <v>19</v>
      </c>
      <c r="E635" s="22" t="s">
        <v>20</v>
      </c>
      <c r="F635" s="22" t="s">
        <v>31</v>
      </c>
      <c r="G635" s="22" t="s">
        <v>172</v>
      </c>
      <c r="H635" s="22" t="s">
        <v>173</v>
      </c>
      <c r="I635" s="22" t="s">
        <v>51</v>
      </c>
      <c r="J635" s="22" t="s">
        <v>124</v>
      </c>
      <c r="K635" s="22" t="s">
        <v>26</v>
      </c>
      <c r="L635" s="22">
        <v>1</v>
      </c>
      <c r="M635" s="22">
        <v>22900</v>
      </c>
      <c r="N635" s="22">
        <v>0.1</v>
      </c>
      <c r="O635" s="22">
        <v>20610</v>
      </c>
      <c r="P635" s="22">
        <v>16513.91</v>
      </c>
      <c r="Q635" s="22">
        <v>4096.09</v>
      </c>
      <c r="R635" s="22" t="s">
        <v>58</v>
      </c>
    </row>
    <row r="636" hidden="1" spans="1:18">
      <c r="A636" s="22" t="s">
        <v>770</v>
      </c>
      <c r="B636" s="23">
        <v>43658</v>
      </c>
      <c r="C636" s="24">
        <f t="shared" si="9"/>
        <v>7</v>
      </c>
      <c r="D636" s="22" t="s">
        <v>65</v>
      </c>
      <c r="E636" s="22" t="s">
        <v>30</v>
      </c>
      <c r="F636" s="22" t="s">
        <v>55</v>
      </c>
      <c r="G636" s="22" t="s">
        <v>56</v>
      </c>
      <c r="H636" s="22" t="s">
        <v>154</v>
      </c>
      <c r="I636" s="22" t="s">
        <v>45</v>
      </c>
      <c r="J636" s="22" t="s">
        <v>170</v>
      </c>
      <c r="K636" s="22" t="s">
        <v>47</v>
      </c>
      <c r="L636" s="22">
        <v>8</v>
      </c>
      <c r="M636" s="22">
        <v>1900</v>
      </c>
      <c r="N636" s="22">
        <v>0.1</v>
      </c>
      <c r="O636" s="22">
        <v>13680</v>
      </c>
      <c r="P636" s="22">
        <v>10671.27</v>
      </c>
      <c r="Q636" s="22">
        <v>3008.73</v>
      </c>
      <c r="R636" s="22" t="s">
        <v>48</v>
      </c>
    </row>
    <row r="637" hidden="1" spans="1:18">
      <c r="A637" s="22" t="s">
        <v>771</v>
      </c>
      <c r="B637" s="23">
        <v>43288</v>
      </c>
      <c r="C637" s="24">
        <f t="shared" si="9"/>
        <v>7</v>
      </c>
      <c r="D637" s="22" t="s">
        <v>121</v>
      </c>
      <c r="E637" s="22" t="s">
        <v>20</v>
      </c>
      <c r="F637" s="22" t="s">
        <v>31</v>
      </c>
      <c r="G637" s="22" t="s">
        <v>32</v>
      </c>
      <c r="H637" s="22" t="s">
        <v>226</v>
      </c>
      <c r="I637" s="22" t="s">
        <v>45</v>
      </c>
      <c r="J637" s="22" t="s">
        <v>25</v>
      </c>
      <c r="K637" s="22" t="s">
        <v>47</v>
      </c>
      <c r="L637" s="22">
        <v>7</v>
      </c>
      <c r="M637" s="22">
        <v>61500</v>
      </c>
      <c r="N637" s="22">
        <v>0</v>
      </c>
      <c r="O637" s="22">
        <v>430500</v>
      </c>
      <c r="P637" s="22">
        <v>273141.75</v>
      </c>
      <c r="Q637" s="22">
        <v>157358.25</v>
      </c>
      <c r="R637" s="22" t="s">
        <v>58</v>
      </c>
    </row>
    <row r="638" hidden="1" spans="1:18">
      <c r="A638" s="22" t="s">
        <v>772</v>
      </c>
      <c r="B638" s="23">
        <v>44060</v>
      </c>
      <c r="C638" s="24">
        <f t="shared" si="9"/>
        <v>8</v>
      </c>
      <c r="D638" s="22" t="s">
        <v>37</v>
      </c>
      <c r="E638" s="22" t="s">
        <v>20</v>
      </c>
      <c r="F638" s="22" t="s">
        <v>55</v>
      </c>
      <c r="G638" s="22" t="s">
        <v>195</v>
      </c>
      <c r="H638" s="22" t="s">
        <v>448</v>
      </c>
      <c r="I638" s="22" t="s">
        <v>45</v>
      </c>
      <c r="J638" s="22" t="s">
        <v>88</v>
      </c>
      <c r="K638" s="22" t="s">
        <v>26</v>
      </c>
      <c r="L638" s="22">
        <v>9</v>
      </c>
      <c r="M638" s="22">
        <v>12800</v>
      </c>
      <c r="N638" s="22">
        <v>0.1</v>
      </c>
      <c r="O638" s="22">
        <v>103680</v>
      </c>
      <c r="P638" s="22">
        <v>86246.29</v>
      </c>
      <c r="Q638" s="22">
        <v>17433.71</v>
      </c>
      <c r="R638" s="22" t="s">
        <v>35</v>
      </c>
    </row>
    <row r="639" hidden="1" spans="1:18">
      <c r="A639" s="22" t="s">
        <v>773</v>
      </c>
      <c r="B639" s="23">
        <v>43167</v>
      </c>
      <c r="C639" s="24">
        <f t="shared" si="9"/>
        <v>3</v>
      </c>
      <c r="D639" s="22" t="s">
        <v>121</v>
      </c>
      <c r="E639" s="22" t="s">
        <v>20</v>
      </c>
      <c r="F639" s="22" t="s">
        <v>55</v>
      </c>
      <c r="G639" s="22" t="s">
        <v>109</v>
      </c>
      <c r="H639" s="22" t="s">
        <v>110</v>
      </c>
      <c r="I639" s="22" t="s">
        <v>51</v>
      </c>
      <c r="J639" s="22" t="s">
        <v>73</v>
      </c>
      <c r="K639" s="22" t="s">
        <v>26</v>
      </c>
      <c r="L639" s="22">
        <v>4</v>
      </c>
      <c r="M639" s="22">
        <v>85900</v>
      </c>
      <c r="N639" s="22">
        <v>0.2</v>
      </c>
      <c r="O639" s="22">
        <v>274880</v>
      </c>
      <c r="P639" s="22">
        <v>222101.22</v>
      </c>
      <c r="Q639" s="22">
        <v>52778.78</v>
      </c>
      <c r="R639" s="22" t="s">
        <v>58</v>
      </c>
    </row>
    <row r="640" hidden="1" spans="1:18">
      <c r="A640" s="22" t="s">
        <v>774</v>
      </c>
      <c r="B640" s="23">
        <v>43200</v>
      </c>
      <c r="C640" s="24">
        <f t="shared" si="9"/>
        <v>4</v>
      </c>
      <c r="D640" s="22" t="s">
        <v>19</v>
      </c>
      <c r="E640" s="22" t="s">
        <v>20</v>
      </c>
      <c r="F640" s="22" t="s">
        <v>96</v>
      </c>
      <c r="G640" s="22" t="s">
        <v>113</v>
      </c>
      <c r="H640" s="22" t="s">
        <v>119</v>
      </c>
      <c r="I640" s="22" t="s">
        <v>45</v>
      </c>
      <c r="J640" s="22" t="s">
        <v>170</v>
      </c>
      <c r="K640" s="22" t="s">
        <v>47</v>
      </c>
      <c r="L640" s="22">
        <v>2</v>
      </c>
      <c r="M640" s="22">
        <v>10600</v>
      </c>
      <c r="N640" s="22">
        <v>0.1</v>
      </c>
      <c r="O640" s="22">
        <v>19080</v>
      </c>
      <c r="P640" s="22">
        <v>14924.15</v>
      </c>
      <c r="Q640" s="22">
        <v>4155.85</v>
      </c>
      <c r="R640" s="22" t="s">
        <v>27</v>
      </c>
    </row>
    <row r="641" hidden="1" spans="1:18">
      <c r="A641" s="22" t="s">
        <v>775</v>
      </c>
      <c r="B641" s="23">
        <v>43206</v>
      </c>
      <c r="C641" s="24">
        <f t="shared" si="9"/>
        <v>4</v>
      </c>
      <c r="D641" s="22" t="s">
        <v>42</v>
      </c>
      <c r="E641" s="22" t="s">
        <v>20</v>
      </c>
      <c r="F641" s="22" t="s">
        <v>55</v>
      </c>
      <c r="G641" s="22" t="s">
        <v>195</v>
      </c>
      <c r="H641" s="22" t="s">
        <v>448</v>
      </c>
      <c r="I641" s="22" t="s">
        <v>51</v>
      </c>
      <c r="J641" s="22" t="s">
        <v>34</v>
      </c>
      <c r="K641" s="22" t="s">
        <v>53</v>
      </c>
      <c r="L641" s="22">
        <v>7</v>
      </c>
      <c r="M641" s="22">
        <v>59700</v>
      </c>
      <c r="N641" s="22">
        <v>0.15</v>
      </c>
      <c r="O641" s="22">
        <v>355215</v>
      </c>
      <c r="P641" s="22">
        <v>263575.39</v>
      </c>
      <c r="Q641" s="22">
        <v>91639.61</v>
      </c>
      <c r="R641" s="22" t="s">
        <v>27</v>
      </c>
    </row>
    <row r="642" hidden="1" spans="1:18">
      <c r="A642" s="22" t="s">
        <v>776</v>
      </c>
      <c r="B642" s="23">
        <v>45683</v>
      </c>
      <c r="C642" s="24">
        <f t="shared" ref="C642:C705" si="10">MONTH(B642)</f>
        <v>1</v>
      </c>
      <c r="D642" s="22" t="s">
        <v>69</v>
      </c>
      <c r="E642" s="22" t="s">
        <v>20</v>
      </c>
      <c r="F642" s="22" t="s">
        <v>21</v>
      </c>
      <c r="G642" s="22" t="s">
        <v>167</v>
      </c>
      <c r="H642" s="22" t="s">
        <v>254</v>
      </c>
      <c r="I642" s="22" t="s">
        <v>24</v>
      </c>
      <c r="J642" s="22" t="s">
        <v>73</v>
      </c>
      <c r="K642" s="22" t="s">
        <v>47</v>
      </c>
      <c r="L642" s="22">
        <v>7</v>
      </c>
      <c r="M642" s="22">
        <v>83600</v>
      </c>
      <c r="N642" s="22">
        <v>0.1</v>
      </c>
      <c r="O642" s="22">
        <v>526680</v>
      </c>
      <c r="P642" s="22">
        <v>438999.38</v>
      </c>
      <c r="Q642" s="22">
        <v>87680.62</v>
      </c>
      <c r="R642" s="22" t="s">
        <v>77</v>
      </c>
    </row>
    <row r="643" hidden="1" spans="1:18">
      <c r="A643" s="22" t="s">
        <v>777</v>
      </c>
      <c r="B643" s="23">
        <v>43188</v>
      </c>
      <c r="C643" s="24">
        <f t="shared" si="10"/>
        <v>3</v>
      </c>
      <c r="D643" s="22" t="s">
        <v>85</v>
      </c>
      <c r="E643" s="22" t="s">
        <v>30</v>
      </c>
      <c r="F643" s="22" t="s">
        <v>60</v>
      </c>
      <c r="G643" s="22" t="s">
        <v>61</v>
      </c>
      <c r="H643" s="22" t="s">
        <v>62</v>
      </c>
      <c r="I643" s="22" t="s">
        <v>24</v>
      </c>
      <c r="J643" s="22" t="s">
        <v>88</v>
      </c>
      <c r="K643" s="22" t="s">
        <v>47</v>
      </c>
      <c r="L643" s="22">
        <v>1</v>
      </c>
      <c r="M643" s="22">
        <v>2900</v>
      </c>
      <c r="N643" s="22">
        <v>0</v>
      </c>
      <c r="O643" s="22">
        <v>2900</v>
      </c>
      <c r="P643" s="22">
        <v>2080.04</v>
      </c>
      <c r="Q643" s="22">
        <v>819.96</v>
      </c>
      <c r="R643" s="22" t="s">
        <v>27</v>
      </c>
    </row>
    <row r="644" hidden="1" spans="1:18">
      <c r="A644" s="22" t="s">
        <v>778</v>
      </c>
      <c r="B644" s="23">
        <v>43354</v>
      </c>
      <c r="C644" s="24">
        <f t="shared" si="10"/>
        <v>9</v>
      </c>
      <c r="D644" s="22" t="s">
        <v>90</v>
      </c>
      <c r="E644" s="22" t="s">
        <v>20</v>
      </c>
      <c r="F644" s="22" t="s">
        <v>21</v>
      </c>
      <c r="G644" s="22" t="s">
        <v>167</v>
      </c>
      <c r="H644" s="22" t="s">
        <v>168</v>
      </c>
      <c r="I644" s="22" t="s">
        <v>24</v>
      </c>
      <c r="J644" s="22" t="s">
        <v>88</v>
      </c>
      <c r="K644" s="22" t="s">
        <v>53</v>
      </c>
      <c r="L644" s="22">
        <v>1</v>
      </c>
      <c r="M644" s="22">
        <v>13700</v>
      </c>
      <c r="N644" s="22">
        <v>0.15</v>
      </c>
      <c r="O644" s="22">
        <v>11645</v>
      </c>
      <c r="P644" s="22">
        <v>9666.96</v>
      </c>
      <c r="Q644" s="22">
        <v>1978.04</v>
      </c>
      <c r="R644" s="22" t="s">
        <v>27</v>
      </c>
    </row>
    <row r="645" spans="1:18">
      <c r="A645" s="22" t="s">
        <v>779</v>
      </c>
      <c r="B645" s="23">
        <v>44026</v>
      </c>
      <c r="C645" s="24">
        <f t="shared" si="10"/>
        <v>7</v>
      </c>
      <c r="D645" s="22" t="s">
        <v>37</v>
      </c>
      <c r="E645" s="22" t="s">
        <v>38</v>
      </c>
      <c r="F645" s="22" t="s">
        <v>96</v>
      </c>
      <c r="G645" s="22" t="s">
        <v>113</v>
      </c>
      <c r="H645" s="22" t="s">
        <v>119</v>
      </c>
      <c r="I645" s="22" t="s">
        <v>51</v>
      </c>
      <c r="J645" s="22" t="s">
        <v>25</v>
      </c>
      <c r="K645" s="22" t="s">
        <v>26</v>
      </c>
      <c r="L645" s="22">
        <v>4</v>
      </c>
      <c r="M645" s="22">
        <v>12000</v>
      </c>
      <c r="N645" s="22">
        <v>0.1</v>
      </c>
      <c r="O645" s="22">
        <v>43200</v>
      </c>
      <c r="P645" s="22">
        <v>30026.28</v>
      </c>
      <c r="Q645" s="22">
        <v>13173.72</v>
      </c>
      <c r="R645" s="22" t="s">
        <v>77</v>
      </c>
    </row>
    <row r="646" spans="1:18">
      <c r="A646" s="22" t="s">
        <v>780</v>
      </c>
      <c r="B646" s="23">
        <v>44048</v>
      </c>
      <c r="C646" s="24">
        <f t="shared" si="10"/>
        <v>8</v>
      </c>
      <c r="D646" s="22" t="s">
        <v>121</v>
      </c>
      <c r="E646" s="22" t="s">
        <v>38</v>
      </c>
      <c r="F646" s="22" t="s">
        <v>55</v>
      </c>
      <c r="G646" s="22" t="s">
        <v>56</v>
      </c>
      <c r="H646" s="22" t="s">
        <v>154</v>
      </c>
      <c r="I646" s="22" t="s">
        <v>24</v>
      </c>
      <c r="J646" s="22" t="s">
        <v>63</v>
      </c>
      <c r="K646" s="22" t="s">
        <v>47</v>
      </c>
      <c r="L646" s="22">
        <v>8</v>
      </c>
      <c r="M646" s="22">
        <v>65800</v>
      </c>
      <c r="N646" s="22">
        <v>0.05</v>
      </c>
      <c r="O646" s="22">
        <v>500080</v>
      </c>
      <c r="P646" s="22">
        <v>372640.97</v>
      </c>
      <c r="Q646" s="22">
        <v>127439.03</v>
      </c>
      <c r="R646" s="22" t="s">
        <v>35</v>
      </c>
    </row>
    <row r="647" hidden="1" spans="1:18">
      <c r="A647" s="22" t="s">
        <v>781</v>
      </c>
      <c r="B647" s="23">
        <v>44646</v>
      </c>
      <c r="C647" s="24">
        <f t="shared" si="10"/>
        <v>3</v>
      </c>
      <c r="D647" s="22" t="s">
        <v>133</v>
      </c>
      <c r="E647" s="22" t="s">
        <v>213</v>
      </c>
      <c r="F647" s="22" t="s">
        <v>31</v>
      </c>
      <c r="G647" s="22" t="s">
        <v>43</v>
      </c>
      <c r="H647" s="22" t="s">
        <v>91</v>
      </c>
      <c r="I647" s="22" t="s">
        <v>45</v>
      </c>
      <c r="J647" s="22" t="s">
        <v>40</v>
      </c>
      <c r="K647" s="22" t="s">
        <v>53</v>
      </c>
      <c r="L647" s="22">
        <v>1</v>
      </c>
      <c r="M647" s="22">
        <v>13100</v>
      </c>
      <c r="N647" s="22">
        <v>0</v>
      </c>
      <c r="O647" s="22">
        <v>13100</v>
      </c>
      <c r="P647" s="22">
        <v>8672.64</v>
      </c>
      <c r="Q647" s="22">
        <v>4427.36</v>
      </c>
      <c r="R647" s="22" t="s">
        <v>48</v>
      </c>
    </row>
    <row r="648" hidden="1" spans="1:18">
      <c r="A648" s="22" t="s">
        <v>782</v>
      </c>
      <c r="B648" s="23">
        <v>43790</v>
      </c>
      <c r="C648" s="24">
        <f t="shared" si="10"/>
        <v>11</v>
      </c>
      <c r="D648" s="22" t="s">
        <v>65</v>
      </c>
      <c r="E648" s="22" t="s">
        <v>30</v>
      </c>
      <c r="F648" s="22" t="s">
        <v>60</v>
      </c>
      <c r="G648" s="22" t="s">
        <v>141</v>
      </c>
      <c r="H648" s="22" t="s">
        <v>200</v>
      </c>
      <c r="I648" s="22" t="s">
        <v>45</v>
      </c>
      <c r="J648" s="22" t="s">
        <v>40</v>
      </c>
      <c r="K648" s="22" t="s">
        <v>47</v>
      </c>
      <c r="L648" s="22">
        <v>1</v>
      </c>
      <c r="M648" s="22">
        <v>1600</v>
      </c>
      <c r="N648" s="22">
        <v>0.1</v>
      </c>
      <c r="O648" s="22">
        <v>1440</v>
      </c>
      <c r="P648" s="22">
        <v>1192.01</v>
      </c>
      <c r="Q648" s="22">
        <v>247.99</v>
      </c>
      <c r="R648" s="22" t="s">
        <v>35</v>
      </c>
    </row>
    <row r="649" spans="1:18">
      <c r="A649" s="22" t="s">
        <v>783</v>
      </c>
      <c r="B649" s="23">
        <v>43692</v>
      </c>
      <c r="C649" s="24">
        <f t="shared" si="10"/>
        <v>8</v>
      </c>
      <c r="D649" s="22" t="s">
        <v>90</v>
      </c>
      <c r="E649" s="22" t="s">
        <v>38</v>
      </c>
      <c r="F649" s="22" t="s">
        <v>55</v>
      </c>
      <c r="G649" s="22" t="s">
        <v>80</v>
      </c>
      <c r="H649" s="22" t="s">
        <v>134</v>
      </c>
      <c r="I649" s="22" t="s">
        <v>51</v>
      </c>
      <c r="J649" s="22" t="s">
        <v>88</v>
      </c>
      <c r="K649" s="22" t="s">
        <v>53</v>
      </c>
      <c r="L649" s="22">
        <v>7</v>
      </c>
      <c r="M649" s="22">
        <v>40700</v>
      </c>
      <c r="N649" s="22">
        <v>0.15</v>
      </c>
      <c r="O649" s="22">
        <v>242165</v>
      </c>
      <c r="P649" s="22">
        <v>163344.83</v>
      </c>
      <c r="Q649" s="22">
        <v>78820.17</v>
      </c>
      <c r="R649" s="22" t="s">
        <v>35</v>
      </c>
    </row>
    <row r="650" hidden="1" spans="1:18">
      <c r="A650" s="22" t="s">
        <v>784</v>
      </c>
      <c r="B650" s="23">
        <v>44588</v>
      </c>
      <c r="C650" s="24">
        <f t="shared" si="10"/>
        <v>1</v>
      </c>
      <c r="D650" s="22" t="s">
        <v>69</v>
      </c>
      <c r="E650" s="22" t="s">
        <v>30</v>
      </c>
      <c r="F650" s="22" t="s">
        <v>60</v>
      </c>
      <c r="G650" s="22" t="s">
        <v>61</v>
      </c>
      <c r="H650" s="22" t="s">
        <v>62</v>
      </c>
      <c r="I650" s="22" t="s">
        <v>51</v>
      </c>
      <c r="J650" s="22" t="s">
        <v>124</v>
      </c>
      <c r="K650" s="22" t="s">
        <v>26</v>
      </c>
      <c r="L650" s="22">
        <v>10</v>
      </c>
      <c r="M650" s="22">
        <v>1000</v>
      </c>
      <c r="N650" s="22">
        <v>0.05</v>
      </c>
      <c r="O650" s="22">
        <v>9500</v>
      </c>
      <c r="P650" s="22">
        <v>6986.21</v>
      </c>
      <c r="Q650" s="22">
        <v>2513.79</v>
      </c>
      <c r="R650" s="22" t="s">
        <v>35</v>
      </c>
    </row>
    <row r="651" hidden="1" spans="1:18">
      <c r="A651" s="22" t="s">
        <v>785</v>
      </c>
      <c r="B651" s="23">
        <v>43667</v>
      </c>
      <c r="C651" s="24">
        <f t="shared" si="10"/>
        <v>7</v>
      </c>
      <c r="D651" s="22" t="s">
        <v>19</v>
      </c>
      <c r="E651" s="22" t="s">
        <v>20</v>
      </c>
      <c r="F651" s="22" t="s">
        <v>55</v>
      </c>
      <c r="G651" s="22" t="s">
        <v>80</v>
      </c>
      <c r="H651" s="22" t="s">
        <v>81</v>
      </c>
      <c r="I651" s="22" t="s">
        <v>45</v>
      </c>
      <c r="J651" s="22" t="s">
        <v>88</v>
      </c>
      <c r="K651" s="22" t="s">
        <v>47</v>
      </c>
      <c r="L651" s="22">
        <v>10</v>
      </c>
      <c r="M651" s="22">
        <v>22400</v>
      </c>
      <c r="N651" s="22">
        <v>0.05</v>
      </c>
      <c r="O651" s="22">
        <v>212800</v>
      </c>
      <c r="P651" s="22">
        <v>170221.58</v>
      </c>
      <c r="Q651" s="22">
        <v>42578.42</v>
      </c>
      <c r="R651" s="22" t="s">
        <v>35</v>
      </c>
    </row>
    <row r="652" spans="1:18">
      <c r="A652" s="22" t="s">
        <v>786</v>
      </c>
      <c r="B652" s="23">
        <v>43273</v>
      </c>
      <c r="C652" s="24">
        <f t="shared" si="10"/>
        <v>6</v>
      </c>
      <c r="D652" s="22" t="s">
        <v>121</v>
      </c>
      <c r="E652" s="22" t="s">
        <v>38</v>
      </c>
      <c r="F652" s="22" t="s">
        <v>60</v>
      </c>
      <c r="G652" s="22" t="s">
        <v>86</v>
      </c>
      <c r="H652" s="22" t="s">
        <v>106</v>
      </c>
      <c r="I652" s="22" t="s">
        <v>45</v>
      </c>
      <c r="J652" s="22" t="s">
        <v>63</v>
      </c>
      <c r="K652" s="22" t="s">
        <v>26</v>
      </c>
      <c r="L652" s="22">
        <v>7</v>
      </c>
      <c r="M652" s="22">
        <v>65200</v>
      </c>
      <c r="N652" s="22">
        <v>0.05</v>
      </c>
      <c r="O652" s="22">
        <v>433580</v>
      </c>
      <c r="P652" s="22">
        <v>333462.02</v>
      </c>
      <c r="Q652" s="22">
        <v>100117.98</v>
      </c>
      <c r="R652" s="22" t="s">
        <v>48</v>
      </c>
    </row>
    <row r="653" spans="1:18">
      <c r="A653" s="22" t="s">
        <v>787</v>
      </c>
      <c r="B653" s="23">
        <v>45713</v>
      </c>
      <c r="C653" s="24">
        <f t="shared" si="10"/>
        <v>2</v>
      </c>
      <c r="D653" s="22" t="s">
        <v>103</v>
      </c>
      <c r="E653" s="22" t="s">
        <v>38</v>
      </c>
      <c r="F653" s="22" t="s">
        <v>96</v>
      </c>
      <c r="G653" s="22" t="s">
        <v>113</v>
      </c>
      <c r="H653" s="22" t="s">
        <v>119</v>
      </c>
      <c r="I653" s="22" t="s">
        <v>51</v>
      </c>
      <c r="J653" s="22" t="s">
        <v>170</v>
      </c>
      <c r="K653" s="22" t="s">
        <v>47</v>
      </c>
      <c r="L653" s="22">
        <v>6</v>
      </c>
      <c r="M653" s="22">
        <v>34600</v>
      </c>
      <c r="N653" s="22">
        <v>0.15</v>
      </c>
      <c r="O653" s="22">
        <v>176460</v>
      </c>
      <c r="P653" s="22">
        <v>112851.48</v>
      </c>
      <c r="Q653" s="22">
        <v>63608.52</v>
      </c>
      <c r="R653" s="22" t="s">
        <v>35</v>
      </c>
    </row>
    <row r="654" hidden="1" spans="1:18">
      <c r="A654" s="22" t="s">
        <v>788</v>
      </c>
      <c r="B654" s="23">
        <v>44213</v>
      </c>
      <c r="C654" s="24">
        <f t="shared" si="10"/>
        <v>1</v>
      </c>
      <c r="D654" s="22" t="s">
        <v>85</v>
      </c>
      <c r="E654" s="22" t="s">
        <v>30</v>
      </c>
      <c r="F654" s="22" t="s">
        <v>21</v>
      </c>
      <c r="G654" s="22" t="s">
        <v>167</v>
      </c>
      <c r="H654" s="22" t="s">
        <v>254</v>
      </c>
      <c r="I654" s="22" t="s">
        <v>24</v>
      </c>
      <c r="J654" s="22" t="s">
        <v>63</v>
      </c>
      <c r="K654" s="22" t="s">
        <v>53</v>
      </c>
      <c r="L654" s="22">
        <v>6</v>
      </c>
      <c r="M654" s="22">
        <v>1100</v>
      </c>
      <c r="N654" s="22">
        <v>0.1</v>
      </c>
      <c r="O654" s="22">
        <v>5940</v>
      </c>
      <c r="P654" s="22">
        <v>4414.24</v>
      </c>
      <c r="Q654" s="22">
        <v>1525.76</v>
      </c>
      <c r="R654" s="22" t="s">
        <v>27</v>
      </c>
    </row>
    <row r="655" hidden="1" spans="1:18">
      <c r="A655" s="22" t="s">
        <v>789</v>
      </c>
      <c r="B655" s="23">
        <v>44008</v>
      </c>
      <c r="C655" s="24">
        <f t="shared" si="10"/>
        <v>6</v>
      </c>
      <c r="D655" s="22" t="s">
        <v>19</v>
      </c>
      <c r="E655" s="22" t="s">
        <v>20</v>
      </c>
      <c r="F655" s="22" t="s">
        <v>96</v>
      </c>
      <c r="G655" s="22" t="s">
        <v>113</v>
      </c>
      <c r="H655" s="22" t="s">
        <v>114</v>
      </c>
      <c r="I655" s="22" t="s">
        <v>51</v>
      </c>
      <c r="J655" s="22" t="s">
        <v>99</v>
      </c>
      <c r="K655" s="22" t="s">
        <v>47</v>
      </c>
      <c r="L655" s="22">
        <v>6</v>
      </c>
      <c r="M655" s="22">
        <v>14700</v>
      </c>
      <c r="N655" s="22">
        <v>0.15</v>
      </c>
      <c r="O655" s="22">
        <v>74970</v>
      </c>
      <c r="P655" s="22">
        <v>51085.44</v>
      </c>
      <c r="Q655" s="22">
        <v>23884.56</v>
      </c>
      <c r="R655" s="22" t="s">
        <v>48</v>
      </c>
    </row>
    <row r="656" hidden="1" spans="1:18">
      <c r="A656" s="22" t="s">
        <v>790</v>
      </c>
      <c r="B656" s="23">
        <v>44594</v>
      </c>
      <c r="C656" s="24">
        <f t="shared" si="10"/>
        <v>2</v>
      </c>
      <c r="D656" s="22" t="s">
        <v>69</v>
      </c>
      <c r="E656" s="22" t="s">
        <v>20</v>
      </c>
      <c r="F656" s="22" t="s">
        <v>96</v>
      </c>
      <c r="G656" s="22" t="s">
        <v>113</v>
      </c>
      <c r="H656" s="22" t="s">
        <v>126</v>
      </c>
      <c r="I656" s="22" t="s">
        <v>24</v>
      </c>
      <c r="J656" s="22" t="s">
        <v>88</v>
      </c>
      <c r="K656" s="22" t="s">
        <v>26</v>
      </c>
      <c r="L656" s="22">
        <v>8</v>
      </c>
      <c r="M656" s="22">
        <v>25200</v>
      </c>
      <c r="N656" s="22">
        <v>0</v>
      </c>
      <c r="O656" s="22">
        <v>201600</v>
      </c>
      <c r="P656" s="22">
        <v>136569.13</v>
      </c>
      <c r="Q656" s="22">
        <v>65030.87</v>
      </c>
      <c r="R656" s="22" t="s">
        <v>48</v>
      </c>
    </row>
    <row r="657" spans="1:18">
      <c r="A657" s="22" t="s">
        <v>791</v>
      </c>
      <c r="B657" s="23">
        <v>44053</v>
      </c>
      <c r="C657" s="24">
        <f t="shared" si="10"/>
        <v>8</v>
      </c>
      <c r="D657" s="22" t="s">
        <v>90</v>
      </c>
      <c r="E657" s="22" t="s">
        <v>38</v>
      </c>
      <c r="F657" s="22" t="s">
        <v>96</v>
      </c>
      <c r="G657" s="22" t="s">
        <v>97</v>
      </c>
      <c r="H657" s="22" t="s">
        <v>289</v>
      </c>
      <c r="I657" s="22" t="s">
        <v>51</v>
      </c>
      <c r="J657" s="22" t="s">
        <v>34</v>
      </c>
      <c r="K657" s="22" t="s">
        <v>53</v>
      </c>
      <c r="L657" s="22">
        <v>6</v>
      </c>
      <c r="M657" s="22">
        <v>24300</v>
      </c>
      <c r="N657" s="22">
        <v>0.05</v>
      </c>
      <c r="O657" s="22">
        <v>138510</v>
      </c>
      <c r="P657" s="22">
        <v>102437.37</v>
      </c>
      <c r="Q657" s="22">
        <v>36072.63</v>
      </c>
      <c r="R657" s="22" t="s">
        <v>77</v>
      </c>
    </row>
    <row r="658" hidden="1" spans="1:18">
      <c r="A658" s="22" t="s">
        <v>792</v>
      </c>
      <c r="B658" s="23">
        <v>46067</v>
      </c>
      <c r="C658" s="24">
        <f t="shared" si="10"/>
        <v>2</v>
      </c>
      <c r="D658" s="22" t="s">
        <v>19</v>
      </c>
      <c r="E658" s="22" t="s">
        <v>20</v>
      </c>
      <c r="F658" s="22" t="s">
        <v>31</v>
      </c>
      <c r="G658" s="22" t="s">
        <v>32</v>
      </c>
      <c r="H658" s="22" t="s">
        <v>50</v>
      </c>
      <c r="I658" s="22" t="s">
        <v>24</v>
      </c>
      <c r="J658" s="22" t="s">
        <v>116</v>
      </c>
      <c r="K658" s="22" t="s">
        <v>26</v>
      </c>
      <c r="L658" s="22">
        <v>3</v>
      </c>
      <c r="M658" s="22">
        <v>13900</v>
      </c>
      <c r="N658" s="22">
        <v>0.1</v>
      </c>
      <c r="O658" s="22">
        <v>37530</v>
      </c>
      <c r="P658" s="22">
        <v>26426.62</v>
      </c>
      <c r="Q658" s="22">
        <v>11103.38</v>
      </c>
      <c r="R658" s="22" t="s">
        <v>77</v>
      </c>
    </row>
    <row r="659" spans="1:18">
      <c r="A659" s="22" t="s">
        <v>793</v>
      </c>
      <c r="B659" s="23">
        <v>45748</v>
      </c>
      <c r="C659" s="24">
        <f t="shared" si="10"/>
        <v>4</v>
      </c>
      <c r="D659" s="22" t="s">
        <v>90</v>
      </c>
      <c r="E659" s="22" t="s">
        <v>38</v>
      </c>
      <c r="F659" s="22" t="s">
        <v>31</v>
      </c>
      <c r="G659" s="22" t="s">
        <v>43</v>
      </c>
      <c r="H659" s="22" t="s">
        <v>44</v>
      </c>
      <c r="I659" s="22" t="s">
        <v>24</v>
      </c>
      <c r="J659" s="22" t="s">
        <v>99</v>
      </c>
      <c r="K659" s="22" t="s">
        <v>47</v>
      </c>
      <c r="L659" s="22">
        <v>1</v>
      </c>
      <c r="M659" s="22">
        <v>42700</v>
      </c>
      <c r="N659" s="22">
        <v>0.1</v>
      </c>
      <c r="O659" s="22">
        <v>38430</v>
      </c>
      <c r="P659" s="22">
        <v>29419.03</v>
      </c>
      <c r="Q659" s="22">
        <v>9010.97</v>
      </c>
      <c r="R659" s="22" t="s">
        <v>58</v>
      </c>
    </row>
    <row r="660" hidden="1" spans="1:18">
      <c r="A660" s="22" t="s">
        <v>794</v>
      </c>
      <c r="B660" s="23">
        <v>44015</v>
      </c>
      <c r="C660" s="24">
        <f t="shared" si="10"/>
        <v>7</v>
      </c>
      <c r="D660" s="22" t="s">
        <v>79</v>
      </c>
      <c r="E660" s="22" t="s">
        <v>128</v>
      </c>
      <c r="F660" s="22" t="s">
        <v>31</v>
      </c>
      <c r="G660" s="22" t="s">
        <v>66</v>
      </c>
      <c r="H660" s="22" t="s">
        <v>244</v>
      </c>
      <c r="I660" s="22" t="s">
        <v>24</v>
      </c>
      <c r="J660" s="22" t="s">
        <v>88</v>
      </c>
      <c r="K660" s="22" t="s">
        <v>26</v>
      </c>
      <c r="L660" s="22">
        <v>9</v>
      </c>
      <c r="M660" s="22">
        <v>24200</v>
      </c>
      <c r="N660" s="22">
        <v>0.1</v>
      </c>
      <c r="O660" s="22">
        <v>196020</v>
      </c>
      <c r="P660" s="22">
        <v>132039.17</v>
      </c>
      <c r="Q660" s="22">
        <v>63980.83</v>
      </c>
      <c r="R660" s="22" t="s">
        <v>27</v>
      </c>
    </row>
    <row r="661" hidden="1" spans="1:18">
      <c r="A661" s="22" t="s">
        <v>795</v>
      </c>
      <c r="B661" s="23">
        <v>43717</v>
      </c>
      <c r="C661" s="24">
        <f t="shared" si="10"/>
        <v>9</v>
      </c>
      <c r="D661" s="22" t="s">
        <v>29</v>
      </c>
      <c r="E661" s="22" t="s">
        <v>30</v>
      </c>
      <c r="F661" s="22" t="s">
        <v>96</v>
      </c>
      <c r="G661" s="22" t="s">
        <v>97</v>
      </c>
      <c r="H661" s="22" t="s">
        <v>289</v>
      </c>
      <c r="I661" s="22" t="s">
        <v>51</v>
      </c>
      <c r="J661" s="22" t="s">
        <v>99</v>
      </c>
      <c r="K661" s="22" t="s">
        <v>53</v>
      </c>
      <c r="L661" s="22">
        <v>6</v>
      </c>
      <c r="M661" s="22">
        <v>4700</v>
      </c>
      <c r="N661" s="22">
        <v>0</v>
      </c>
      <c r="O661" s="22">
        <v>28200</v>
      </c>
      <c r="P661" s="22">
        <v>23449.42</v>
      </c>
      <c r="Q661" s="22">
        <v>4750.58</v>
      </c>
      <c r="R661" s="22" t="s">
        <v>48</v>
      </c>
    </row>
    <row r="662" hidden="1" spans="1:18">
      <c r="A662" s="22" t="s">
        <v>796</v>
      </c>
      <c r="B662" s="23">
        <v>43691</v>
      </c>
      <c r="C662" s="24">
        <f t="shared" si="10"/>
        <v>8</v>
      </c>
      <c r="D662" s="22" t="s">
        <v>90</v>
      </c>
      <c r="E662" s="22" t="s">
        <v>128</v>
      </c>
      <c r="F662" s="22" t="s">
        <v>55</v>
      </c>
      <c r="G662" s="22" t="s">
        <v>56</v>
      </c>
      <c r="H662" s="22" t="s">
        <v>154</v>
      </c>
      <c r="I662" s="22" t="s">
        <v>24</v>
      </c>
      <c r="J662" s="22" t="s">
        <v>52</v>
      </c>
      <c r="K662" s="22" t="s">
        <v>26</v>
      </c>
      <c r="L662" s="22">
        <v>9</v>
      </c>
      <c r="M662" s="22">
        <v>17900</v>
      </c>
      <c r="N662" s="22">
        <v>0.15</v>
      </c>
      <c r="O662" s="22">
        <v>136935</v>
      </c>
      <c r="P662" s="22">
        <v>98212.48</v>
      </c>
      <c r="Q662" s="22">
        <v>38722.52</v>
      </c>
      <c r="R662" s="22" t="s">
        <v>58</v>
      </c>
    </row>
    <row r="663" hidden="1" spans="1:18">
      <c r="A663" s="22" t="s">
        <v>797</v>
      </c>
      <c r="B663" s="23">
        <v>45685</v>
      </c>
      <c r="C663" s="24">
        <f t="shared" si="10"/>
        <v>1</v>
      </c>
      <c r="D663" s="22" t="s">
        <v>69</v>
      </c>
      <c r="E663" s="22" t="s">
        <v>30</v>
      </c>
      <c r="F663" s="22" t="s">
        <v>96</v>
      </c>
      <c r="G663" s="22" t="s">
        <v>113</v>
      </c>
      <c r="H663" s="22" t="s">
        <v>126</v>
      </c>
      <c r="I663" s="22" t="s">
        <v>24</v>
      </c>
      <c r="J663" s="22" t="s">
        <v>73</v>
      </c>
      <c r="K663" s="22" t="s">
        <v>47</v>
      </c>
      <c r="L663" s="22">
        <v>10</v>
      </c>
      <c r="M663" s="22">
        <v>2200</v>
      </c>
      <c r="N663" s="22">
        <v>0</v>
      </c>
      <c r="O663" s="22">
        <v>22000</v>
      </c>
      <c r="P663" s="22">
        <v>18445.31</v>
      </c>
      <c r="Q663" s="22">
        <v>3554.69</v>
      </c>
      <c r="R663" s="22" t="s">
        <v>35</v>
      </c>
    </row>
    <row r="664" hidden="1" spans="1:18">
      <c r="A664" s="22" t="s">
        <v>798</v>
      </c>
      <c r="B664" s="23">
        <v>43289</v>
      </c>
      <c r="C664" s="24">
        <f t="shared" si="10"/>
        <v>7</v>
      </c>
      <c r="D664" s="22" t="s">
        <v>90</v>
      </c>
      <c r="E664" s="22" t="s">
        <v>128</v>
      </c>
      <c r="F664" s="22" t="s">
        <v>55</v>
      </c>
      <c r="G664" s="22" t="s">
        <v>56</v>
      </c>
      <c r="H664" s="22" t="s">
        <v>76</v>
      </c>
      <c r="I664" s="22" t="s">
        <v>24</v>
      </c>
      <c r="J664" s="22" t="s">
        <v>88</v>
      </c>
      <c r="K664" s="22" t="s">
        <v>47</v>
      </c>
      <c r="L664" s="22">
        <v>9</v>
      </c>
      <c r="M664" s="22">
        <v>17900</v>
      </c>
      <c r="N664" s="22">
        <v>0.2</v>
      </c>
      <c r="O664" s="22">
        <v>128880</v>
      </c>
      <c r="P664" s="22">
        <v>93095.85</v>
      </c>
      <c r="Q664" s="22">
        <v>35784.15</v>
      </c>
      <c r="R664" s="22" t="s">
        <v>48</v>
      </c>
    </row>
    <row r="665" hidden="1" spans="1:18">
      <c r="A665" s="22" t="s">
        <v>799</v>
      </c>
      <c r="B665" s="23">
        <v>45845</v>
      </c>
      <c r="C665" s="24">
        <f t="shared" si="10"/>
        <v>7</v>
      </c>
      <c r="D665" s="22" t="s">
        <v>79</v>
      </c>
      <c r="E665" s="22" t="s">
        <v>128</v>
      </c>
      <c r="F665" s="22" t="s">
        <v>31</v>
      </c>
      <c r="G665" s="22" t="s">
        <v>172</v>
      </c>
      <c r="H665" s="22" t="s">
        <v>269</v>
      </c>
      <c r="I665" s="22" t="s">
        <v>51</v>
      </c>
      <c r="J665" s="22" t="s">
        <v>99</v>
      </c>
      <c r="K665" s="22" t="s">
        <v>47</v>
      </c>
      <c r="L665" s="22">
        <v>10</v>
      </c>
      <c r="M665" s="22">
        <v>73500</v>
      </c>
      <c r="N665" s="22">
        <v>0</v>
      </c>
      <c r="O665" s="22">
        <v>735000</v>
      </c>
      <c r="P665" s="22">
        <v>598205.81</v>
      </c>
      <c r="Q665" s="22">
        <v>136794.19</v>
      </c>
      <c r="R665" s="22" t="s">
        <v>77</v>
      </c>
    </row>
    <row r="666" hidden="1" spans="1:18">
      <c r="A666" s="22" t="s">
        <v>800</v>
      </c>
      <c r="B666" s="23">
        <v>43670</v>
      </c>
      <c r="C666" s="24">
        <f t="shared" si="10"/>
        <v>7</v>
      </c>
      <c r="D666" s="22" t="s">
        <v>65</v>
      </c>
      <c r="E666" s="22" t="s">
        <v>30</v>
      </c>
      <c r="F666" s="22" t="s">
        <v>55</v>
      </c>
      <c r="G666" s="22" t="s">
        <v>195</v>
      </c>
      <c r="H666" s="22" t="s">
        <v>448</v>
      </c>
      <c r="I666" s="22" t="s">
        <v>51</v>
      </c>
      <c r="J666" s="22" t="s">
        <v>52</v>
      </c>
      <c r="K666" s="22" t="s">
        <v>26</v>
      </c>
      <c r="L666" s="22">
        <v>8</v>
      </c>
      <c r="M666" s="22">
        <v>900</v>
      </c>
      <c r="N666" s="22">
        <v>0</v>
      </c>
      <c r="O666" s="22">
        <v>7200</v>
      </c>
      <c r="P666" s="22">
        <v>4959.34</v>
      </c>
      <c r="Q666" s="22">
        <v>2240.66</v>
      </c>
      <c r="R666" s="22" t="s">
        <v>35</v>
      </c>
    </row>
    <row r="667" hidden="1" spans="1:18">
      <c r="A667" s="22" t="s">
        <v>801</v>
      </c>
      <c r="B667" s="23">
        <v>43106</v>
      </c>
      <c r="C667" s="24">
        <f t="shared" si="10"/>
        <v>1</v>
      </c>
      <c r="D667" s="22" t="s">
        <v>85</v>
      </c>
      <c r="E667" s="22" t="s">
        <v>30</v>
      </c>
      <c r="F667" s="22" t="s">
        <v>60</v>
      </c>
      <c r="G667" s="22" t="s">
        <v>93</v>
      </c>
      <c r="H667" s="22" t="s">
        <v>101</v>
      </c>
      <c r="I667" s="22" t="s">
        <v>24</v>
      </c>
      <c r="J667" s="22" t="s">
        <v>170</v>
      </c>
      <c r="K667" s="22" t="s">
        <v>26</v>
      </c>
      <c r="L667" s="22">
        <v>4</v>
      </c>
      <c r="M667" s="22">
        <v>4500</v>
      </c>
      <c r="N667" s="22">
        <v>0.2</v>
      </c>
      <c r="O667" s="22">
        <v>14400</v>
      </c>
      <c r="P667" s="22">
        <v>11478.54</v>
      </c>
      <c r="Q667" s="22">
        <v>2921.46</v>
      </c>
      <c r="R667" s="22" t="s">
        <v>27</v>
      </c>
    </row>
    <row r="668" hidden="1" spans="1:18">
      <c r="A668" s="22" t="s">
        <v>802</v>
      </c>
      <c r="B668" s="23">
        <v>43136</v>
      </c>
      <c r="C668" s="24">
        <f t="shared" si="10"/>
        <v>2</v>
      </c>
      <c r="D668" s="22" t="s">
        <v>90</v>
      </c>
      <c r="E668" s="22" t="s">
        <v>128</v>
      </c>
      <c r="F668" s="22" t="s">
        <v>60</v>
      </c>
      <c r="G668" s="22" t="s">
        <v>61</v>
      </c>
      <c r="H668" s="22" t="s">
        <v>188</v>
      </c>
      <c r="I668" s="22" t="s">
        <v>24</v>
      </c>
      <c r="J668" s="22" t="s">
        <v>34</v>
      </c>
      <c r="K668" s="22" t="s">
        <v>47</v>
      </c>
      <c r="L668" s="22">
        <v>5</v>
      </c>
      <c r="M668" s="22">
        <v>27400</v>
      </c>
      <c r="N668" s="22">
        <v>0</v>
      </c>
      <c r="O668" s="22">
        <v>137000</v>
      </c>
      <c r="P668" s="22">
        <v>113922.97</v>
      </c>
      <c r="Q668" s="22">
        <v>23077.03</v>
      </c>
      <c r="R668" s="22" t="s">
        <v>58</v>
      </c>
    </row>
    <row r="669" hidden="1" spans="1:18">
      <c r="A669" s="22" t="s">
        <v>803</v>
      </c>
      <c r="B669" s="23">
        <v>44202</v>
      </c>
      <c r="C669" s="24">
        <f t="shared" si="10"/>
        <v>1</v>
      </c>
      <c r="D669" s="22" t="s">
        <v>121</v>
      </c>
      <c r="E669" s="22" t="s">
        <v>128</v>
      </c>
      <c r="F669" s="22" t="s">
        <v>21</v>
      </c>
      <c r="G669" s="22" t="s">
        <v>22</v>
      </c>
      <c r="H669" s="22" t="s">
        <v>215</v>
      </c>
      <c r="I669" s="22" t="s">
        <v>24</v>
      </c>
      <c r="J669" s="22" t="s">
        <v>52</v>
      </c>
      <c r="K669" s="22" t="s">
        <v>47</v>
      </c>
      <c r="L669" s="22">
        <v>3</v>
      </c>
      <c r="M669" s="22">
        <v>76400</v>
      </c>
      <c r="N669" s="22">
        <v>0.15</v>
      </c>
      <c r="O669" s="22">
        <v>194820</v>
      </c>
      <c r="P669" s="22">
        <v>155852.67</v>
      </c>
      <c r="Q669" s="22">
        <v>38967.33</v>
      </c>
      <c r="R669" s="22" t="s">
        <v>27</v>
      </c>
    </row>
    <row r="670" hidden="1" spans="1:18">
      <c r="A670" s="22" t="s">
        <v>804</v>
      </c>
      <c r="B670" s="23">
        <v>43276</v>
      </c>
      <c r="C670" s="24">
        <f t="shared" si="10"/>
        <v>6</v>
      </c>
      <c r="D670" s="22" t="s">
        <v>79</v>
      </c>
      <c r="E670" s="22" t="s">
        <v>128</v>
      </c>
      <c r="F670" s="22" t="s">
        <v>60</v>
      </c>
      <c r="G670" s="22" t="s">
        <v>93</v>
      </c>
      <c r="H670" s="22" t="s">
        <v>101</v>
      </c>
      <c r="I670" s="22" t="s">
        <v>24</v>
      </c>
      <c r="J670" s="22" t="s">
        <v>63</v>
      </c>
      <c r="K670" s="22" t="s">
        <v>47</v>
      </c>
      <c r="L670" s="22">
        <v>2</v>
      </c>
      <c r="M670" s="22">
        <v>22900</v>
      </c>
      <c r="N670" s="22">
        <v>0</v>
      </c>
      <c r="O670" s="22">
        <v>45800</v>
      </c>
      <c r="P670" s="22">
        <v>37791.91</v>
      </c>
      <c r="Q670" s="22">
        <v>8008.09</v>
      </c>
      <c r="R670" s="22" t="s">
        <v>77</v>
      </c>
    </row>
    <row r="671" hidden="1" spans="1:18">
      <c r="A671" s="22" t="s">
        <v>805</v>
      </c>
      <c r="B671" s="23">
        <v>43199</v>
      </c>
      <c r="C671" s="24">
        <f t="shared" si="10"/>
        <v>4</v>
      </c>
      <c r="D671" s="22" t="s">
        <v>42</v>
      </c>
      <c r="E671" s="22" t="s">
        <v>128</v>
      </c>
      <c r="F671" s="22" t="s">
        <v>31</v>
      </c>
      <c r="G671" s="22" t="s">
        <v>43</v>
      </c>
      <c r="H671" s="22" t="s">
        <v>91</v>
      </c>
      <c r="I671" s="22" t="s">
        <v>51</v>
      </c>
      <c r="J671" s="22" t="s">
        <v>73</v>
      </c>
      <c r="K671" s="22" t="s">
        <v>53</v>
      </c>
      <c r="L671" s="22">
        <v>2</v>
      </c>
      <c r="M671" s="22">
        <v>74200</v>
      </c>
      <c r="N671" s="22">
        <v>0</v>
      </c>
      <c r="O671" s="22">
        <v>148400</v>
      </c>
      <c r="P671" s="22">
        <v>123421.77</v>
      </c>
      <c r="Q671" s="22">
        <v>24978.23</v>
      </c>
      <c r="R671" s="22" t="s">
        <v>27</v>
      </c>
    </row>
    <row r="672" hidden="1" spans="1:18">
      <c r="A672" s="22" t="s">
        <v>806</v>
      </c>
      <c r="B672" s="23">
        <v>44334</v>
      </c>
      <c r="C672" s="24">
        <f t="shared" si="10"/>
        <v>5</v>
      </c>
      <c r="D672" s="22" t="s">
        <v>37</v>
      </c>
      <c r="E672" s="22" t="s">
        <v>128</v>
      </c>
      <c r="F672" s="22" t="s">
        <v>21</v>
      </c>
      <c r="G672" s="22" t="s">
        <v>70</v>
      </c>
      <c r="H672" s="22" t="s">
        <v>71</v>
      </c>
      <c r="I672" s="22" t="s">
        <v>51</v>
      </c>
      <c r="J672" s="22" t="s">
        <v>52</v>
      </c>
      <c r="K672" s="22" t="s">
        <v>53</v>
      </c>
      <c r="L672" s="22">
        <v>4</v>
      </c>
      <c r="M672" s="22">
        <v>24200</v>
      </c>
      <c r="N672" s="22">
        <v>0.1</v>
      </c>
      <c r="O672" s="22">
        <v>87120</v>
      </c>
      <c r="P672" s="22">
        <v>67798.87</v>
      </c>
      <c r="Q672" s="22">
        <v>19321.13</v>
      </c>
      <c r="R672" s="22" t="s">
        <v>58</v>
      </c>
    </row>
    <row r="673" hidden="1" spans="1:18">
      <c r="A673" s="22" t="s">
        <v>807</v>
      </c>
      <c r="B673" s="23">
        <v>44335</v>
      </c>
      <c r="C673" s="24">
        <f t="shared" si="10"/>
        <v>5</v>
      </c>
      <c r="D673" s="22" t="s">
        <v>19</v>
      </c>
      <c r="E673" s="22" t="s">
        <v>20</v>
      </c>
      <c r="F673" s="22" t="s">
        <v>55</v>
      </c>
      <c r="G673" s="22" t="s">
        <v>56</v>
      </c>
      <c r="H673" s="22" t="s">
        <v>154</v>
      </c>
      <c r="I673" s="22" t="s">
        <v>24</v>
      </c>
      <c r="J673" s="22" t="s">
        <v>25</v>
      </c>
      <c r="K673" s="22" t="s">
        <v>47</v>
      </c>
      <c r="L673" s="22">
        <v>6</v>
      </c>
      <c r="M673" s="22">
        <v>7600</v>
      </c>
      <c r="N673" s="22">
        <v>0</v>
      </c>
      <c r="O673" s="22">
        <v>45600</v>
      </c>
      <c r="P673" s="22">
        <v>37616.71</v>
      </c>
      <c r="Q673" s="22">
        <v>7983.29</v>
      </c>
      <c r="R673" s="22" t="s">
        <v>48</v>
      </c>
    </row>
    <row r="674" hidden="1" spans="1:18">
      <c r="A674" s="22" t="s">
        <v>808</v>
      </c>
      <c r="B674" s="23">
        <v>43797</v>
      </c>
      <c r="C674" s="24">
        <f t="shared" si="10"/>
        <v>11</v>
      </c>
      <c r="D674" s="22" t="s">
        <v>79</v>
      </c>
      <c r="E674" s="22" t="s">
        <v>128</v>
      </c>
      <c r="F674" s="22" t="s">
        <v>96</v>
      </c>
      <c r="G674" s="22" t="s">
        <v>97</v>
      </c>
      <c r="H674" s="22" t="s">
        <v>289</v>
      </c>
      <c r="I674" s="22" t="s">
        <v>51</v>
      </c>
      <c r="J674" s="22" t="s">
        <v>40</v>
      </c>
      <c r="K674" s="22" t="s">
        <v>26</v>
      </c>
      <c r="L674" s="22">
        <v>9</v>
      </c>
      <c r="M674" s="22">
        <v>69600</v>
      </c>
      <c r="N674" s="22">
        <v>0.1</v>
      </c>
      <c r="O674" s="22">
        <v>563760</v>
      </c>
      <c r="P674" s="22">
        <v>358449.59</v>
      </c>
      <c r="Q674" s="22">
        <v>205310.41</v>
      </c>
      <c r="R674" s="22" t="s">
        <v>35</v>
      </c>
    </row>
    <row r="675" hidden="1" spans="1:18">
      <c r="A675" s="22" t="s">
        <v>809</v>
      </c>
      <c r="B675" s="23">
        <v>44078</v>
      </c>
      <c r="C675" s="24">
        <f t="shared" si="10"/>
        <v>9</v>
      </c>
      <c r="D675" s="22" t="s">
        <v>79</v>
      </c>
      <c r="E675" s="22" t="s">
        <v>128</v>
      </c>
      <c r="F675" s="22" t="s">
        <v>96</v>
      </c>
      <c r="G675" s="22" t="s">
        <v>97</v>
      </c>
      <c r="H675" s="22" t="s">
        <v>289</v>
      </c>
      <c r="I675" s="22" t="s">
        <v>24</v>
      </c>
      <c r="J675" s="22" t="s">
        <v>73</v>
      </c>
      <c r="K675" s="22" t="s">
        <v>53</v>
      </c>
      <c r="L675" s="22">
        <v>2</v>
      </c>
      <c r="M675" s="22">
        <v>49700</v>
      </c>
      <c r="N675" s="22">
        <v>0.2</v>
      </c>
      <c r="O675" s="22">
        <v>79520</v>
      </c>
      <c r="P675" s="22">
        <v>58103.35</v>
      </c>
      <c r="Q675" s="22">
        <v>21416.65</v>
      </c>
      <c r="R675" s="22" t="s">
        <v>35</v>
      </c>
    </row>
    <row r="676" hidden="1" spans="1:18">
      <c r="A676" s="22" t="s">
        <v>810</v>
      </c>
      <c r="B676" s="23">
        <v>43275</v>
      </c>
      <c r="C676" s="24">
        <f t="shared" si="10"/>
        <v>6</v>
      </c>
      <c r="D676" s="22" t="s">
        <v>37</v>
      </c>
      <c r="E676" s="22" t="s">
        <v>128</v>
      </c>
      <c r="F676" s="22" t="s">
        <v>31</v>
      </c>
      <c r="G676" s="22" t="s">
        <v>43</v>
      </c>
      <c r="H676" s="22" t="s">
        <v>91</v>
      </c>
      <c r="I676" s="22" t="s">
        <v>51</v>
      </c>
      <c r="J676" s="22" t="s">
        <v>25</v>
      </c>
      <c r="K676" s="22" t="s">
        <v>26</v>
      </c>
      <c r="L676" s="22">
        <v>8</v>
      </c>
      <c r="M676" s="22">
        <v>27300</v>
      </c>
      <c r="N676" s="22">
        <v>0</v>
      </c>
      <c r="O676" s="22">
        <v>218400</v>
      </c>
      <c r="P676" s="22">
        <v>135877.88</v>
      </c>
      <c r="Q676" s="22">
        <v>82522.12</v>
      </c>
      <c r="R676" s="22" t="s">
        <v>35</v>
      </c>
    </row>
    <row r="677" hidden="1" spans="1:18">
      <c r="A677" s="22" t="s">
        <v>811</v>
      </c>
      <c r="B677" s="23">
        <v>43327</v>
      </c>
      <c r="C677" s="24">
        <f t="shared" si="10"/>
        <v>8</v>
      </c>
      <c r="D677" s="22" t="s">
        <v>133</v>
      </c>
      <c r="E677" s="22" t="s">
        <v>213</v>
      </c>
      <c r="F677" s="22" t="s">
        <v>55</v>
      </c>
      <c r="G677" s="22" t="s">
        <v>56</v>
      </c>
      <c r="H677" s="22" t="s">
        <v>154</v>
      </c>
      <c r="I677" s="22" t="s">
        <v>51</v>
      </c>
      <c r="J677" s="22" t="s">
        <v>99</v>
      </c>
      <c r="K677" s="22" t="s">
        <v>26</v>
      </c>
      <c r="L677" s="22">
        <v>3</v>
      </c>
      <c r="M677" s="22">
        <v>14000</v>
      </c>
      <c r="N677" s="22">
        <v>0.05</v>
      </c>
      <c r="O677" s="22">
        <v>39900</v>
      </c>
      <c r="P677" s="22">
        <v>32644.87</v>
      </c>
      <c r="Q677" s="22">
        <v>7255.13</v>
      </c>
      <c r="R677" s="22" t="s">
        <v>35</v>
      </c>
    </row>
    <row r="678" hidden="1" spans="1:18">
      <c r="A678" s="22" t="s">
        <v>812</v>
      </c>
      <c r="B678" s="23">
        <v>43261</v>
      </c>
      <c r="C678" s="24">
        <f t="shared" si="10"/>
        <v>6</v>
      </c>
      <c r="D678" s="22" t="s">
        <v>79</v>
      </c>
      <c r="E678" s="22" t="s">
        <v>128</v>
      </c>
      <c r="F678" s="22" t="s">
        <v>31</v>
      </c>
      <c r="G678" s="22" t="s">
        <v>43</v>
      </c>
      <c r="H678" s="22" t="s">
        <v>91</v>
      </c>
      <c r="I678" s="22" t="s">
        <v>45</v>
      </c>
      <c r="J678" s="22" t="s">
        <v>63</v>
      </c>
      <c r="K678" s="22" t="s">
        <v>26</v>
      </c>
      <c r="L678" s="22">
        <v>9</v>
      </c>
      <c r="M678" s="22">
        <v>28800</v>
      </c>
      <c r="N678" s="22">
        <v>0</v>
      </c>
      <c r="O678" s="22">
        <v>259200</v>
      </c>
      <c r="P678" s="22">
        <v>162858.62</v>
      </c>
      <c r="Q678" s="22">
        <v>96341.38</v>
      </c>
      <c r="R678" s="22" t="s">
        <v>77</v>
      </c>
    </row>
    <row r="679" hidden="1" spans="1:18">
      <c r="A679" s="22" t="s">
        <v>813</v>
      </c>
      <c r="B679" s="23">
        <v>43362</v>
      </c>
      <c r="C679" s="24">
        <f t="shared" si="10"/>
        <v>9</v>
      </c>
      <c r="D679" s="22" t="s">
        <v>79</v>
      </c>
      <c r="E679" s="22" t="s">
        <v>128</v>
      </c>
      <c r="F679" s="22" t="s">
        <v>60</v>
      </c>
      <c r="G679" s="22" t="s">
        <v>141</v>
      </c>
      <c r="H679" s="22" t="s">
        <v>200</v>
      </c>
      <c r="I679" s="22" t="s">
        <v>45</v>
      </c>
      <c r="J679" s="22" t="s">
        <v>99</v>
      </c>
      <c r="K679" s="22" t="s">
        <v>26</v>
      </c>
      <c r="L679" s="22">
        <v>9</v>
      </c>
      <c r="M679" s="22">
        <v>44000</v>
      </c>
      <c r="N679" s="22">
        <v>0.05</v>
      </c>
      <c r="O679" s="22">
        <v>376200</v>
      </c>
      <c r="P679" s="22">
        <v>314175.08</v>
      </c>
      <c r="Q679" s="22">
        <v>62024.92</v>
      </c>
      <c r="R679" s="22" t="s">
        <v>27</v>
      </c>
    </row>
    <row r="680" hidden="1" spans="1:18">
      <c r="A680" s="22" t="s">
        <v>814</v>
      </c>
      <c r="B680" s="23">
        <v>44090</v>
      </c>
      <c r="C680" s="24">
        <f t="shared" si="10"/>
        <v>9</v>
      </c>
      <c r="D680" s="22" t="s">
        <v>37</v>
      </c>
      <c r="E680" s="22" t="s">
        <v>128</v>
      </c>
      <c r="F680" s="22" t="s">
        <v>55</v>
      </c>
      <c r="G680" s="22" t="s">
        <v>195</v>
      </c>
      <c r="H680" s="22" t="s">
        <v>448</v>
      </c>
      <c r="I680" s="22" t="s">
        <v>45</v>
      </c>
      <c r="J680" s="22" t="s">
        <v>73</v>
      </c>
      <c r="K680" s="22" t="s">
        <v>26</v>
      </c>
      <c r="L680" s="22">
        <v>8</v>
      </c>
      <c r="M680" s="22">
        <v>11600</v>
      </c>
      <c r="N680" s="22">
        <v>0.15</v>
      </c>
      <c r="O680" s="22">
        <v>78880</v>
      </c>
      <c r="P680" s="22">
        <v>63934.22</v>
      </c>
      <c r="Q680" s="22">
        <v>14945.78</v>
      </c>
      <c r="R680" s="22" t="s">
        <v>27</v>
      </c>
    </row>
    <row r="681" hidden="1" spans="1:18">
      <c r="A681" s="22" t="s">
        <v>815</v>
      </c>
      <c r="B681" s="23">
        <v>45730</v>
      </c>
      <c r="C681" s="24">
        <f t="shared" si="10"/>
        <v>3</v>
      </c>
      <c r="D681" s="22" t="s">
        <v>103</v>
      </c>
      <c r="E681" s="22" t="s">
        <v>128</v>
      </c>
      <c r="F681" s="22" t="s">
        <v>60</v>
      </c>
      <c r="G681" s="22" t="s">
        <v>61</v>
      </c>
      <c r="H681" s="22" t="s">
        <v>101</v>
      </c>
      <c r="I681" s="22" t="s">
        <v>45</v>
      </c>
      <c r="J681" s="22" t="s">
        <v>88</v>
      </c>
      <c r="K681" s="22" t="s">
        <v>47</v>
      </c>
      <c r="L681" s="22">
        <v>6</v>
      </c>
      <c r="M681" s="22">
        <v>26000</v>
      </c>
      <c r="N681" s="22">
        <v>0.1</v>
      </c>
      <c r="O681" s="22">
        <v>140400</v>
      </c>
      <c r="P681" s="22">
        <v>91956.87</v>
      </c>
      <c r="Q681" s="22">
        <v>48443.13</v>
      </c>
      <c r="R681" s="22" t="s">
        <v>27</v>
      </c>
    </row>
    <row r="682" hidden="1" spans="1:18">
      <c r="A682" s="22" t="s">
        <v>816</v>
      </c>
      <c r="B682" s="23">
        <v>45685</v>
      </c>
      <c r="C682" s="24">
        <f t="shared" si="10"/>
        <v>1</v>
      </c>
      <c r="D682" s="22" t="s">
        <v>69</v>
      </c>
      <c r="E682" s="22" t="s">
        <v>30</v>
      </c>
      <c r="F682" s="22" t="s">
        <v>31</v>
      </c>
      <c r="G682" s="22" t="s">
        <v>43</v>
      </c>
      <c r="H682" s="22" t="s">
        <v>91</v>
      </c>
      <c r="I682" s="22" t="s">
        <v>45</v>
      </c>
      <c r="J682" s="22" t="s">
        <v>88</v>
      </c>
      <c r="K682" s="22" t="s">
        <v>47</v>
      </c>
      <c r="L682" s="22">
        <v>10</v>
      </c>
      <c r="M682" s="22">
        <v>7500</v>
      </c>
      <c r="N682" s="22">
        <v>0.1</v>
      </c>
      <c r="O682" s="22">
        <v>67500</v>
      </c>
      <c r="P682" s="22">
        <v>41919.98</v>
      </c>
      <c r="Q682" s="22">
        <v>25580.02</v>
      </c>
      <c r="R682" s="22" t="s">
        <v>27</v>
      </c>
    </row>
    <row r="683" hidden="1" spans="1:18">
      <c r="A683" s="22" t="s">
        <v>817</v>
      </c>
      <c r="B683" s="23">
        <v>43821</v>
      </c>
      <c r="C683" s="24">
        <f t="shared" si="10"/>
        <v>12</v>
      </c>
      <c r="D683" s="22" t="s">
        <v>42</v>
      </c>
      <c r="E683" s="22" t="s">
        <v>128</v>
      </c>
      <c r="F683" s="22" t="s">
        <v>31</v>
      </c>
      <c r="G683" s="22" t="s">
        <v>172</v>
      </c>
      <c r="H683" s="22" t="s">
        <v>173</v>
      </c>
      <c r="I683" s="22" t="s">
        <v>51</v>
      </c>
      <c r="J683" s="22" t="s">
        <v>34</v>
      </c>
      <c r="K683" s="22" t="s">
        <v>47</v>
      </c>
      <c r="L683" s="22">
        <v>8</v>
      </c>
      <c r="M683" s="22">
        <v>33800</v>
      </c>
      <c r="N683" s="22">
        <v>0.05</v>
      </c>
      <c r="O683" s="22">
        <v>256880</v>
      </c>
      <c r="P683" s="22">
        <v>209423.79</v>
      </c>
      <c r="Q683" s="22">
        <v>47456.21</v>
      </c>
      <c r="R683" s="22" t="s">
        <v>58</v>
      </c>
    </row>
    <row r="684" hidden="1" spans="1:18">
      <c r="A684" s="22" t="s">
        <v>818</v>
      </c>
      <c r="B684" s="23">
        <v>45720</v>
      </c>
      <c r="C684" s="24">
        <f t="shared" si="10"/>
        <v>3</v>
      </c>
      <c r="D684" s="22" t="s">
        <v>103</v>
      </c>
      <c r="E684" s="22" t="s">
        <v>128</v>
      </c>
      <c r="F684" s="22" t="s">
        <v>60</v>
      </c>
      <c r="G684" s="22" t="s">
        <v>93</v>
      </c>
      <c r="H684" s="22" t="s">
        <v>94</v>
      </c>
      <c r="I684" s="22" t="s">
        <v>51</v>
      </c>
      <c r="J684" s="22" t="s">
        <v>25</v>
      </c>
      <c r="K684" s="22" t="s">
        <v>53</v>
      </c>
      <c r="L684" s="22">
        <v>1</v>
      </c>
      <c r="M684" s="22">
        <v>34200</v>
      </c>
      <c r="N684" s="22">
        <v>0.2</v>
      </c>
      <c r="O684" s="22">
        <v>27360</v>
      </c>
      <c r="P684" s="22">
        <v>22203.95</v>
      </c>
      <c r="Q684" s="22">
        <v>5156.05</v>
      </c>
      <c r="R684" s="22" t="s">
        <v>58</v>
      </c>
    </row>
    <row r="685" hidden="1" spans="1:18">
      <c r="A685" s="22" t="s">
        <v>819</v>
      </c>
      <c r="B685" s="23">
        <v>43234</v>
      </c>
      <c r="C685" s="24">
        <f t="shared" si="10"/>
        <v>5</v>
      </c>
      <c r="D685" s="22" t="s">
        <v>65</v>
      </c>
      <c r="E685" s="22" t="s">
        <v>30</v>
      </c>
      <c r="F685" s="22" t="s">
        <v>55</v>
      </c>
      <c r="G685" s="22" t="s">
        <v>80</v>
      </c>
      <c r="H685" s="22" t="s">
        <v>81</v>
      </c>
      <c r="I685" s="22" t="s">
        <v>24</v>
      </c>
      <c r="J685" s="22" t="s">
        <v>40</v>
      </c>
      <c r="K685" s="22" t="s">
        <v>53</v>
      </c>
      <c r="L685" s="22">
        <v>6</v>
      </c>
      <c r="M685" s="22">
        <v>2100</v>
      </c>
      <c r="N685" s="22">
        <v>0.15</v>
      </c>
      <c r="O685" s="22">
        <v>10710</v>
      </c>
      <c r="P685" s="22">
        <v>7329.42</v>
      </c>
      <c r="Q685" s="22">
        <v>3380.58</v>
      </c>
      <c r="R685" s="22" t="s">
        <v>58</v>
      </c>
    </row>
    <row r="686" hidden="1" spans="1:18">
      <c r="A686" s="22" t="s">
        <v>820</v>
      </c>
      <c r="B686" s="23">
        <v>43350</v>
      </c>
      <c r="C686" s="24">
        <f t="shared" si="10"/>
        <v>9</v>
      </c>
      <c r="D686" s="22" t="s">
        <v>79</v>
      </c>
      <c r="E686" s="22" t="s">
        <v>128</v>
      </c>
      <c r="F686" s="22" t="s">
        <v>55</v>
      </c>
      <c r="G686" s="22" t="s">
        <v>56</v>
      </c>
      <c r="H686" s="22" t="s">
        <v>154</v>
      </c>
      <c r="I686" s="22" t="s">
        <v>24</v>
      </c>
      <c r="J686" s="22" t="s">
        <v>116</v>
      </c>
      <c r="K686" s="22" t="s">
        <v>53</v>
      </c>
      <c r="L686" s="22">
        <v>9</v>
      </c>
      <c r="M686" s="22">
        <v>65600</v>
      </c>
      <c r="N686" s="22">
        <v>0.05</v>
      </c>
      <c r="O686" s="22">
        <v>560880</v>
      </c>
      <c r="P686" s="22">
        <v>400736.72</v>
      </c>
      <c r="Q686" s="22">
        <v>160143.28</v>
      </c>
      <c r="R686" s="22" t="s">
        <v>27</v>
      </c>
    </row>
    <row r="687" hidden="1" spans="1:18">
      <c r="A687" s="22" t="s">
        <v>821</v>
      </c>
      <c r="B687" s="23">
        <v>44339</v>
      </c>
      <c r="C687" s="24">
        <f t="shared" si="10"/>
        <v>5</v>
      </c>
      <c r="D687" s="22" t="s">
        <v>19</v>
      </c>
      <c r="E687" s="22" t="s">
        <v>20</v>
      </c>
      <c r="F687" s="22" t="s">
        <v>60</v>
      </c>
      <c r="G687" s="22" t="s">
        <v>141</v>
      </c>
      <c r="H687" s="22" t="s">
        <v>200</v>
      </c>
      <c r="I687" s="22" t="s">
        <v>51</v>
      </c>
      <c r="J687" s="22" t="s">
        <v>25</v>
      </c>
      <c r="K687" s="22" t="s">
        <v>53</v>
      </c>
      <c r="L687" s="22">
        <v>6</v>
      </c>
      <c r="M687" s="22">
        <v>9500</v>
      </c>
      <c r="N687" s="22">
        <v>0.15</v>
      </c>
      <c r="O687" s="22">
        <v>48450</v>
      </c>
      <c r="P687" s="22">
        <v>34350.47</v>
      </c>
      <c r="Q687" s="22">
        <v>14099.53</v>
      </c>
      <c r="R687" s="22" t="s">
        <v>58</v>
      </c>
    </row>
    <row r="688" hidden="1" spans="1:18">
      <c r="A688" s="22" t="s">
        <v>822</v>
      </c>
      <c r="B688" s="23">
        <v>44323</v>
      </c>
      <c r="C688" s="24">
        <f t="shared" si="10"/>
        <v>5</v>
      </c>
      <c r="D688" s="22" t="s">
        <v>79</v>
      </c>
      <c r="E688" s="22" t="s">
        <v>128</v>
      </c>
      <c r="F688" s="22" t="s">
        <v>60</v>
      </c>
      <c r="G688" s="22" t="s">
        <v>93</v>
      </c>
      <c r="H688" s="22" t="s">
        <v>181</v>
      </c>
      <c r="I688" s="22" t="s">
        <v>45</v>
      </c>
      <c r="J688" s="22" t="s">
        <v>25</v>
      </c>
      <c r="K688" s="22" t="s">
        <v>26</v>
      </c>
      <c r="L688" s="22">
        <v>1</v>
      </c>
      <c r="M688" s="22">
        <v>37100</v>
      </c>
      <c r="N688" s="22">
        <v>0.1</v>
      </c>
      <c r="O688" s="22">
        <v>33390</v>
      </c>
      <c r="P688" s="22">
        <v>23545.97</v>
      </c>
      <c r="Q688" s="22">
        <v>9844.03</v>
      </c>
      <c r="R688" s="22" t="s">
        <v>27</v>
      </c>
    </row>
    <row r="689" hidden="1" spans="1:18">
      <c r="A689" s="22" t="s">
        <v>823</v>
      </c>
      <c r="B689" s="23">
        <v>44641</v>
      </c>
      <c r="C689" s="24">
        <f t="shared" si="10"/>
        <v>3</v>
      </c>
      <c r="D689" s="22" t="s">
        <v>65</v>
      </c>
      <c r="E689" s="22" t="s">
        <v>30</v>
      </c>
      <c r="F689" s="22" t="s">
        <v>96</v>
      </c>
      <c r="G689" s="22" t="s">
        <v>97</v>
      </c>
      <c r="H689" s="22" t="s">
        <v>147</v>
      </c>
      <c r="I689" s="22" t="s">
        <v>45</v>
      </c>
      <c r="J689" s="22" t="s">
        <v>73</v>
      </c>
      <c r="K689" s="22" t="s">
        <v>47</v>
      </c>
      <c r="L689" s="22">
        <v>10</v>
      </c>
      <c r="M689" s="22">
        <v>900</v>
      </c>
      <c r="N689" s="22">
        <v>0.1</v>
      </c>
      <c r="O689" s="22">
        <v>8100</v>
      </c>
      <c r="P689" s="22">
        <v>6285.66</v>
      </c>
      <c r="Q689" s="22">
        <v>1814.34</v>
      </c>
      <c r="R689" s="22" t="s">
        <v>27</v>
      </c>
    </row>
    <row r="690" hidden="1" spans="1:18">
      <c r="A690" s="22" t="s">
        <v>824</v>
      </c>
      <c r="B690" s="23">
        <v>43248</v>
      </c>
      <c r="C690" s="24">
        <f t="shared" si="10"/>
        <v>5</v>
      </c>
      <c r="D690" s="22" t="s">
        <v>133</v>
      </c>
      <c r="E690" s="22" t="s">
        <v>213</v>
      </c>
      <c r="F690" s="22" t="s">
        <v>60</v>
      </c>
      <c r="G690" s="22" t="s">
        <v>141</v>
      </c>
      <c r="H690" s="22" t="s">
        <v>142</v>
      </c>
      <c r="I690" s="22" t="s">
        <v>24</v>
      </c>
      <c r="J690" s="22" t="s">
        <v>34</v>
      </c>
      <c r="K690" s="22" t="s">
        <v>53</v>
      </c>
      <c r="L690" s="22">
        <v>2</v>
      </c>
      <c r="M690" s="22">
        <v>24100</v>
      </c>
      <c r="N690" s="22">
        <v>0.15</v>
      </c>
      <c r="O690" s="22">
        <v>40970</v>
      </c>
      <c r="P690" s="22">
        <v>30843.72</v>
      </c>
      <c r="Q690" s="22">
        <v>10126.28</v>
      </c>
      <c r="R690" s="22" t="s">
        <v>77</v>
      </c>
    </row>
    <row r="691" hidden="1" spans="1:18">
      <c r="A691" s="22" t="s">
        <v>825</v>
      </c>
      <c r="B691" s="23">
        <v>44024</v>
      </c>
      <c r="C691" s="24">
        <f t="shared" si="10"/>
        <v>7</v>
      </c>
      <c r="D691" s="22" t="s">
        <v>79</v>
      </c>
      <c r="E691" s="22" t="s">
        <v>128</v>
      </c>
      <c r="F691" s="22" t="s">
        <v>60</v>
      </c>
      <c r="G691" s="22" t="s">
        <v>141</v>
      </c>
      <c r="H691" s="22" t="s">
        <v>183</v>
      </c>
      <c r="I691" s="22" t="s">
        <v>51</v>
      </c>
      <c r="J691" s="22" t="s">
        <v>46</v>
      </c>
      <c r="K691" s="22" t="s">
        <v>47</v>
      </c>
      <c r="L691" s="22">
        <v>9</v>
      </c>
      <c r="M691" s="22">
        <v>42300</v>
      </c>
      <c r="N691" s="22">
        <v>0.15</v>
      </c>
      <c r="O691" s="22">
        <v>323595</v>
      </c>
      <c r="P691" s="22">
        <v>265908.19</v>
      </c>
      <c r="Q691" s="22">
        <v>57686.81</v>
      </c>
      <c r="R691" s="22" t="s">
        <v>77</v>
      </c>
    </row>
    <row r="692" hidden="1" spans="1:18">
      <c r="A692" s="22" t="s">
        <v>826</v>
      </c>
      <c r="B692" s="23">
        <v>44596</v>
      </c>
      <c r="C692" s="24">
        <f t="shared" si="10"/>
        <v>2</v>
      </c>
      <c r="D692" s="22" t="s">
        <v>69</v>
      </c>
      <c r="E692" s="22" t="s">
        <v>30</v>
      </c>
      <c r="F692" s="22" t="s">
        <v>60</v>
      </c>
      <c r="G692" s="22" t="s">
        <v>93</v>
      </c>
      <c r="H692" s="22" t="s">
        <v>101</v>
      </c>
      <c r="I692" s="22" t="s">
        <v>24</v>
      </c>
      <c r="J692" s="22" t="s">
        <v>88</v>
      </c>
      <c r="K692" s="22" t="s">
        <v>47</v>
      </c>
      <c r="L692" s="22">
        <v>2</v>
      </c>
      <c r="M692" s="22">
        <v>11300</v>
      </c>
      <c r="N692" s="22">
        <v>0.05</v>
      </c>
      <c r="O692" s="22">
        <v>21470</v>
      </c>
      <c r="P692" s="22">
        <v>16757.22</v>
      </c>
      <c r="Q692" s="22">
        <v>4712.78</v>
      </c>
      <c r="R692" s="22" t="s">
        <v>58</v>
      </c>
    </row>
    <row r="693" hidden="1" spans="1:18">
      <c r="A693" s="22" t="s">
        <v>827</v>
      </c>
      <c r="B693" s="23">
        <v>43318</v>
      </c>
      <c r="C693" s="24">
        <f t="shared" si="10"/>
        <v>8</v>
      </c>
      <c r="D693" s="22" t="s">
        <v>19</v>
      </c>
      <c r="E693" s="22" t="s">
        <v>20</v>
      </c>
      <c r="F693" s="22" t="s">
        <v>60</v>
      </c>
      <c r="G693" s="22" t="s">
        <v>93</v>
      </c>
      <c r="H693" s="22" t="s">
        <v>181</v>
      </c>
      <c r="I693" s="22" t="s">
        <v>51</v>
      </c>
      <c r="J693" s="22" t="s">
        <v>88</v>
      </c>
      <c r="K693" s="22" t="s">
        <v>53</v>
      </c>
      <c r="L693" s="22">
        <v>7</v>
      </c>
      <c r="M693" s="22">
        <v>12000</v>
      </c>
      <c r="N693" s="22">
        <v>0.05</v>
      </c>
      <c r="O693" s="22">
        <v>79800</v>
      </c>
      <c r="P693" s="22">
        <v>65062.88</v>
      </c>
      <c r="Q693" s="22">
        <v>14737.12</v>
      </c>
      <c r="R693" s="22" t="s">
        <v>35</v>
      </c>
    </row>
    <row r="694" hidden="1" spans="1:18">
      <c r="A694" s="22" t="s">
        <v>828</v>
      </c>
      <c r="B694" s="23">
        <v>44176</v>
      </c>
      <c r="C694" s="24">
        <f t="shared" si="10"/>
        <v>12</v>
      </c>
      <c r="D694" s="22" t="s">
        <v>133</v>
      </c>
      <c r="E694" s="22" t="s">
        <v>213</v>
      </c>
      <c r="F694" s="22" t="s">
        <v>31</v>
      </c>
      <c r="G694" s="22" t="s">
        <v>66</v>
      </c>
      <c r="H694" s="22" t="s">
        <v>67</v>
      </c>
      <c r="I694" s="22" t="s">
        <v>51</v>
      </c>
      <c r="J694" s="22" t="s">
        <v>34</v>
      </c>
      <c r="K694" s="22" t="s">
        <v>53</v>
      </c>
      <c r="L694" s="22">
        <v>8</v>
      </c>
      <c r="M694" s="22">
        <v>12600</v>
      </c>
      <c r="N694" s="22">
        <v>0.05</v>
      </c>
      <c r="O694" s="22">
        <v>95760</v>
      </c>
      <c r="P694" s="22">
        <v>67547.35</v>
      </c>
      <c r="Q694" s="22">
        <v>28212.65</v>
      </c>
      <c r="R694" s="22" t="s">
        <v>48</v>
      </c>
    </row>
    <row r="695" hidden="1" spans="1:18">
      <c r="A695" s="22" t="s">
        <v>829</v>
      </c>
      <c r="B695" s="23">
        <v>43728</v>
      </c>
      <c r="C695" s="24">
        <f t="shared" si="10"/>
        <v>9</v>
      </c>
      <c r="D695" s="22" t="s">
        <v>37</v>
      </c>
      <c r="E695" s="22" t="s">
        <v>128</v>
      </c>
      <c r="F695" s="22" t="s">
        <v>55</v>
      </c>
      <c r="G695" s="22" t="s">
        <v>109</v>
      </c>
      <c r="H695" s="22" t="s">
        <v>178</v>
      </c>
      <c r="I695" s="22" t="s">
        <v>24</v>
      </c>
      <c r="J695" s="22" t="s">
        <v>88</v>
      </c>
      <c r="K695" s="22" t="s">
        <v>53</v>
      </c>
      <c r="L695" s="22">
        <v>5</v>
      </c>
      <c r="M695" s="22">
        <v>22100</v>
      </c>
      <c r="N695" s="22">
        <v>0</v>
      </c>
      <c r="O695" s="22">
        <v>110500</v>
      </c>
      <c r="P695" s="22">
        <v>82463.34</v>
      </c>
      <c r="Q695" s="22">
        <v>28036.66</v>
      </c>
      <c r="R695" s="22" t="s">
        <v>58</v>
      </c>
    </row>
    <row r="696" hidden="1" spans="1:18">
      <c r="A696" s="22" t="s">
        <v>830</v>
      </c>
      <c r="B696" s="23">
        <v>44309</v>
      </c>
      <c r="C696" s="24">
        <f t="shared" si="10"/>
        <v>4</v>
      </c>
      <c r="D696" s="22" t="s">
        <v>90</v>
      </c>
      <c r="E696" s="22" t="s">
        <v>128</v>
      </c>
      <c r="F696" s="22" t="s">
        <v>55</v>
      </c>
      <c r="G696" s="22" t="s">
        <v>109</v>
      </c>
      <c r="H696" s="22" t="s">
        <v>185</v>
      </c>
      <c r="I696" s="22" t="s">
        <v>45</v>
      </c>
      <c r="J696" s="22" t="s">
        <v>124</v>
      </c>
      <c r="K696" s="22" t="s">
        <v>26</v>
      </c>
      <c r="L696" s="22">
        <v>2</v>
      </c>
      <c r="M696" s="22">
        <v>33400</v>
      </c>
      <c r="N696" s="22">
        <v>0</v>
      </c>
      <c r="O696" s="22">
        <v>66800</v>
      </c>
      <c r="P696" s="22">
        <v>51027.1</v>
      </c>
      <c r="Q696" s="22">
        <v>15772.9</v>
      </c>
      <c r="R696" s="22" t="s">
        <v>35</v>
      </c>
    </row>
    <row r="697" hidden="1" spans="1:18">
      <c r="A697" s="22" t="s">
        <v>831</v>
      </c>
      <c r="B697" s="23">
        <v>43222</v>
      </c>
      <c r="C697" s="24">
        <f t="shared" si="10"/>
        <v>5</v>
      </c>
      <c r="D697" s="22" t="s">
        <v>42</v>
      </c>
      <c r="E697" s="22" t="s">
        <v>128</v>
      </c>
      <c r="F697" s="22" t="s">
        <v>60</v>
      </c>
      <c r="G697" s="22" t="s">
        <v>86</v>
      </c>
      <c r="H697" s="22" t="s">
        <v>87</v>
      </c>
      <c r="I697" s="22" t="s">
        <v>24</v>
      </c>
      <c r="J697" s="22" t="s">
        <v>170</v>
      </c>
      <c r="K697" s="22" t="s">
        <v>26</v>
      </c>
      <c r="L697" s="22">
        <v>1</v>
      </c>
      <c r="M697" s="22">
        <v>29100</v>
      </c>
      <c r="N697" s="22">
        <v>0.05</v>
      </c>
      <c r="O697" s="22">
        <v>27645</v>
      </c>
      <c r="P697" s="22">
        <v>19086.78</v>
      </c>
      <c r="Q697" s="22">
        <v>8558.22</v>
      </c>
      <c r="R697" s="22" t="s">
        <v>58</v>
      </c>
    </row>
    <row r="698" hidden="1" spans="1:18">
      <c r="A698" s="22" t="s">
        <v>832</v>
      </c>
      <c r="B698" s="23">
        <v>45727</v>
      </c>
      <c r="C698" s="24">
        <f t="shared" si="10"/>
        <v>3</v>
      </c>
      <c r="D698" s="22" t="s">
        <v>103</v>
      </c>
      <c r="E698" s="22" t="s">
        <v>128</v>
      </c>
      <c r="F698" s="22" t="s">
        <v>96</v>
      </c>
      <c r="G698" s="22" t="s">
        <v>113</v>
      </c>
      <c r="H698" s="22" t="s">
        <v>114</v>
      </c>
      <c r="I698" s="22" t="s">
        <v>24</v>
      </c>
      <c r="J698" s="22" t="s">
        <v>52</v>
      </c>
      <c r="K698" s="22" t="s">
        <v>53</v>
      </c>
      <c r="L698" s="22">
        <v>10</v>
      </c>
      <c r="M698" s="22">
        <v>62600</v>
      </c>
      <c r="N698" s="22">
        <v>0.05</v>
      </c>
      <c r="O698" s="22">
        <v>594700</v>
      </c>
      <c r="P698" s="22">
        <v>432305.11</v>
      </c>
      <c r="Q698" s="22">
        <v>162394.89</v>
      </c>
      <c r="R698" s="22" t="s">
        <v>27</v>
      </c>
    </row>
    <row r="699" hidden="1" spans="1:18">
      <c r="A699" s="22" t="s">
        <v>833</v>
      </c>
      <c r="B699" s="23">
        <v>43212</v>
      </c>
      <c r="C699" s="24">
        <f t="shared" si="10"/>
        <v>4</v>
      </c>
      <c r="D699" s="22" t="s">
        <v>29</v>
      </c>
      <c r="E699" s="22" t="s">
        <v>30</v>
      </c>
      <c r="F699" s="22" t="s">
        <v>96</v>
      </c>
      <c r="G699" s="22" t="s">
        <v>97</v>
      </c>
      <c r="H699" s="22" t="s">
        <v>98</v>
      </c>
      <c r="I699" s="22" t="s">
        <v>45</v>
      </c>
      <c r="J699" s="22" t="s">
        <v>40</v>
      </c>
      <c r="K699" s="22" t="s">
        <v>26</v>
      </c>
      <c r="L699" s="22">
        <v>2</v>
      </c>
      <c r="M699" s="22">
        <v>8600</v>
      </c>
      <c r="N699" s="22">
        <v>0</v>
      </c>
      <c r="O699" s="22">
        <v>17200</v>
      </c>
      <c r="P699" s="22">
        <v>13644.57</v>
      </c>
      <c r="Q699" s="22">
        <v>3555.43</v>
      </c>
      <c r="R699" s="22" t="s">
        <v>35</v>
      </c>
    </row>
    <row r="700" hidden="1" spans="1:18">
      <c r="A700" s="22" t="s">
        <v>834</v>
      </c>
      <c r="B700" s="23">
        <v>45749</v>
      </c>
      <c r="C700" s="24">
        <f t="shared" si="10"/>
        <v>4</v>
      </c>
      <c r="D700" s="22" t="s">
        <v>69</v>
      </c>
      <c r="E700" s="22" t="s">
        <v>128</v>
      </c>
      <c r="F700" s="22" t="s">
        <v>96</v>
      </c>
      <c r="G700" s="22" t="s">
        <v>97</v>
      </c>
      <c r="H700" s="22" t="s">
        <v>289</v>
      </c>
      <c r="I700" s="22" t="s">
        <v>51</v>
      </c>
      <c r="J700" s="22" t="s">
        <v>88</v>
      </c>
      <c r="K700" s="22" t="s">
        <v>47</v>
      </c>
      <c r="L700" s="22">
        <v>8</v>
      </c>
      <c r="M700" s="22">
        <v>50000</v>
      </c>
      <c r="N700" s="22">
        <v>0</v>
      </c>
      <c r="O700" s="22">
        <v>400000</v>
      </c>
      <c r="P700" s="22">
        <v>315377.41</v>
      </c>
      <c r="Q700" s="22">
        <v>84622.59</v>
      </c>
      <c r="R700" s="22" t="s">
        <v>35</v>
      </c>
    </row>
    <row r="701" hidden="1" spans="1:18">
      <c r="A701" s="22" t="s">
        <v>835</v>
      </c>
      <c r="B701" s="23">
        <v>44219</v>
      </c>
      <c r="C701" s="24">
        <f t="shared" si="10"/>
        <v>1</v>
      </c>
      <c r="D701" s="22" t="s">
        <v>29</v>
      </c>
      <c r="E701" s="22" t="s">
        <v>30</v>
      </c>
      <c r="F701" s="22" t="s">
        <v>31</v>
      </c>
      <c r="G701" s="22" t="s">
        <v>43</v>
      </c>
      <c r="H701" s="22" t="s">
        <v>91</v>
      </c>
      <c r="I701" s="22" t="s">
        <v>24</v>
      </c>
      <c r="J701" s="22" t="s">
        <v>40</v>
      </c>
      <c r="K701" s="22" t="s">
        <v>26</v>
      </c>
      <c r="L701" s="22">
        <v>7</v>
      </c>
      <c r="M701" s="22">
        <v>9400</v>
      </c>
      <c r="N701" s="22">
        <v>0</v>
      </c>
      <c r="O701" s="22">
        <v>65800</v>
      </c>
      <c r="P701" s="22">
        <v>54081.47</v>
      </c>
      <c r="Q701" s="22">
        <v>11718.53</v>
      </c>
      <c r="R701" s="22" t="s">
        <v>58</v>
      </c>
    </row>
    <row r="702" hidden="1" spans="1:18">
      <c r="A702" s="22" t="s">
        <v>836</v>
      </c>
      <c r="B702" s="23">
        <v>43143</v>
      </c>
      <c r="C702" s="24">
        <f t="shared" si="10"/>
        <v>2</v>
      </c>
      <c r="D702" s="22" t="s">
        <v>29</v>
      </c>
      <c r="E702" s="22" t="s">
        <v>30</v>
      </c>
      <c r="F702" s="22" t="s">
        <v>21</v>
      </c>
      <c r="G702" s="22" t="s">
        <v>122</v>
      </c>
      <c r="H702" s="22" t="s">
        <v>156</v>
      </c>
      <c r="I702" s="22" t="s">
        <v>51</v>
      </c>
      <c r="J702" s="22" t="s">
        <v>73</v>
      </c>
      <c r="K702" s="22" t="s">
        <v>47</v>
      </c>
      <c r="L702" s="22">
        <v>4</v>
      </c>
      <c r="M702" s="22">
        <v>1500</v>
      </c>
      <c r="N702" s="22">
        <v>0.1</v>
      </c>
      <c r="O702" s="22">
        <v>5400</v>
      </c>
      <c r="P702" s="22">
        <v>4091.8</v>
      </c>
      <c r="Q702" s="22">
        <v>1308.2</v>
      </c>
      <c r="R702" s="22" t="s">
        <v>77</v>
      </c>
    </row>
    <row r="703" hidden="1" spans="1:18">
      <c r="A703" s="22" t="s">
        <v>837</v>
      </c>
      <c r="B703" s="23">
        <v>44661</v>
      </c>
      <c r="C703" s="24">
        <f t="shared" si="10"/>
        <v>4</v>
      </c>
      <c r="D703" s="22" t="s">
        <v>79</v>
      </c>
      <c r="E703" s="22" t="s">
        <v>128</v>
      </c>
      <c r="F703" s="22" t="s">
        <v>96</v>
      </c>
      <c r="G703" s="22" t="s">
        <v>113</v>
      </c>
      <c r="H703" s="22" t="s">
        <v>119</v>
      </c>
      <c r="I703" s="22" t="s">
        <v>24</v>
      </c>
      <c r="J703" s="22" t="s">
        <v>99</v>
      </c>
      <c r="K703" s="22" t="s">
        <v>53</v>
      </c>
      <c r="L703" s="22">
        <v>3</v>
      </c>
      <c r="M703" s="22">
        <v>46100</v>
      </c>
      <c r="N703" s="22">
        <v>0.05</v>
      </c>
      <c r="O703" s="22">
        <v>131385</v>
      </c>
      <c r="P703" s="22">
        <v>90547.32</v>
      </c>
      <c r="Q703" s="22">
        <v>40837.68</v>
      </c>
      <c r="R703" s="22" t="s">
        <v>35</v>
      </c>
    </row>
    <row r="704" hidden="1" spans="1:18">
      <c r="A704" s="22" t="s">
        <v>838</v>
      </c>
      <c r="B704" s="23">
        <v>43715</v>
      </c>
      <c r="C704" s="24">
        <f t="shared" si="10"/>
        <v>9</v>
      </c>
      <c r="D704" s="22" t="s">
        <v>65</v>
      </c>
      <c r="E704" s="22" t="s">
        <v>30</v>
      </c>
      <c r="F704" s="22" t="s">
        <v>21</v>
      </c>
      <c r="G704" s="22" t="s">
        <v>122</v>
      </c>
      <c r="H704" s="22" t="s">
        <v>138</v>
      </c>
      <c r="I704" s="22" t="s">
        <v>24</v>
      </c>
      <c r="J704" s="22" t="s">
        <v>34</v>
      </c>
      <c r="K704" s="22" t="s">
        <v>26</v>
      </c>
      <c r="L704" s="22">
        <v>5</v>
      </c>
      <c r="M704" s="22">
        <v>2600</v>
      </c>
      <c r="N704" s="22">
        <v>0.05</v>
      </c>
      <c r="O704" s="22">
        <v>12350</v>
      </c>
      <c r="P704" s="22">
        <v>8369.98</v>
      </c>
      <c r="Q704" s="22">
        <v>3980.02</v>
      </c>
      <c r="R704" s="22" t="s">
        <v>48</v>
      </c>
    </row>
    <row r="705" hidden="1" spans="1:18">
      <c r="A705" s="22" t="s">
        <v>839</v>
      </c>
      <c r="B705" s="23">
        <v>44012</v>
      </c>
      <c r="C705" s="24">
        <f t="shared" si="10"/>
        <v>6</v>
      </c>
      <c r="D705" s="22" t="s">
        <v>29</v>
      </c>
      <c r="E705" s="22" t="s">
        <v>30</v>
      </c>
      <c r="F705" s="22" t="s">
        <v>21</v>
      </c>
      <c r="G705" s="22" t="s">
        <v>22</v>
      </c>
      <c r="H705" s="22" t="s">
        <v>215</v>
      </c>
      <c r="I705" s="22" t="s">
        <v>24</v>
      </c>
      <c r="J705" s="22" t="s">
        <v>34</v>
      </c>
      <c r="K705" s="22" t="s">
        <v>47</v>
      </c>
      <c r="L705" s="22">
        <v>8</v>
      </c>
      <c r="M705" s="22">
        <v>6000</v>
      </c>
      <c r="N705" s="22">
        <v>0.05</v>
      </c>
      <c r="O705" s="22">
        <v>45600</v>
      </c>
      <c r="P705" s="22">
        <v>31529.44</v>
      </c>
      <c r="Q705" s="22">
        <v>14070.56</v>
      </c>
      <c r="R705" s="22" t="s">
        <v>77</v>
      </c>
    </row>
    <row r="706" hidden="1" spans="1:18">
      <c r="A706" s="22" t="s">
        <v>840</v>
      </c>
      <c r="B706" s="23">
        <v>43322</v>
      </c>
      <c r="C706" s="24">
        <f t="shared" ref="C706:C769" si="11">MONTH(B706)</f>
        <v>8</v>
      </c>
      <c r="D706" s="22" t="s">
        <v>85</v>
      </c>
      <c r="E706" s="22" t="s">
        <v>30</v>
      </c>
      <c r="F706" s="22" t="s">
        <v>21</v>
      </c>
      <c r="G706" s="22" t="s">
        <v>70</v>
      </c>
      <c r="H706" s="22" t="s">
        <v>83</v>
      </c>
      <c r="I706" s="22" t="s">
        <v>45</v>
      </c>
      <c r="J706" s="22" t="s">
        <v>40</v>
      </c>
      <c r="K706" s="22" t="s">
        <v>53</v>
      </c>
      <c r="L706" s="22">
        <v>9</v>
      </c>
      <c r="M706" s="22">
        <v>1400</v>
      </c>
      <c r="N706" s="22">
        <v>0</v>
      </c>
      <c r="O706" s="22">
        <v>12600</v>
      </c>
      <c r="P706" s="22">
        <v>10347.07</v>
      </c>
      <c r="Q706" s="22">
        <v>2252.93</v>
      </c>
      <c r="R706" s="22" t="s">
        <v>58</v>
      </c>
    </row>
    <row r="707" hidden="1" spans="1:18">
      <c r="A707" s="22" t="s">
        <v>841</v>
      </c>
      <c r="B707" s="23">
        <v>43655</v>
      </c>
      <c r="C707" s="24">
        <f t="shared" si="11"/>
        <v>7</v>
      </c>
      <c r="D707" s="22" t="s">
        <v>19</v>
      </c>
      <c r="E707" s="22" t="s">
        <v>20</v>
      </c>
      <c r="F707" s="22" t="s">
        <v>21</v>
      </c>
      <c r="G707" s="22" t="s">
        <v>70</v>
      </c>
      <c r="H707" s="22" t="s">
        <v>71</v>
      </c>
      <c r="I707" s="22" t="s">
        <v>45</v>
      </c>
      <c r="J707" s="22" t="s">
        <v>52</v>
      </c>
      <c r="K707" s="22" t="s">
        <v>26</v>
      </c>
      <c r="L707" s="22">
        <v>5</v>
      </c>
      <c r="M707" s="22">
        <v>22900</v>
      </c>
      <c r="N707" s="22">
        <v>0.2</v>
      </c>
      <c r="O707" s="22">
        <v>91600</v>
      </c>
      <c r="P707" s="22">
        <v>75882.13</v>
      </c>
      <c r="Q707" s="22">
        <v>15717.87</v>
      </c>
      <c r="R707" s="22" t="s">
        <v>35</v>
      </c>
    </row>
    <row r="708" hidden="1" spans="1:18">
      <c r="A708" s="22" t="s">
        <v>842</v>
      </c>
      <c r="B708" s="23">
        <v>44304</v>
      </c>
      <c r="C708" s="24">
        <f t="shared" si="11"/>
        <v>4</v>
      </c>
      <c r="D708" s="22" t="s">
        <v>79</v>
      </c>
      <c r="E708" s="22" t="s">
        <v>128</v>
      </c>
      <c r="F708" s="22" t="s">
        <v>60</v>
      </c>
      <c r="G708" s="22" t="s">
        <v>93</v>
      </c>
      <c r="H708" s="22" t="s">
        <v>94</v>
      </c>
      <c r="I708" s="22" t="s">
        <v>51</v>
      </c>
      <c r="J708" s="22" t="s">
        <v>25</v>
      </c>
      <c r="K708" s="22" t="s">
        <v>53</v>
      </c>
      <c r="L708" s="22">
        <v>5</v>
      </c>
      <c r="M708" s="22">
        <v>30200</v>
      </c>
      <c r="N708" s="22">
        <v>0.05</v>
      </c>
      <c r="O708" s="22">
        <v>143450</v>
      </c>
      <c r="P708" s="22">
        <v>101031.29</v>
      </c>
      <c r="Q708" s="22">
        <v>42418.71</v>
      </c>
      <c r="R708" s="22" t="s">
        <v>58</v>
      </c>
    </row>
    <row r="709" hidden="1" spans="1:18">
      <c r="A709" s="22" t="s">
        <v>843</v>
      </c>
      <c r="B709" s="23">
        <v>44593</v>
      </c>
      <c r="C709" s="24">
        <f t="shared" si="11"/>
        <v>2</v>
      </c>
      <c r="D709" s="22" t="s">
        <v>69</v>
      </c>
      <c r="E709" s="22" t="s">
        <v>128</v>
      </c>
      <c r="F709" s="22" t="s">
        <v>60</v>
      </c>
      <c r="G709" s="22" t="s">
        <v>86</v>
      </c>
      <c r="H709" s="22" t="s">
        <v>106</v>
      </c>
      <c r="I709" s="22" t="s">
        <v>24</v>
      </c>
      <c r="J709" s="22" t="s">
        <v>34</v>
      </c>
      <c r="K709" s="22" t="s">
        <v>47</v>
      </c>
      <c r="L709" s="22">
        <v>5</v>
      </c>
      <c r="M709" s="22">
        <v>35600</v>
      </c>
      <c r="N709" s="22">
        <v>0.2</v>
      </c>
      <c r="O709" s="22">
        <v>142400</v>
      </c>
      <c r="P709" s="22">
        <v>116867.11</v>
      </c>
      <c r="Q709" s="22">
        <v>25532.89</v>
      </c>
      <c r="R709" s="22" t="s">
        <v>35</v>
      </c>
    </row>
    <row r="710" hidden="1" spans="1:18">
      <c r="A710" s="22" t="s">
        <v>844</v>
      </c>
      <c r="B710" s="23">
        <v>43360</v>
      </c>
      <c r="C710" s="24">
        <f t="shared" si="11"/>
        <v>9</v>
      </c>
      <c r="D710" s="22" t="s">
        <v>90</v>
      </c>
      <c r="E710" s="22" t="s">
        <v>128</v>
      </c>
      <c r="F710" s="22" t="s">
        <v>96</v>
      </c>
      <c r="G710" s="22" t="s">
        <v>97</v>
      </c>
      <c r="H710" s="22" t="s">
        <v>289</v>
      </c>
      <c r="I710" s="22" t="s">
        <v>24</v>
      </c>
      <c r="J710" s="22" t="s">
        <v>25</v>
      </c>
      <c r="K710" s="22" t="s">
        <v>53</v>
      </c>
      <c r="L710" s="22">
        <v>4</v>
      </c>
      <c r="M710" s="22">
        <v>30800</v>
      </c>
      <c r="N710" s="22">
        <v>0.05</v>
      </c>
      <c r="O710" s="22">
        <v>117040</v>
      </c>
      <c r="P710" s="22">
        <v>87024.92</v>
      </c>
      <c r="Q710" s="22">
        <v>30015.08</v>
      </c>
      <c r="R710" s="22" t="s">
        <v>58</v>
      </c>
    </row>
    <row r="711" hidden="1" spans="1:18">
      <c r="A711" s="22" t="s">
        <v>845</v>
      </c>
      <c r="B711" s="23">
        <v>45844</v>
      </c>
      <c r="C711" s="24">
        <f t="shared" si="11"/>
        <v>7</v>
      </c>
      <c r="D711" s="22" t="s">
        <v>90</v>
      </c>
      <c r="E711" s="22" t="s">
        <v>128</v>
      </c>
      <c r="F711" s="22" t="s">
        <v>55</v>
      </c>
      <c r="G711" s="22" t="s">
        <v>56</v>
      </c>
      <c r="H711" s="22" t="s">
        <v>76</v>
      </c>
      <c r="I711" s="22" t="s">
        <v>51</v>
      </c>
      <c r="J711" s="22" t="s">
        <v>25</v>
      </c>
      <c r="K711" s="22" t="s">
        <v>53</v>
      </c>
      <c r="L711" s="22">
        <v>6</v>
      </c>
      <c r="M711" s="22">
        <v>40700</v>
      </c>
      <c r="N711" s="22">
        <v>0.1</v>
      </c>
      <c r="O711" s="22">
        <v>219780</v>
      </c>
      <c r="P711" s="22">
        <v>157250.56</v>
      </c>
      <c r="Q711" s="22">
        <v>62529.44</v>
      </c>
      <c r="R711" s="22" t="s">
        <v>48</v>
      </c>
    </row>
    <row r="712" hidden="1" spans="1:18">
      <c r="A712" s="22" t="s">
        <v>846</v>
      </c>
      <c r="B712" s="23">
        <v>44064</v>
      </c>
      <c r="C712" s="24">
        <f t="shared" si="11"/>
        <v>8</v>
      </c>
      <c r="D712" s="22" t="s">
        <v>121</v>
      </c>
      <c r="E712" s="22" t="s">
        <v>128</v>
      </c>
      <c r="F712" s="22" t="s">
        <v>21</v>
      </c>
      <c r="G712" s="22" t="s">
        <v>70</v>
      </c>
      <c r="H712" s="22" t="s">
        <v>163</v>
      </c>
      <c r="I712" s="22" t="s">
        <v>45</v>
      </c>
      <c r="J712" s="22" t="s">
        <v>170</v>
      </c>
      <c r="K712" s="22" t="s">
        <v>53</v>
      </c>
      <c r="L712" s="22">
        <v>10</v>
      </c>
      <c r="M712" s="22">
        <v>61800</v>
      </c>
      <c r="N712" s="22">
        <v>0.05</v>
      </c>
      <c r="O712" s="22">
        <v>587100</v>
      </c>
      <c r="P712" s="22">
        <v>420861.92</v>
      </c>
      <c r="Q712" s="22">
        <v>166238.08</v>
      </c>
      <c r="R712" s="22" t="s">
        <v>48</v>
      </c>
    </row>
    <row r="713" hidden="1" spans="1:18">
      <c r="A713" s="22" t="s">
        <v>847</v>
      </c>
      <c r="B713" s="23">
        <v>45731</v>
      </c>
      <c r="C713" s="24">
        <f t="shared" si="11"/>
        <v>3</v>
      </c>
      <c r="D713" s="22" t="s">
        <v>103</v>
      </c>
      <c r="E713" s="22" t="s">
        <v>128</v>
      </c>
      <c r="F713" s="22" t="s">
        <v>60</v>
      </c>
      <c r="G713" s="22" t="s">
        <v>86</v>
      </c>
      <c r="H713" s="22" t="s">
        <v>106</v>
      </c>
      <c r="I713" s="22" t="s">
        <v>51</v>
      </c>
      <c r="J713" s="22" t="s">
        <v>88</v>
      </c>
      <c r="K713" s="22" t="s">
        <v>53</v>
      </c>
      <c r="L713" s="22">
        <v>10</v>
      </c>
      <c r="M713" s="22">
        <v>27700</v>
      </c>
      <c r="N713" s="22">
        <v>0.05</v>
      </c>
      <c r="O713" s="22">
        <v>263150</v>
      </c>
      <c r="P713" s="22">
        <v>177990.53</v>
      </c>
      <c r="Q713" s="22">
        <v>85159.47</v>
      </c>
      <c r="R713" s="22" t="s">
        <v>27</v>
      </c>
    </row>
    <row r="714" hidden="1" spans="1:18">
      <c r="A714" s="22" t="s">
        <v>848</v>
      </c>
      <c r="B714" s="23">
        <v>43727</v>
      </c>
      <c r="C714" s="24">
        <f t="shared" si="11"/>
        <v>9</v>
      </c>
      <c r="D714" s="22" t="s">
        <v>19</v>
      </c>
      <c r="E714" s="22" t="s">
        <v>20</v>
      </c>
      <c r="F714" s="22" t="s">
        <v>96</v>
      </c>
      <c r="G714" s="22" t="s">
        <v>97</v>
      </c>
      <c r="H714" s="22" t="s">
        <v>98</v>
      </c>
      <c r="I714" s="22" t="s">
        <v>51</v>
      </c>
      <c r="J714" s="22" t="s">
        <v>99</v>
      </c>
      <c r="K714" s="22" t="s">
        <v>53</v>
      </c>
      <c r="L714" s="22">
        <v>2</v>
      </c>
      <c r="M714" s="22">
        <v>15900</v>
      </c>
      <c r="N714" s="22">
        <v>0.05</v>
      </c>
      <c r="O714" s="22">
        <v>30210</v>
      </c>
      <c r="P714" s="22">
        <v>24682.83</v>
      </c>
      <c r="Q714" s="22">
        <v>5527.17</v>
      </c>
      <c r="R714" s="22" t="s">
        <v>35</v>
      </c>
    </row>
    <row r="715" hidden="1" spans="1:18">
      <c r="A715" s="22" t="s">
        <v>849</v>
      </c>
      <c r="B715" s="23">
        <v>46076</v>
      </c>
      <c r="C715" s="24">
        <f t="shared" si="11"/>
        <v>2</v>
      </c>
      <c r="D715" s="22" t="s">
        <v>103</v>
      </c>
      <c r="E715" s="22" t="s">
        <v>128</v>
      </c>
      <c r="F715" s="22" t="s">
        <v>60</v>
      </c>
      <c r="G715" s="22" t="s">
        <v>141</v>
      </c>
      <c r="H715" s="22" t="s">
        <v>142</v>
      </c>
      <c r="I715" s="22" t="s">
        <v>24</v>
      </c>
      <c r="J715" s="22" t="s">
        <v>34</v>
      </c>
      <c r="K715" s="22" t="s">
        <v>47</v>
      </c>
      <c r="L715" s="22">
        <v>1</v>
      </c>
      <c r="M715" s="22">
        <v>94700</v>
      </c>
      <c r="N715" s="22">
        <v>0.1</v>
      </c>
      <c r="O715" s="22">
        <v>85230</v>
      </c>
      <c r="P715" s="22">
        <v>53788.67</v>
      </c>
      <c r="Q715" s="22">
        <v>31441.33</v>
      </c>
      <c r="R715" s="22" t="s">
        <v>27</v>
      </c>
    </row>
    <row r="716" hidden="1" spans="1:18">
      <c r="A716" s="22" t="s">
        <v>850</v>
      </c>
      <c r="B716" s="23">
        <v>43223</v>
      </c>
      <c r="C716" s="24">
        <f t="shared" si="11"/>
        <v>5</v>
      </c>
      <c r="D716" s="22" t="s">
        <v>85</v>
      </c>
      <c r="E716" s="22" t="s">
        <v>30</v>
      </c>
      <c r="F716" s="22" t="s">
        <v>60</v>
      </c>
      <c r="G716" s="22" t="s">
        <v>86</v>
      </c>
      <c r="H716" s="22" t="s">
        <v>87</v>
      </c>
      <c r="I716" s="22" t="s">
        <v>24</v>
      </c>
      <c r="J716" s="22" t="s">
        <v>88</v>
      </c>
      <c r="K716" s="22" t="s">
        <v>47</v>
      </c>
      <c r="L716" s="22">
        <v>8</v>
      </c>
      <c r="M716" s="22">
        <v>4300</v>
      </c>
      <c r="N716" s="22">
        <v>0.1</v>
      </c>
      <c r="O716" s="22">
        <v>30960</v>
      </c>
      <c r="P716" s="22">
        <v>19726.43</v>
      </c>
      <c r="Q716" s="22">
        <v>11233.57</v>
      </c>
      <c r="R716" s="22" t="s">
        <v>58</v>
      </c>
    </row>
    <row r="717" hidden="1" spans="1:18">
      <c r="A717" s="22" t="s">
        <v>851</v>
      </c>
      <c r="B717" s="23">
        <v>44046</v>
      </c>
      <c r="C717" s="24">
        <f t="shared" si="11"/>
        <v>8</v>
      </c>
      <c r="D717" s="22" t="s">
        <v>85</v>
      </c>
      <c r="E717" s="22" t="s">
        <v>30</v>
      </c>
      <c r="F717" s="22" t="s">
        <v>21</v>
      </c>
      <c r="G717" s="22" t="s">
        <v>122</v>
      </c>
      <c r="H717" s="22" t="s">
        <v>138</v>
      </c>
      <c r="I717" s="22" t="s">
        <v>24</v>
      </c>
      <c r="J717" s="22" t="s">
        <v>88</v>
      </c>
      <c r="K717" s="22" t="s">
        <v>47</v>
      </c>
      <c r="L717" s="22">
        <v>2</v>
      </c>
      <c r="M717" s="22">
        <v>3500</v>
      </c>
      <c r="N717" s="22">
        <v>0</v>
      </c>
      <c r="O717" s="22">
        <v>7000</v>
      </c>
      <c r="P717" s="22">
        <v>5002.69</v>
      </c>
      <c r="Q717" s="22">
        <v>1997.31</v>
      </c>
      <c r="R717" s="22" t="s">
        <v>77</v>
      </c>
    </row>
    <row r="718" hidden="1" spans="1:18">
      <c r="A718" s="22" t="s">
        <v>852</v>
      </c>
      <c r="B718" s="23">
        <v>43969</v>
      </c>
      <c r="C718" s="24">
        <f t="shared" si="11"/>
        <v>5</v>
      </c>
      <c r="D718" s="22" t="s">
        <v>75</v>
      </c>
      <c r="E718" s="22" t="s">
        <v>30</v>
      </c>
      <c r="F718" s="22" t="s">
        <v>31</v>
      </c>
      <c r="G718" s="22" t="s">
        <v>32</v>
      </c>
      <c r="H718" s="22" t="s">
        <v>33</v>
      </c>
      <c r="I718" s="22" t="s">
        <v>45</v>
      </c>
      <c r="J718" s="22" t="s">
        <v>25</v>
      </c>
      <c r="K718" s="22" t="s">
        <v>53</v>
      </c>
      <c r="L718" s="22">
        <v>2</v>
      </c>
      <c r="M718" s="22">
        <v>2700</v>
      </c>
      <c r="N718" s="22">
        <v>0.05</v>
      </c>
      <c r="O718" s="22">
        <v>5130</v>
      </c>
      <c r="P718" s="22">
        <v>4050.4</v>
      </c>
      <c r="Q718" s="22">
        <v>1079.6</v>
      </c>
      <c r="R718" s="22" t="s">
        <v>27</v>
      </c>
    </row>
    <row r="719" hidden="1" spans="1:18">
      <c r="A719" s="22" t="s">
        <v>853</v>
      </c>
      <c r="B719" s="23">
        <v>43664</v>
      </c>
      <c r="C719" s="24">
        <f t="shared" si="11"/>
        <v>7</v>
      </c>
      <c r="D719" s="22" t="s">
        <v>121</v>
      </c>
      <c r="E719" s="22" t="s">
        <v>128</v>
      </c>
      <c r="F719" s="22" t="s">
        <v>31</v>
      </c>
      <c r="G719" s="22" t="s">
        <v>172</v>
      </c>
      <c r="H719" s="22" t="s">
        <v>286</v>
      </c>
      <c r="I719" s="22" t="s">
        <v>45</v>
      </c>
      <c r="J719" s="22" t="s">
        <v>63</v>
      </c>
      <c r="K719" s="22" t="s">
        <v>26</v>
      </c>
      <c r="L719" s="22">
        <v>6</v>
      </c>
      <c r="M719" s="22">
        <v>64300</v>
      </c>
      <c r="N719" s="22">
        <v>0.1</v>
      </c>
      <c r="O719" s="22">
        <v>347220</v>
      </c>
      <c r="P719" s="22">
        <v>246035.81</v>
      </c>
      <c r="Q719" s="22">
        <v>101184.19</v>
      </c>
      <c r="R719" s="22" t="s">
        <v>35</v>
      </c>
    </row>
    <row r="720" hidden="1" spans="1:18">
      <c r="A720" s="22" t="s">
        <v>854</v>
      </c>
      <c r="B720" s="23">
        <v>45718</v>
      </c>
      <c r="C720" s="24">
        <f t="shared" si="11"/>
        <v>3</v>
      </c>
      <c r="D720" s="22" t="s">
        <v>103</v>
      </c>
      <c r="E720" s="22" t="s">
        <v>30</v>
      </c>
      <c r="F720" s="22" t="s">
        <v>21</v>
      </c>
      <c r="G720" s="22" t="s">
        <v>22</v>
      </c>
      <c r="H720" s="22" t="s">
        <v>215</v>
      </c>
      <c r="I720" s="22" t="s">
        <v>24</v>
      </c>
      <c r="J720" s="22" t="s">
        <v>52</v>
      </c>
      <c r="K720" s="22" t="s">
        <v>26</v>
      </c>
      <c r="L720" s="22">
        <v>9</v>
      </c>
      <c r="M720" s="22">
        <v>3100</v>
      </c>
      <c r="N720" s="22">
        <v>0</v>
      </c>
      <c r="O720" s="22">
        <v>27900</v>
      </c>
      <c r="P720" s="22">
        <v>17793.39</v>
      </c>
      <c r="Q720" s="22">
        <v>10106.61</v>
      </c>
      <c r="R720" s="22" t="s">
        <v>77</v>
      </c>
    </row>
    <row r="721" hidden="1" spans="1:18">
      <c r="A721" s="22" t="s">
        <v>855</v>
      </c>
      <c r="B721" s="23">
        <v>43253</v>
      </c>
      <c r="C721" s="24">
        <f t="shared" si="11"/>
        <v>6</v>
      </c>
      <c r="D721" s="22" t="s">
        <v>65</v>
      </c>
      <c r="E721" s="22" t="s">
        <v>30</v>
      </c>
      <c r="F721" s="22" t="s">
        <v>21</v>
      </c>
      <c r="G721" s="22" t="s">
        <v>22</v>
      </c>
      <c r="H721" s="22" t="s">
        <v>215</v>
      </c>
      <c r="I721" s="22" t="s">
        <v>45</v>
      </c>
      <c r="J721" s="22" t="s">
        <v>40</v>
      </c>
      <c r="K721" s="22" t="s">
        <v>53</v>
      </c>
      <c r="L721" s="22">
        <v>6</v>
      </c>
      <c r="M721" s="22">
        <v>1400</v>
      </c>
      <c r="N721" s="22">
        <v>0.05</v>
      </c>
      <c r="O721" s="22">
        <v>7980</v>
      </c>
      <c r="P721" s="22">
        <v>5172.64</v>
      </c>
      <c r="Q721" s="22">
        <v>2807.36</v>
      </c>
      <c r="R721" s="22" t="s">
        <v>27</v>
      </c>
    </row>
    <row r="722" hidden="1" spans="1:18">
      <c r="A722" s="22" t="s">
        <v>856</v>
      </c>
      <c r="B722" s="23">
        <v>46068</v>
      </c>
      <c r="C722" s="24">
        <f t="shared" si="11"/>
        <v>2</v>
      </c>
      <c r="D722" s="22" t="s">
        <v>29</v>
      </c>
      <c r="E722" s="22" t="s">
        <v>30</v>
      </c>
      <c r="F722" s="22" t="s">
        <v>21</v>
      </c>
      <c r="G722" s="22" t="s">
        <v>122</v>
      </c>
      <c r="H722" s="22" t="s">
        <v>123</v>
      </c>
      <c r="I722" s="22" t="s">
        <v>24</v>
      </c>
      <c r="J722" s="22" t="s">
        <v>99</v>
      </c>
      <c r="K722" s="22" t="s">
        <v>26</v>
      </c>
      <c r="L722" s="22">
        <v>1</v>
      </c>
      <c r="M722" s="22">
        <v>1100</v>
      </c>
      <c r="N722" s="22">
        <v>0</v>
      </c>
      <c r="O722" s="22">
        <v>1100</v>
      </c>
      <c r="P722" s="22">
        <v>920.35</v>
      </c>
      <c r="Q722" s="22">
        <v>179.65</v>
      </c>
      <c r="R722" s="22" t="s">
        <v>35</v>
      </c>
    </row>
    <row r="723" hidden="1" spans="1:18">
      <c r="A723" s="22" t="s">
        <v>857</v>
      </c>
      <c r="B723" s="23">
        <v>44653</v>
      </c>
      <c r="C723" s="24">
        <f t="shared" si="11"/>
        <v>4</v>
      </c>
      <c r="D723" s="22" t="s">
        <v>133</v>
      </c>
      <c r="E723" s="22" t="s">
        <v>213</v>
      </c>
      <c r="F723" s="22" t="s">
        <v>31</v>
      </c>
      <c r="G723" s="22" t="s">
        <v>66</v>
      </c>
      <c r="H723" s="22" t="s">
        <v>316</v>
      </c>
      <c r="I723" s="22" t="s">
        <v>24</v>
      </c>
      <c r="J723" s="22" t="s">
        <v>40</v>
      </c>
      <c r="K723" s="22" t="s">
        <v>47</v>
      </c>
      <c r="L723" s="22">
        <v>4</v>
      </c>
      <c r="M723" s="22">
        <v>11300</v>
      </c>
      <c r="N723" s="22">
        <v>0</v>
      </c>
      <c r="O723" s="22">
        <v>45200</v>
      </c>
      <c r="P723" s="22">
        <v>35299.82</v>
      </c>
      <c r="Q723" s="22">
        <v>9900.18</v>
      </c>
      <c r="R723" s="22" t="s">
        <v>48</v>
      </c>
    </row>
    <row r="724" hidden="1" spans="1:18">
      <c r="A724" s="22" t="s">
        <v>858</v>
      </c>
      <c r="B724" s="23">
        <v>43657</v>
      </c>
      <c r="C724" s="24">
        <f t="shared" si="11"/>
        <v>7</v>
      </c>
      <c r="D724" s="22" t="s">
        <v>79</v>
      </c>
      <c r="E724" s="22" t="s">
        <v>128</v>
      </c>
      <c r="F724" s="22" t="s">
        <v>21</v>
      </c>
      <c r="G724" s="22" t="s">
        <v>167</v>
      </c>
      <c r="H724" s="22" t="s">
        <v>206</v>
      </c>
      <c r="I724" s="22" t="s">
        <v>45</v>
      </c>
      <c r="J724" s="22" t="s">
        <v>116</v>
      </c>
      <c r="K724" s="22" t="s">
        <v>26</v>
      </c>
      <c r="L724" s="22">
        <v>8</v>
      </c>
      <c r="M724" s="22">
        <v>21000</v>
      </c>
      <c r="N724" s="22">
        <v>0.1</v>
      </c>
      <c r="O724" s="22">
        <v>151200</v>
      </c>
      <c r="P724" s="22">
        <v>97767.64</v>
      </c>
      <c r="Q724" s="22">
        <v>53432.36</v>
      </c>
      <c r="R724" s="22" t="s">
        <v>77</v>
      </c>
    </row>
    <row r="725" hidden="1" spans="1:18">
      <c r="A725" s="22" t="s">
        <v>859</v>
      </c>
      <c r="B725" s="23">
        <v>43991</v>
      </c>
      <c r="C725" s="24">
        <f t="shared" si="11"/>
        <v>6</v>
      </c>
      <c r="D725" s="22" t="s">
        <v>75</v>
      </c>
      <c r="E725" s="22" t="s">
        <v>30</v>
      </c>
      <c r="F725" s="22" t="s">
        <v>60</v>
      </c>
      <c r="G725" s="22" t="s">
        <v>93</v>
      </c>
      <c r="H725" s="22" t="s">
        <v>101</v>
      </c>
      <c r="I725" s="22" t="s">
        <v>51</v>
      </c>
      <c r="J725" s="22" t="s">
        <v>170</v>
      </c>
      <c r="K725" s="22" t="s">
        <v>26</v>
      </c>
      <c r="L725" s="22">
        <v>6</v>
      </c>
      <c r="M725" s="22">
        <v>1500</v>
      </c>
      <c r="N725" s="22">
        <v>0.2</v>
      </c>
      <c r="O725" s="22">
        <v>7200</v>
      </c>
      <c r="P725" s="22">
        <v>5352.86</v>
      </c>
      <c r="Q725" s="22">
        <v>1847.14</v>
      </c>
      <c r="R725" s="22" t="s">
        <v>58</v>
      </c>
    </row>
    <row r="726" hidden="1" spans="1:18">
      <c r="A726" s="22" t="s">
        <v>860</v>
      </c>
      <c r="B726" s="23">
        <v>44650</v>
      </c>
      <c r="C726" s="24">
        <f t="shared" si="11"/>
        <v>3</v>
      </c>
      <c r="D726" s="22" t="s">
        <v>121</v>
      </c>
      <c r="E726" s="22" t="s">
        <v>128</v>
      </c>
      <c r="F726" s="22" t="s">
        <v>96</v>
      </c>
      <c r="G726" s="22" t="s">
        <v>113</v>
      </c>
      <c r="H726" s="22" t="s">
        <v>119</v>
      </c>
      <c r="I726" s="22" t="s">
        <v>51</v>
      </c>
      <c r="J726" s="22" t="s">
        <v>34</v>
      </c>
      <c r="K726" s="22" t="s">
        <v>47</v>
      </c>
      <c r="L726" s="22">
        <v>5</v>
      </c>
      <c r="M726" s="22">
        <v>57500</v>
      </c>
      <c r="N726" s="22">
        <v>0</v>
      </c>
      <c r="O726" s="22">
        <v>287500</v>
      </c>
      <c r="P726" s="22">
        <v>234860.89</v>
      </c>
      <c r="Q726" s="22">
        <v>52639.11</v>
      </c>
      <c r="R726" s="22" t="s">
        <v>58</v>
      </c>
    </row>
    <row r="727" hidden="1" spans="1:18">
      <c r="A727" s="22" t="s">
        <v>861</v>
      </c>
      <c r="B727" s="23">
        <v>46080</v>
      </c>
      <c r="C727" s="24">
        <f t="shared" si="11"/>
        <v>2</v>
      </c>
      <c r="D727" s="22" t="s">
        <v>103</v>
      </c>
      <c r="E727" s="22" t="s">
        <v>30</v>
      </c>
      <c r="F727" s="22" t="s">
        <v>55</v>
      </c>
      <c r="G727" s="22" t="s">
        <v>109</v>
      </c>
      <c r="H727" s="22" t="s">
        <v>178</v>
      </c>
      <c r="I727" s="22" t="s">
        <v>45</v>
      </c>
      <c r="J727" s="22" t="s">
        <v>52</v>
      </c>
      <c r="K727" s="22" t="s">
        <v>26</v>
      </c>
      <c r="L727" s="22">
        <v>6</v>
      </c>
      <c r="M727" s="22">
        <v>1800</v>
      </c>
      <c r="N727" s="22">
        <v>0.1</v>
      </c>
      <c r="O727" s="22">
        <v>9720</v>
      </c>
      <c r="P727" s="22">
        <v>7123.76</v>
      </c>
      <c r="Q727" s="22">
        <v>2596.24</v>
      </c>
      <c r="R727" s="22" t="s">
        <v>58</v>
      </c>
    </row>
    <row r="728" hidden="1" spans="1:18">
      <c r="A728" s="22" t="s">
        <v>862</v>
      </c>
      <c r="B728" s="23">
        <v>44000</v>
      </c>
      <c r="C728" s="24">
        <f t="shared" si="11"/>
        <v>6</v>
      </c>
      <c r="D728" s="22" t="s">
        <v>121</v>
      </c>
      <c r="E728" s="22" t="s">
        <v>128</v>
      </c>
      <c r="F728" s="22" t="s">
        <v>55</v>
      </c>
      <c r="G728" s="22" t="s">
        <v>109</v>
      </c>
      <c r="H728" s="22" t="s">
        <v>185</v>
      </c>
      <c r="I728" s="22" t="s">
        <v>45</v>
      </c>
      <c r="J728" s="22" t="s">
        <v>88</v>
      </c>
      <c r="K728" s="22" t="s">
        <v>53</v>
      </c>
      <c r="L728" s="22">
        <v>1</v>
      </c>
      <c r="M728" s="22">
        <v>88000</v>
      </c>
      <c r="N728" s="22">
        <v>0.05</v>
      </c>
      <c r="O728" s="22">
        <v>83600</v>
      </c>
      <c r="P728" s="22">
        <v>61826.32</v>
      </c>
      <c r="Q728" s="22">
        <v>21773.68</v>
      </c>
      <c r="R728" s="22" t="s">
        <v>27</v>
      </c>
    </row>
    <row r="729" hidden="1" spans="1:18">
      <c r="A729" s="22" t="s">
        <v>863</v>
      </c>
      <c r="B729" s="23">
        <v>45725</v>
      </c>
      <c r="C729" s="24">
        <f t="shared" si="11"/>
        <v>3</v>
      </c>
      <c r="D729" s="22" t="s">
        <v>103</v>
      </c>
      <c r="E729" s="22" t="s">
        <v>128</v>
      </c>
      <c r="F729" s="22" t="s">
        <v>96</v>
      </c>
      <c r="G729" s="22" t="s">
        <v>113</v>
      </c>
      <c r="H729" s="22" t="s">
        <v>114</v>
      </c>
      <c r="I729" s="22" t="s">
        <v>45</v>
      </c>
      <c r="J729" s="22" t="s">
        <v>52</v>
      </c>
      <c r="K729" s="22" t="s">
        <v>26</v>
      </c>
      <c r="L729" s="22">
        <v>5</v>
      </c>
      <c r="M729" s="22">
        <v>18600</v>
      </c>
      <c r="N729" s="22">
        <v>0</v>
      </c>
      <c r="O729" s="22">
        <v>93000</v>
      </c>
      <c r="P729" s="22">
        <v>63995.07</v>
      </c>
      <c r="Q729" s="22">
        <v>29004.93</v>
      </c>
      <c r="R729" s="22" t="s">
        <v>35</v>
      </c>
    </row>
    <row r="730" hidden="1" spans="1:18">
      <c r="A730" s="22" t="s">
        <v>864</v>
      </c>
      <c r="B730" s="23">
        <v>43962</v>
      </c>
      <c r="C730" s="24">
        <f t="shared" si="11"/>
        <v>5</v>
      </c>
      <c r="D730" s="22" t="s">
        <v>75</v>
      </c>
      <c r="E730" s="22" t="s">
        <v>128</v>
      </c>
      <c r="F730" s="22" t="s">
        <v>96</v>
      </c>
      <c r="G730" s="22" t="s">
        <v>113</v>
      </c>
      <c r="H730" s="22" t="s">
        <v>114</v>
      </c>
      <c r="I730" s="22" t="s">
        <v>24</v>
      </c>
      <c r="J730" s="22" t="s">
        <v>99</v>
      </c>
      <c r="K730" s="22" t="s">
        <v>47</v>
      </c>
      <c r="L730" s="22">
        <v>1</v>
      </c>
      <c r="M730" s="22">
        <v>32300</v>
      </c>
      <c r="N730" s="22">
        <v>0</v>
      </c>
      <c r="O730" s="22">
        <v>32300</v>
      </c>
      <c r="P730" s="22">
        <v>21642.86</v>
      </c>
      <c r="Q730" s="22">
        <v>10657.14</v>
      </c>
      <c r="R730" s="22" t="s">
        <v>27</v>
      </c>
    </row>
    <row r="731" hidden="1" spans="1:18">
      <c r="A731" s="22" t="s">
        <v>865</v>
      </c>
      <c r="B731" s="23">
        <v>44183</v>
      </c>
      <c r="C731" s="24">
        <f t="shared" si="11"/>
        <v>12</v>
      </c>
      <c r="D731" s="22" t="s">
        <v>121</v>
      </c>
      <c r="E731" s="22" t="s">
        <v>128</v>
      </c>
      <c r="F731" s="22" t="s">
        <v>31</v>
      </c>
      <c r="G731" s="22" t="s">
        <v>66</v>
      </c>
      <c r="H731" s="22" t="s">
        <v>316</v>
      </c>
      <c r="I731" s="22" t="s">
        <v>24</v>
      </c>
      <c r="J731" s="22" t="s">
        <v>73</v>
      </c>
      <c r="K731" s="22" t="s">
        <v>26</v>
      </c>
      <c r="L731" s="22">
        <v>6</v>
      </c>
      <c r="M731" s="22">
        <v>85900</v>
      </c>
      <c r="N731" s="22">
        <v>0.15</v>
      </c>
      <c r="O731" s="22">
        <v>438090</v>
      </c>
      <c r="P731" s="22">
        <v>344922.91</v>
      </c>
      <c r="Q731" s="22">
        <v>93167.09</v>
      </c>
      <c r="R731" s="22" t="s">
        <v>27</v>
      </c>
    </row>
    <row r="732" hidden="1" spans="1:18">
      <c r="A732" s="22" t="s">
        <v>866</v>
      </c>
      <c r="B732" s="23">
        <v>43173</v>
      </c>
      <c r="C732" s="24">
        <f t="shared" si="11"/>
        <v>3</v>
      </c>
      <c r="D732" s="22" t="s">
        <v>37</v>
      </c>
      <c r="E732" s="22" t="s">
        <v>128</v>
      </c>
      <c r="F732" s="22" t="s">
        <v>21</v>
      </c>
      <c r="G732" s="22" t="s">
        <v>167</v>
      </c>
      <c r="H732" s="22" t="s">
        <v>254</v>
      </c>
      <c r="I732" s="22" t="s">
        <v>24</v>
      </c>
      <c r="J732" s="22" t="s">
        <v>124</v>
      </c>
      <c r="K732" s="22" t="s">
        <v>26</v>
      </c>
      <c r="L732" s="22">
        <v>9</v>
      </c>
      <c r="M732" s="22">
        <v>11400</v>
      </c>
      <c r="N732" s="22">
        <v>0</v>
      </c>
      <c r="O732" s="22">
        <v>102600</v>
      </c>
      <c r="P732" s="22">
        <v>85816.8</v>
      </c>
      <c r="Q732" s="22">
        <v>16783.2</v>
      </c>
      <c r="R732" s="22" t="s">
        <v>58</v>
      </c>
    </row>
    <row r="733" hidden="1" spans="1:18">
      <c r="A733" s="22" t="s">
        <v>867</v>
      </c>
      <c r="B733" s="23">
        <v>43163</v>
      </c>
      <c r="C733" s="24">
        <f t="shared" si="11"/>
        <v>3</v>
      </c>
      <c r="D733" s="22" t="s">
        <v>37</v>
      </c>
      <c r="E733" s="22" t="s">
        <v>128</v>
      </c>
      <c r="F733" s="22" t="s">
        <v>60</v>
      </c>
      <c r="G733" s="22" t="s">
        <v>93</v>
      </c>
      <c r="H733" s="22" t="s">
        <v>94</v>
      </c>
      <c r="I733" s="22" t="s">
        <v>51</v>
      </c>
      <c r="J733" s="22" t="s">
        <v>25</v>
      </c>
      <c r="K733" s="22" t="s">
        <v>47</v>
      </c>
      <c r="L733" s="22">
        <v>1</v>
      </c>
      <c r="M733" s="22">
        <v>19000</v>
      </c>
      <c r="N733" s="22">
        <v>0.15</v>
      </c>
      <c r="O733" s="22">
        <v>16150</v>
      </c>
      <c r="P733" s="22">
        <v>12325.25</v>
      </c>
      <c r="Q733" s="22">
        <v>3824.75</v>
      </c>
      <c r="R733" s="22" t="s">
        <v>58</v>
      </c>
    </row>
    <row r="734" hidden="1" spans="1:18">
      <c r="A734" s="22" t="s">
        <v>868</v>
      </c>
      <c r="B734" s="23">
        <v>43181</v>
      </c>
      <c r="C734" s="24">
        <f t="shared" si="11"/>
        <v>3</v>
      </c>
      <c r="D734" s="22" t="s">
        <v>90</v>
      </c>
      <c r="E734" s="22" t="s">
        <v>128</v>
      </c>
      <c r="F734" s="22" t="s">
        <v>60</v>
      </c>
      <c r="G734" s="22" t="s">
        <v>86</v>
      </c>
      <c r="H734" s="22" t="s">
        <v>104</v>
      </c>
      <c r="I734" s="22" t="s">
        <v>45</v>
      </c>
      <c r="J734" s="22" t="s">
        <v>63</v>
      </c>
      <c r="K734" s="22" t="s">
        <v>26</v>
      </c>
      <c r="L734" s="22">
        <v>1</v>
      </c>
      <c r="M734" s="22">
        <v>28400</v>
      </c>
      <c r="N734" s="22">
        <v>0.1</v>
      </c>
      <c r="O734" s="22">
        <v>25560</v>
      </c>
      <c r="P734" s="22">
        <v>15918.98</v>
      </c>
      <c r="Q734" s="22">
        <v>9641.02</v>
      </c>
      <c r="R734" s="22" t="s">
        <v>35</v>
      </c>
    </row>
    <row r="735" spans="1:18">
      <c r="A735" s="22" t="s">
        <v>869</v>
      </c>
      <c r="B735" s="23">
        <v>45709</v>
      </c>
      <c r="C735" s="24">
        <f t="shared" si="11"/>
        <v>2</v>
      </c>
      <c r="D735" s="22" t="s">
        <v>103</v>
      </c>
      <c r="E735" s="22" t="s">
        <v>38</v>
      </c>
      <c r="F735" s="22" t="s">
        <v>55</v>
      </c>
      <c r="G735" s="22" t="s">
        <v>109</v>
      </c>
      <c r="H735" s="22" t="s">
        <v>110</v>
      </c>
      <c r="I735" s="22" t="s">
        <v>24</v>
      </c>
      <c r="J735" s="22" t="s">
        <v>46</v>
      </c>
      <c r="K735" s="22" t="s">
        <v>26</v>
      </c>
      <c r="L735" s="22">
        <v>1</v>
      </c>
      <c r="M735" s="22">
        <v>67700</v>
      </c>
      <c r="N735" s="22">
        <v>0.15</v>
      </c>
      <c r="O735" s="22">
        <v>57545</v>
      </c>
      <c r="P735" s="22">
        <v>47803.93</v>
      </c>
      <c r="Q735" s="22">
        <v>9741.07</v>
      </c>
      <c r="R735" s="22" t="s">
        <v>27</v>
      </c>
    </row>
    <row r="736" spans="1:18">
      <c r="A736" s="22" t="s">
        <v>870</v>
      </c>
      <c r="B736" s="23">
        <v>43656</v>
      </c>
      <c r="C736" s="24">
        <f t="shared" si="11"/>
        <v>7</v>
      </c>
      <c r="D736" s="22" t="s">
        <v>79</v>
      </c>
      <c r="E736" s="22" t="s">
        <v>38</v>
      </c>
      <c r="F736" s="22" t="s">
        <v>55</v>
      </c>
      <c r="G736" s="22" t="s">
        <v>80</v>
      </c>
      <c r="H736" s="22" t="s">
        <v>160</v>
      </c>
      <c r="I736" s="22" t="s">
        <v>45</v>
      </c>
      <c r="J736" s="22" t="s">
        <v>99</v>
      </c>
      <c r="K736" s="22" t="s">
        <v>53</v>
      </c>
      <c r="L736" s="22">
        <v>7</v>
      </c>
      <c r="M736" s="22">
        <v>45200</v>
      </c>
      <c r="N736" s="22">
        <v>0.15</v>
      </c>
      <c r="O736" s="22">
        <v>268940</v>
      </c>
      <c r="P736" s="22">
        <v>223109.4</v>
      </c>
      <c r="Q736" s="22">
        <v>45830.6</v>
      </c>
      <c r="R736" s="22" t="s">
        <v>27</v>
      </c>
    </row>
    <row r="737" spans="1:18">
      <c r="A737" s="22" t="s">
        <v>871</v>
      </c>
      <c r="B737" s="23">
        <v>45778</v>
      </c>
      <c r="C737" s="24">
        <f t="shared" si="11"/>
        <v>5</v>
      </c>
      <c r="D737" s="22" t="s">
        <v>75</v>
      </c>
      <c r="E737" s="22" t="s">
        <v>38</v>
      </c>
      <c r="F737" s="22" t="s">
        <v>31</v>
      </c>
      <c r="G737" s="22" t="s">
        <v>43</v>
      </c>
      <c r="H737" s="22" t="s">
        <v>91</v>
      </c>
      <c r="I737" s="22" t="s">
        <v>24</v>
      </c>
      <c r="J737" s="22" t="s">
        <v>116</v>
      </c>
      <c r="K737" s="22" t="s">
        <v>47</v>
      </c>
      <c r="L737" s="22">
        <v>1</v>
      </c>
      <c r="M737" s="22">
        <v>39900</v>
      </c>
      <c r="N737" s="22">
        <v>0.05</v>
      </c>
      <c r="O737" s="22">
        <v>37905</v>
      </c>
      <c r="P737" s="22">
        <v>28560.34</v>
      </c>
      <c r="Q737" s="22">
        <v>9344.66</v>
      </c>
      <c r="R737" s="22" t="s">
        <v>27</v>
      </c>
    </row>
    <row r="738" spans="1:18">
      <c r="A738" s="22" t="s">
        <v>872</v>
      </c>
      <c r="B738" s="23">
        <v>43813</v>
      </c>
      <c r="C738" s="24">
        <f t="shared" si="11"/>
        <v>12</v>
      </c>
      <c r="D738" s="22" t="s">
        <v>79</v>
      </c>
      <c r="E738" s="22" t="s">
        <v>38</v>
      </c>
      <c r="F738" s="22" t="s">
        <v>31</v>
      </c>
      <c r="G738" s="22" t="s">
        <v>43</v>
      </c>
      <c r="H738" s="22" t="s">
        <v>258</v>
      </c>
      <c r="I738" s="22" t="s">
        <v>45</v>
      </c>
      <c r="J738" s="22" t="s">
        <v>52</v>
      </c>
      <c r="K738" s="22" t="s">
        <v>47</v>
      </c>
      <c r="L738" s="22">
        <v>4</v>
      </c>
      <c r="M738" s="22">
        <v>48000</v>
      </c>
      <c r="N738" s="22">
        <v>0.1</v>
      </c>
      <c r="O738" s="22">
        <v>172800</v>
      </c>
      <c r="P738" s="22">
        <v>136937.83</v>
      </c>
      <c r="Q738" s="22">
        <v>35862.17</v>
      </c>
      <c r="R738" s="22" t="s">
        <v>35</v>
      </c>
    </row>
    <row r="739" spans="1:18">
      <c r="A739" s="22" t="s">
        <v>873</v>
      </c>
      <c r="B739" s="23">
        <v>44103</v>
      </c>
      <c r="C739" s="24">
        <f t="shared" si="11"/>
        <v>9</v>
      </c>
      <c r="D739" s="22" t="s">
        <v>42</v>
      </c>
      <c r="E739" s="22" t="s">
        <v>38</v>
      </c>
      <c r="F739" s="22" t="s">
        <v>31</v>
      </c>
      <c r="G739" s="22" t="s">
        <v>43</v>
      </c>
      <c r="H739" s="22" t="s">
        <v>44</v>
      </c>
      <c r="I739" s="22" t="s">
        <v>51</v>
      </c>
      <c r="J739" s="22" t="s">
        <v>25</v>
      </c>
      <c r="K739" s="22" t="s">
        <v>26</v>
      </c>
      <c r="L739" s="22">
        <v>3</v>
      </c>
      <c r="M739" s="22">
        <v>93700</v>
      </c>
      <c r="N739" s="22">
        <v>0</v>
      </c>
      <c r="O739" s="22">
        <v>281100</v>
      </c>
      <c r="P739" s="22">
        <v>226598.18</v>
      </c>
      <c r="Q739" s="22">
        <v>54501.82</v>
      </c>
      <c r="R739" s="22" t="s">
        <v>27</v>
      </c>
    </row>
    <row r="740" hidden="1" spans="1:18">
      <c r="A740" s="22" t="s">
        <v>874</v>
      </c>
      <c r="B740" s="23">
        <v>44006</v>
      </c>
      <c r="C740" s="24">
        <f t="shared" si="11"/>
        <v>6</v>
      </c>
      <c r="D740" s="22" t="s">
        <v>19</v>
      </c>
      <c r="E740" s="22" t="s">
        <v>20</v>
      </c>
      <c r="F740" s="22" t="s">
        <v>21</v>
      </c>
      <c r="G740" s="22" t="s">
        <v>122</v>
      </c>
      <c r="H740" s="22" t="s">
        <v>156</v>
      </c>
      <c r="I740" s="22" t="s">
        <v>24</v>
      </c>
      <c r="J740" s="22" t="s">
        <v>40</v>
      </c>
      <c r="K740" s="22" t="s">
        <v>47</v>
      </c>
      <c r="L740" s="22">
        <v>7</v>
      </c>
      <c r="M740" s="22">
        <v>10300</v>
      </c>
      <c r="N740" s="22">
        <v>0.15</v>
      </c>
      <c r="O740" s="22">
        <v>61285</v>
      </c>
      <c r="P740" s="22">
        <v>49197.69</v>
      </c>
      <c r="Q740" s="22">
        <v>12087.31</v>
      </c>
      <c r="R740" s="22" t="s">
        <v>35</v>
      </c>
    </row>
    <row r="741" hidden="1" spans="1:18">
      <c r="A741" s="22" t="s">
        <v>875</v>
      </c>
      <c r="B741" s="23">
        <v>43153</v>
      </c>
      <c r="C741" s="24">
        <f t="shared" si="11"/>
        <v>2</v>
      </c>
      <c r="D741" s="22" t="s">
        <v>65</v>
      </c>
      <c r="E741" s="22" t="s">
        <v>30</v>
      </c>
      <c r="F741" s="22" t="s">
        <v>31</v>
      </c>
      <c r="G741" s="22" t="s">
        <v>172</v>
      </c>
      <c r="H741" s="22" t="s">
        <v>269</v>
      </c>
      <c r="I741" s="22" t="s">
        <v>45</v>
      </c>
      <c r="J741" s="22" t="s">
        <v>25</v>
      </c>
      <c r="K741" s="22" t="s">
        <v>26</v>
      </c>
      <c r="L741" s="22">
        <v>6</v>
      </c>
      <c r="M741" s="22">
        <v>1600</v>
      </c>
      <c r="N741" s="22">
        <v>0</v>
      </c>
      <c r="O741" s="22">
        <v>9600</v>
      </c>
      <c r="P741" s="22">
        <v>7941.12</v>
      </c>
      <c r="Q741" s="22">
        <v>1658.88</v>
      </c>
      <c r="R741" s="22" t="s">
        <v>35</v>
      </c>
    </row>
    <row r="742" hidden="1" spans="1:18">
      <c r="A742" s="22" t="s">
        <v>876</v>
      </c>
      <c r="B742" s="23">
        <v>44030</v>
      </c>
      <c r="C742" s="24">
        <f t="shared" si="11"/>
        <v>7</v>
      </c>
      <c r="D742" s="22" t="s">
        <v>85</v>
      </c>
      <c r="E742" s="22" t="s">
        <v>30</v>
      </c>
      <c r="F742" s="22" t="s">
        <v>60</v>
      </c>
      <c r="G742" s="22" t="s">
        <v>93</v>
      </c>
      <c r="H742" s="22" t="s">
        <v>101</v>
      </c>
      <c r="I742" s="22" t="s">
        <v>51</v>
      </c>
      <c r="J742" s="22" t="s">
        <v>116</v>
      </c>
      <c r="K742" s="22" t="s">
        <v>53</v>
      </c>
      <c r="L742" s="22">
        <v>9</v>
      </c>
      <c r="M742" s="22">
        <v>1600</v>
      </c>
      <c r="N742" s="22">
        <v>0.1</v>
      </c>
      <c r="O742" s="22">
        <v>12960</v>
      </c>
      <c r="P742" s="22">
        <v>9542.3</v>
      </c>
      <c r="Q742" s="22">
        <v>3417.7</v>
      </c>
      <c r="R742" s="22" t="s">
        <v>48</v>
      </c>
    </row>
    <row r="743" spans="1:18">
      <c r="A743" s="22" t="s">
        <v>877</v>
      </c>
      <c r="B743" s="23">
        <v>45694</v>
      </c>
      <c r="C743" s="24">
        <f t="shared" si="11"/>
        <v>2</v>
      </c>
      <c r="D743" s="22" t="s">
        <v>79</v>
      </c>
      <c r="E743" s="22" t="s">
        <v>38</v>
      </c>
      <c r="F743" s="22" t="s">
        <v>60</v>
      </c>
      <c r="G743" s="22" t="s">
        <v>93</v>
      </c>
      <c r="H743" s="22" t="s">
        <v>181</v>
      </c>
      <c r="I743" s="22" t="s">
        <v>51</v>
      </c>
      <c r="J743" s="22" t="s">
        <v>25</v>
      </c>
      <c r="K743" s="22" t="s">
        <v>53</v>
      </c>
      <c r="L743" s="22">
        <v>8</v>
      </c>
      <c r="M743" s="22">
        <v>64900</v>
      </c>
      <c r="N743" s="22">
        <v>0</v>
      </c>
      <c r="O743" s="22">
        <v>519200</v>
      </c>
      <c r="P743" s="22">
        <v>405647.67</v>
      </c>
      <c r="Q743" s="22">
        <v>113552.33</v>
      </c>
      <c r="R743" s="22" t="s">
        <v>58</v>
      </c>
    </row>
    <row r="744" spans="1:18">
      <c r="A744" s="22" t="s">
        <v>878</v>
      </c>
      <c r="B744" s="23">
        <v>45667</v>
      </c>
      <c r="C744" s="24">
        <f t="shared" si="11"/>
        <v>1</v>
      </c>
      <c r="D744" s="22" t="s">
        <v>90</v>
      </c>
      <c r="E744" s="22" t="s">
        <v>38</v>
      </c>
      <c r="F744" s="22" t="s">
        <v>55</v>
      </c>
      <c r="G744" s="22" t="s">
        <v>109</v>
      </c>
      <c r="H744" s="22" t="s">
        <v>185</v>
      </c>
      <c r="I744" s="22" t="s">
        <v>24</v>
      </c>
      <c r="J744" s="22" t="s">
        <v>40</v>
      </c>
      <c r="K744" s="22" t="s">
        <v>26</v>
      </c>
      <c r="L744" s="22">
        <v>4</v>
      </c>
      <c r="M744" s="22">
        <v>36200</v>
      </c>
      <c r="N744" s="22">
        <v>0.05</v>
      </c>
      <c r="O744" s="22">
        <v>137560</v>
      </c>
      <c r="P744" s="22">
        <v>107079.78</v>
      </c>
      <c r="Q744" s="22">
        <v>30480.22</v>
      </c>
      <c r="R744" s="22" t="s">
        <v>58</v>
      </c>
    </row>
    <row r="745" spans="1:18">
      <c r="A745" s="22" t="s">
        <v>879</v>
      </c>
      <c r="B745" s="23">
        <v>43232</v>
      </c>
      <c r="C745" s="24">
        <f t="shared" si="11"/>
        <v>5</v>
      </c>
      <c r="D745" s="22" t="s">
        <v>37</v>
      </c>
      <c r="E745" s="22" t="s">
        <v>38</v>
      </c>
      <c r="F745" s="22" t="s">
        <v>31</v>
      </c>
      <c r="G745" s="22" t="s">
        <v>172</v>
      </c>
      <c r="H745" s="22" t="s">
        <v>173</v>
      </c>
      <c r="I745" s="22" t="s">
        <v>45</v>
      </c>
      <c r="J745" s="22" t="s">
        <v>170</v>
      </c>
      <c r="K745" s="22" t="s">
        <v>47</v>
      </c>
      <c r="L745" s="22">
        <v>1</v>
      </c>
      <c r="M745" s="22">
        <v>10900</v>
      </c>
      <c r="N745" s="22">
        <v>0</v>
      </c>
      <c r="O745" s="22">
        <v>10900</v>
      </c>
      <c r="P745" s="22">
        <v>8772.32</v>
      </c>
      <c r="Q745" s="22">
        <v>2127.68</v>
      </c>
      <c r="R745" s="22" t="s">
        <v>35</v>
      </c>
    </row>
    <row r="746" spans="1:18">
      <c r="A746" s="22" t="s">
        <v>880</v>
      </c>
      <c r="B746" s="23">
        <v>43290</v>
      </c>
      <c r="C746" s="24">
        <f t="shared" si="11"/>
        <v>7</v>
      </c>
      <c r="D746" s="22" t="s">
        <v>42</v>
      </c>
      <c r="E746" s="22" t="s">
        <v>256</v>
      </c>
      <c r="F746" s="22" t="s">
        <v>96</v>
      </c>
      <c r="G746" s="22" t="s">
        <v>113</v>
      </c>
      <c r="H746" s="22" t="s">
        <v>114</v>
      </c>
      <c r="I746" s="22" t="s">
        <v>51</v>
      </c>
      <c r="J746" s="22" t="s">
        <v>170</v>
      </c>
      <c r="K746" s="22" t="s">
        <v>47</v>
      </c>
      <c r="L746" s="22">
        <v>10</v>
      </c>
      <c r="M746" s="22">
        <v>119800</v>
      </c>
      <c r="N746" s="22">
        <v>0</v>
      </c>
      <c r="O746" s="22">
        <v>1198000</v>
      </c>
      <c r="P746" s="22">
        <v>918823.21</v>
      </c>
      <c r="Q746" s="22">
        <v>279176.79</v>
      </c>
      <c r="R746" s="22" t="s">
        <v>58</v>
      </c>
    </row>
    <row r="747" spans="1:18">
      <c r="A747" s="22" t="s">
        <v>881</v>
      </c>
      <c r="B747" s="23">
        <v>44321</v>
      </c>
      <c r="C747" s="24">
        <f t="shared" si="11"/>
        <v>5</v>
      </c>
      <c r="D747" s="22" t="s">
        <v>90</v>
      </c>
      <c r="E747" s="22" t="s">
        <v>256</v>
      </c>
      <c r="F747" s="22" t="s">
        <v>60</v>
      </c>
      <c r="G747" s="22" t="s">
        <v>93</v>
      </c>
      <c r="H747" s="22" t="s">
        <v>181</v>
      </c>
      <c r="I747" s="22" t="s">
        <v>24</v>
      </c>
      <c r="J747" s="22" t="s">
        <v>124</v>
      </c>
      <c r="K747" s="22" t="s">
        <v>53</v>
      </c>
      <c r="L747" s="22">
        <v>6</v>
      </c>
      <c r="M747" s="22">
        <v>38600</v>
      </c>
      <c r="N747" s="22">
        <v>0.1</v>
      </c>
      <c r="O747" s="22">
        <v>208440</v>
      </c>
      <c r="P747" s="22">
        <v>142798.28</v>
      </c>
      <c r="Q747" s="22">
        <v>65641.72</v>
      </c>
      <c r="R747" s="22" t="s">
        <v>48</v>
      </c>
    </row>
    <row r="748" hidden="1" spans="1:18">
      <c r="A748" s="22" t="s">
        <v>882</v>
      </c>
      <c r="B748" s="23">
        <v>43252</v>
      </c>
      <c r="C748" s="24">
        <f t="shared" si="11"/>
        <v>6</v>
      </c>
      <c r="D748" s="22" t="s">
        <v>65</v>
      </c>
      <c r="E748" s="22" t="s">
        <v>30</v>
      </c>
      <c r="F748" s="22" t="s">
        <v>55</v>
      </c>
      <c r="G748" s="22" t="s">
        <v>56</v>
      </c>
      <c r="H748" s="22" t="s">
        <v>154</v>
      </c>
      <c r="I748" s="22" t="s">
        <v>45</v>
      </c>
      <c r="J748" s="22" t="s">
        <v>63</v>
      </c>
      <c r="K748" s="22" t="s">
        <v>47</v>
      </c>
      <c r="L748" s="22">
        <v>9</v>
      </c>
      <c r="M748" s="22">
        <v>1000</v>
      </c>
      <c r="N748" s="22">
        <v>0.1</v>
      </c>
      <c r="O748" s="22">
        <v>8100</v>
      </c>
      <c r="P748" s="22">
        <v>5186.42</v>
      </c>
      <c r="Q748" s="22">
        <v>2913.58</v>
      </c>
      <c r="R748" s="22" t="s">
        <v>58</v>
      </c>
    </row>
    <row r="749" hidden="1" spans="1:18">
      <c r="A749" s="22" t="s">
        <v>883</v>
      </c>
      <c r="B749" s="23">
        <v>43724</v>
      </c>
      <c r="C749" s="24">
        <f t="shared" si="11"/>
        <v>9</v>
      </c>
      <c r="D749" s="22" t="s">
        <v>65</v>
      </c>
      <c r="E749" s="22" t="s">
        <v>30</v>
      </c>
      <c r="F749" s="22" t="s">
        <v>55</v>
      </c>
      <c r="G749" s="22" t="s">
        <v>56</v>
      </c>
      <c r="H749" s="22" t="s">
        <v>154</v>
      </c>
      <c r="I749" s="22" t="s">
        <v>24</v>
      </c>
      <c r="J749" s="22" t="s">
        <v>116</v>
      </c>
      <c r="K749" s="22" t="s">
        <v>53</v>
      </c>
      <c r="L749" s="22">
        <v>2</v>
      </c>
      <c r="M749" s="22">
        <v>2800</v>
      </c>
      <c r="N749" s="22">
        <v>0.15</v>
      </c>
      <c r="O749" s="22">
        <v>4760</v>
      </c>
      <c r="P749" s="22">
        <v>3462.87</v>
      </c>
      <c r="Q749" s="22">
        <v>1297.13</v>
      </c>
      <c r="R749" s="22" t="s">
        <v>48</v>
      </c>
    </row>
    <row r="750" hidden="1" spans="1:18">
      <c r="A750" s="22" t="s">
        <v>884</v>
      </c>
      <c r="B750" s="23">
        <v>43671</v>
      </c>
      <c r="C750" s="24">
        <f t="shared" si="11"/>
        <v>7</v>
      </c>
      <c r="D750" s="22" t="s">
        <v>65</v>
      </c>
      <c r="E750" s="22" t="s">
        <v>30</v>
      </c>
      <c r="F750" s="22" t="s">
        <v>31</v>
      </c>
      <c r="G750" s="22" t="s">
        <v>172</v>
      </c>
      <c r="H750" s="22" t="s">
        <v>286</v>
      </c>
      <c r="I750" s="22" t="s">
        <v>24</v>
      </c>
      <c r="J750" s="22" t="s">
        <v>170</v>
      </c>
      <c r="K750" s="22" t="s">
        <v>26</v>
      </c>
      <c r="L750" s="22">
        <v>7</v>
      </c>
      <c r="M750" s="22">
        <v>1900</v>
      </c>
      <c r="N750" s="22">
        <v>0.15</v>
      </c>
      <c r="O750" s="22">
        <v>11305</v>
      </c>
      <c r="P750" s="22">
        <v>9432.4</v>
      </c>
      <c r="Q750" s="22">
        <v>1872.6</v>
      </c>
      <c r="R750" s="22" t="s">
        <v>27</v>
      </c>
    </row>
    <row r="751" hidden="1" spans="1:18">
      <c r="A751" s="22" t="s">
        <v>885</v>
      </c>
      <c r="B751" s="23">
        <v>43280</v>
      </c>
      <c r="C751" s="24">
        <f t="shared" si="11"/>
        <v>6</v>
      </c>
      <c r="D751" s="22" t="s">
        <v>29</v>
      </c>
      <c r="E751" s="22" t="s">
        <v>30</v>
      </c>
      <c r="F751" s="22" t="s">
        <v>60</v>
      </c>
      <c r="G751" s="22" t="s">
        <v>93</v>
      </c>
      <c r="H751" s="22" t="s">
        <v>94</v>
      </c>
      <c r="I751" s="22" t="s">
        <v>51</v>
      </c>
      <c r="J751" s="22" t="s">
        <v>73</v>
      </c>
      <c r="K751" s="22" t="s">
        <v>26</v>
      </c>
      <c r="L751" s="22">
        <v>4</v>
      </c>
      <c r="M751" s="22">
        <v>6300</v>
      </c>
      <c r="N751" s="22">
        <v>0.1</v>
      </c>
      <c r="O751" s="22">
        <v>22680</v>
      </c>
      <c r="P751" s="22">
        <v>17948.53</v>
      </c>
      <c r="Q751" s="22">
        <v>4731.47</v>
      </c>
      <c r="R751" s="22" t="s">
        <v>48</v>
      </c>
    </row>
    <row r="752" hidden="1" spans="1:18">
      <c r="A752" s="22" t="s">
        <v>886</v>
      </c>
      <c r="B752" s="23">
        <v>43333</v>
      </c>
      <c r="C752" s="24">
        <f t="shared" si="11"/>
        <v>8</v>
      </c>
      <c r="D752" s="22" t="s">
        <v>19</v>
      </c>
      <c r="E752" s="22" t="s">
        <v>20</v>
      </c>
      <c r="F752" s="22" t="s">
        <v>60</v>
      </c>
      <c r="G752" s="22" t="s">
        <v>61</v>
      </c>
      <c r="H752" s="22" t="s">
        <v>188</v>
      </c>
      <c r="I752" s="22" t="s">
        <v>24</v>
      </c>
      <c r="J752" s="22" t="s">
        <v>73</v>
      </c>
      <c r="K752" s="22" t="s">
        <v>47</v>
      </c>
      <c r="L752" s="22">
        <v>9</v>
      </c>
      <c r="M752" s="22">
        <v>20100</v>
      </c>
      <c r="N752" s="22">
        <v>0</v>
      </c>
      <c r="O752" s="22">
        <v>180900</v>
      </c>
      <c r="P752" s="22">
        <v>136891.04</v>
      </c>
      <c r="Q752" s="22">
        <v>44008.96</v>
      </c>
      <c r="R752" s="22" t="s">
        <v>58</v>
      </c>
    </row>
    <row r="753" spans="1:18">
      <c r="A753" s="22" t="s">
        <v>887</v>
      </c>
      <c r="B753" s="23">
        <v>43119</v>
      </c>
      <c r="C753" s="24">
        <f t="shared" si="11"/>
        <v>1</v>
      </c>
      <c r="D753" s="22" t="s">
        <v>90</v>
      </c>
      <c r="E753" s="22" t="s">
        <v>256</v>
      </c>
      <c r="F753" s="22" t="s">
        <v>96</v>
      </c>
      <c r="G753" s="22" t="s">
        <v>113</v>
      </c>
      <c r="H753" s="22" t="s">
        <v>119</v>
      </c>
      <c r="I753" s="22" t="s">
        <v>51</v>
      </c>
      <c r="J753" s="22" t="s">
        <v>116</v>
      </c>
      <c r="K753" s="22" t="s">
        <v>26</v>
      </c>
      <c r="L753" s="22">
        <v>5</v>
      </c>
      <c r="M753" s="22">
        <v>23300</v>
      </c>
      <c r="N753" s="22">
        <v>0.15</v>
      </c>
      <c r="O753" s="22">
        <v>99025</v>
      </c>
      <c r="P753" s="22">
        <v>73624.92</v>
      </c>
      <c r="Q753" s="22">
        <v>25400.08</v>
      </c>
      <c r="R753" s="22" t="s">
        <v>35</v>
      </c>
    </row>
    <row r="754" hidden="1" spans="1:18">
      <c r="A754" s="22" t="s">
        <v>888</v>
      </c>
      <c r="B754" s="23">
        <v>44028</v>
      </c>
      <c r="C754" s="24">
        <f t="shared" si="11"/>
        <v>7</v>
      </c>
      <c r="D754" s="22" t="s">
        <v>133</v>
      </c>
      <c r="E754" s="22" t="s">
        <v>213</v>
      </c>
      <c r="F754" s="22" t="s">
        <v>60</v>
      </c>
      <c r="G754" s="22" t="s">
        <v>61</v>
      </c>
      <c r="H754" s="22" t="s">
        <v>188</v>
      </c>
      <c r="I754" s="22" t="s">
        <v>45</v>
      </c>
      <c r="J754" s="22" t="s">
        <v>116</v>
      </c>
      <c r="K754" s="22" t="s">
        <v>26</v>
      </c>
      <c r="L754" s="22">
        <v>1</v>
      </c>
      <c r="M754" s="22">
        <v>3700</v>
      </c>
      <c r="N754" s="22">
        <v>0.2</v>
      </c>
      <c r="O754" s="22">
        <v>2960</v>
      </c>
      <c r="P754" s="22">
        <v>2180.26</v>
      </c>
      <c r="Q754" s="22">
        <v>779.74</v>
      </c>
      <c r="R754" s="22" t="s">
        <v>27</v>
      </c>
    </row>
    <row r="755" hidden="1" spans="1:18">
      <c r="A755" s="22" t="s">
        <v>889</v>
      </c>
      <c r="B755" s="23">
        <v>45687</v>
      </c>
      <c r="C755" s="24">
        <f t="shared" si="11"/>
        <v>1</v>
      </c>
      <c r="D755" s="22" t="s">
        <v>29</v>
      </c>
      <c r="E755" s="22" t="s">
        <v>30</v>
      </c>
      <c r="F755" s="22" t="s">
        <v>21</v>
      </c>
      <c r="G755" s="22" t="s">
        <v>70</v>
      </c>
      <c r="H755" s="22" t="s">
        <v>71</v>
      </c>
      <c r="I755" s="22" t="s">
        <v>45</v>
      </c>
      <c r="J755" s="22" t="s">
        <v>25</v>
      </c>
      <c r="K755" s="22" t="s">
        <v>26</v>
      </c>
      <c r="L755" s="22">
        <v>6</v>
      </c>
      <c r="M755" s="22">
        <v>8900</v>
      </c>
      <c r="N755" s="22">
        <v>0.1</v>
      </c>
      <c r="O755" s="22">
        <v>48060</v>
      </c>
      <c r="P755" s="22">
        <v>37603.94</v>
      </c>
      <c r="Q755" s="22">
        <v>10456.06</v>
      </c>
      <c r="R755" s="22" t="s">
        <v>77</v>
      </c>
    </row>
    <row r="756" hidden="1" spans="1:18">
      <c r="A756" s="22" t="s">
        <v>890</v>
      </c>
      <c r="B756" s="23">
        <v>43225</v>
      </c>
      <c r="C756" s="24">
        <f t="shared" si="11"/>
        <v>5</v>
      </c>
      <c r="D756" s="22" t="s">
        <v>133</v>
      </c>
      <c r="E756" s="22" t="s">
        <v>213</v>
      </c>
      <c r="F756" s="22" t="s">
        <v>60</v>
      </c>
      <c r="G756" s="22" t="s">
        <v>93</v>
      </c>
      <c r="H756" s="22" t="s">
        <v>181</v>
      </c>
      <c r="I756" s="22" t="s">
        <v>24</v>
      </c>
      <c r="J756" s="22" t="s">
        <v>73</v>
      </c>
      <c r="K756" s="22" t="s">
        <v>53</v>
      </c>
      <c r="L756" s="22">
        <v>10</v>
      </c>
      <c r="M756" s="22">
        <v>22700</v>
      </c>
      <c r="N756" s="22">
        <v>0</v>
      </c>
      <c r="O756" s="22">
        <v>227000</v>
      </c>
      <c r="P756" s="22">
        <v>176260.62</v>
      </c>
      <c r="Q756" s="22">
        <v>50739.38</v>
      </c>
      <c r="R756" s="22" t="s">
        <v>48</v>
      </c>
    </row>
    <row r="757" spans="1:18">
      <c r="A757" s="22" t="s">
        <v>891</v>
      </c>
      <c r="B757" s="23">
        <v>45744</v>
      </c>
      <c r="C757" s="24">
        <f t="shared" si="11"/>
        <v>3</v>
      </c>
      <c r="D757" s="22" t="s">
        <v>37</v>
      </c>
      <c r="E757" s="22" t="s">
        <v>256</v>
      </c>
      <c r="F757" s="22" t="s">
        <v>55</v>
      </c>
      <c r="G757" s="22" t="s">
        <v>109</v>
      </c>
      <c r="H757" s="22" t="s">
        <v>110</v>
      </c>
      <c r="I757" s="22" t="s">
        <v>24</v>
      </c>
      <c r="J757" s="22" t="s">
        <v>25</v>
      </c>
      <c r="K757" s="22" t="s">
        <v>53</v>
      </c>
      <c r="L757" s="22">
        <v>6</v>
      </c>
      <c r="M757" s="22">
        <v>28800</v>
      </c>
      <c r="N757" s="22">
        <v>0.1</v>
      </c>
      <c r="O757" s="22">
        <v>155520</v>
      </c>
      <c r="P757" s="22">
        <v>125189.36</v>
      </c>
      <c r="Q757" s="22">
        <v>30330.64</v>
      </c>
      <c r="R757" s="22" t="s">
        <v>35</v>
      </c>
    </row>
    <row r="758" spans="1:18">
      <c r="A758" s="22" t="s">
        <v>892</v>
      </c>
      <c r="B758" s="23">
        <v>44325</v>
      </c>
      <c r="C758" s="24">
        <f t="shared" si="11"/>
        <v>5</v>
      </c>
      <c r="D758" s="22" t="s">
        <v>121</v>
      </c>
      <c r="E758" s="22" t="s">
        <v>256</v>
      </c>
      <c r="F758" s="22" t="s">
        <v>21</v>
      </c>
      <c r="G758" s="22" t="s">
        <v>167</v>
      </c>
      <c r="H758" s="22" t="s">
        <v>206</v>
      </c>
      <c r="I758" s="22" t="s">
        <v>45</v>
      </c>
      <c r="J758" s="22" t="s">
        <v>88</v>
      </c>
      <c r="K758" s="22" t="s">
        <v>53</v>
      </c>
      <c r="L758" s="22">
        <v>2</v>
      </c>
      <c r="M758" s="22">
        <v>72000</v>
      </c>
      <c r="N758" s="22">
        <v>0.2</v>
      </c>
      <c r="O758" s="22">
        <v>115200</v>
      </c>
      <c r="P758" s="22">
        <v>85466.06</v>
      </c>
      <c r="Q758" s="22">
        <v>29733.94</v>
      </c>
      <c r="R758" s="22" t="s">
        <v>27</v>
      </c>
    </row>
    <row r="759" spans="1:18">
      <c r="A759" s="22" t="s">
        <v>893</v>
      </c>
      <c r="B759" s="23">
        <v>46064</v>
      </c>
      <c r="C759" s="24">
        <f t="shared" si="11"/>
        <v>2</v>
      </c>
      <c r="D759" s="22" t="s">
        <v>121</v>
      </c>
      <c r="E759" s="22" t="s">
        <v>256</v>
      </c>
      <c r="F759" s="22" t="s">
        <v>21</v>
      </c>
      <c r="G759" s="22" t="s">
        <v>122</v>
      </c>
      <c r="H759" s="22" t="s">
        <v>138</v>
      </c>
      <c r="I759" s="22" t="s">
        <v>24</v>
      </c>
      <c r="J759" s="22" t="s">
        <v>52</v>
      </c>
      <c r="K759" s="22" t="s">
        <v>53</v>
      </c>
      <c r="L759" s="22">
        <v>3</v>
      </c>
      <c r="M759" s="22">
        <v>76700</v>
      </c>
      <c r="N759" s="22">
        <v>0.1</v>
      </c>
      <c r="O759" s="22">
        <v>207090</v>
      </c>
      <c r="P759" s="22">
        <v>134825.48</v>
      </c>
      <c r="Q759" s="22">
        <v>72264.52</v>
      </c>
      <c r="R759" s="22" t="s">
        <v>27</v>
      </c>
    </row>
    <row r="760" spans="1:18">
      <c r="A760" s="22" t="s">
        <v>894</v>
      </c>
      <c r="B760" s="23">
        <v>45747</v>
      </c>
      <c r="C760" s="24">
        <f t="shared" si="11"/>
        <v>3</v>
      </c>
      <c r="D760" s="22" t="s">
        <v>79</v>
      </c>
      <c r="E760" s="22" t="s">
        <v>256</v>
      </c>
      <c r="F760" s="22" t="s">
        <v>55</v>
      </c>
      <c r="G760" s="22" t="s">
        <v>195</v>
      </c>
      <c r="H760" s="22" t="s">
        <v>209</v>
      </c>
      <c r="I760" s="22" t="s">
        <v>45</v>
      </c>
      <c r="J760" s="22" t="s">
        <v>170</v>
      </c>
      <c r="K760" s="22" t="s">
        <v>47</v>
      </c>
      <c r="L760" s="22">
        <v>8</v>
      </c>
      <c r="M760" s="22">
        <v>51200</v>
      </c>
      <c r="N760" s="22">
        <v>0</v>
      </c>
      <c r="O760" s="22">
        <v>409600</v>
      </c>
      <c r="P760" s="22">
        <v>320270.25</v>
      </c>
      <c r="Q760" s="22">
        <v>89329.75</v>
      </c>
      <c r="R760" s="22" t="s">
        <v>35</v>
      </c>
    </row>
    <row r="761" spans="1:18">
      <c r="A761" s="22" t="s">
        <v>895</v>
      </c>
      <c r="B761" s="23">
        <v>43168</v>
      </c>
      <c r="C761" s="24">
        <f t="shared" si="11"/>
        <v>3</v>
      </c>
      <c r="D761" s="22" t="s">
        <v>121</v>
      </c>
      <c r="E761" s="22" t="s">
        <v>256</v>
      </c>
      <c r="F761" s="22" t="s">
        <v>96</v>
      </c>
      <c r="G761" s="22" t="s">
        <v>113</v>
      </c>
      <c r="H761" s="22" t="s">
        <v>119</v>
      </c>
      <c r="I761" s="22" t="s">
        <v>45</v>
      </c>
      <c r="J761" s="22" t="s">
        <v>46</v>
      </c>
      <c r="K761" s="22" t="s">
        <v>53</v>
      </c>
      <c r="L761" s="22">
        <v>1</v>
      </c>
      <c r="M761" s="22">
        <v>60100</v>
      </c>
      <c r="N761" s="22">
        <v>0.05</v>
      </c>
      <c r="O761" s="22">
        <v>57095</v>
      </c>
      <c r="P761" s="22">
        <v>45640.49</v>
      </c>
      <c r="Q761" s="22">
        <v>11454.51</v>
      </c>
      <c r="R761" s="22" t="s">
        <v>58</v>
      </c>
    </row>
    <row r="762" hidden="1" spans="1:18">
      <c r="A762" s="22" t="s">
        <v>896</v>
      </c>
      <c r="B762" s="23">
        <v>44081</v>
      </c>
      <c r="C762" s="24">
        <f t="shared" si="11"/>
        <v>9</v>
      </c>
      <c r="D762" s="22" t="s">
        <v>29</v>
      </c>
      <c r="E762" s="22" t="s">
        <v>30</v>
      </c>
      <c r="F762" s="22" t="s">
        <v>60</v>
      </c>
      <c r="G762" s="22" t="s">
        <v>61</v>
      </c>
      <c r="H762" s="22" t="s">
        <v>101</v>
      </c>
      <c r="I762" s="22" t="s">
        <v>24</v>
      </c>
      <c r="J762" s="22" t="s">
        <v>25</v>
      </c>
      <c r="K762" s="22" t="s">
        <v>26</v>
      </c>
      <c r="L762" s="22">
        <v>6</v>
      </c>
      <c r="M762" s="22">
        <v>7200</v>
      </c>
      <c r="N762" s="22">
        <v>0</v>
      </c>
      <c r="O762" s="22">
        <v>43200</v>
      </c>
      <c r="P762" s="22">
        <v>27553.35</v>
      </c>
      <c r="Q762" s="22">
        <v>15646.65</v>
      </c>
      <c r="R762" s="22" t="s">
        <v>77</v>
      </c>
    </row>
    <row r="763" spans="1:18">
      <c r="A763" s="22" t="s">
        <v>897</v>
      </c>
      <c r="B763" s="23">
        <v>45714</v>
      </c>
      <c r="C763" s="24">
        <f t="shared" si="11"/>
        <v>2</v>
      </c>
      <c r="D763" s="22" t="s">
        <v>103</v>
      </c>
      <c r="E763" s="22" t="s">
        <v>256</v>
      </c>
      <c r="F763" s="22" t="s">
        <v>31</v>
      </c>
      <c r="G763" s="22" t="s">
        <v>32</v>
      </c>
      <c r="H763" s="22" t="s">
        <v>50</v>
      </c>
      <c r="I763" s="22" t="s">
        <v>51</v>
      </c>
      <c r="J763" s="22" t="s">
        <v>124</v>
      </c>
      <c r="K763" s="22" t="s">
        <v>47</v>
      </c>
      <c r="L763" s="22">
        <v>7</v>
      </c>
      <c r="M763" s="22">
        <v>104800</v>
      </c>
      <c r="N763" s="22">
        <v>0.1</v>
      </c>
      <c r="O763" s="22">
        <v>660240</v>
      </c>
      <c r="P763" s="22">
        <v>458553.17</v>
      </c>
      <c r="Q763" s="22">
        <v>201686.83</v>
      </c>
      <c r="R763" s="22" t="s">
        <v>27</v>
      </c>
    </row>
    <row r="764" hidden="1" spans="1:18">
      <c r="A764" s="22" t="s">
        <v>898</v>
      </c>
      <c r="B764" s="23">
        <v>46075</v>
      </c>
      <c r="C764" s="24">
        <f t="shared" si="11"/>
        <v>2</v>
      </c>
      <c r="D764" s="22" t="s">
        <v>103</v>
      </c>
      <c r="E764" s="22" t="s">
        <v>213</v>
      </c>
      <c r="F764" s="22" t="s">
        <v>21</v>
      </c>
      <c r="G764" s="22" t="s">
        <v>70</v>
      </c>
      <c r="H764" s="22" t="s">
        <v>83</v>
      </c>
      <c r="I764" s="22" t="s">
        <v>51</v>
      </c>
      <c r="J764" s="22" t="s">
        <v>170</v>
      </c>
      <c r="K764" s="22" t="s">
        <v>53</v>
      </c>
      <c r="L764" s="22">
        <v>3</v>
      </c>
      <c r="M764" s="22">
        <v>16700</v>
      </c>
      <c r="N764" s="22">
        <v>0.1</v>
      </c>
      <c r="O764" s="22">
        <v>45090</v>
      </c>
      <c r="P764" s="22">
        <v>32294.2</v>
      </c>
      <c r="Q764" s="22">
        <v>12795.8</v>
      </c>
      <c r="R764" s="22" t="s">
        <v>77</v>
      </c>
    </row>
    <row r="765" hidden="1" spans="1:18">
      <c r="A765" s="22" t="s">
        <v>899</v>
      </c>
      <c r="B765" s="23">
        <v>43169</v>
      </c>
      <c r="C765" s="24">
        <f t="shared" si="11"/>
        <v>3</v>
      </c>
      <c r="D765" s="22" t="s">
        <v>65</v>
      </c>
      <c r="E765" s="22" t="s">
        <v>30</v>
      </c>
      <c r="F765" s="22" t="s">
        <v>21</v>
      </c>
      <c r="G765" s="22" t="s">
        <v>167</v>
      </c>
      <c r="H765" s="22" t="s">
        <v>206</v>
      </c>
      <c r="I765" s="22" t="s">
        <v>51</v>
      </c>
      <c r="J765" s="22" t="s">
        <v>63</v>
      </c>
      <c r="K765" s="22" t="s">
        <v>26</v>
      </c>
      <c r="L765" s="22">
        <v>5</v>
      </c>
      <c r="M765" s="22">
        <v>2000</v>
      </c>
      <c r="N765" s="22">
        <v>0.1</v>
      </c>
      <c r="O765" s="22">
        <v>9000</v>
      </c>
      <c r="P765" s="22">
        <v>6014.25</v>
      </c>
      <c r="Q765" s="22">
        <v>2985.75</v>
      </c>
      <c r="R765" s="22" t="s">
        <v>77</v>
      </c>
    </row>
    <row r="766" spans="1:18">
      <c r="A766" s="22" t="s">
        <v>900</v>
      </c>
      <c r="B766" s="23">
        <v>43762</v>
      </c>
      <c r="C766" s="24">
        <f t="shared" si="11"/>
        <v>10</v>
      </c>
      <c r="D766" s="22" t="s">
        <v>79</v>
      </c>
      <c r="E766" s="22" t="s">
        <v>256</v>
      </c>
      <c r="F766" s="22" t="s">
        <v>60</v>
      </c>
      <c r="G766" s="22" t="s">
        <v>86</v>
      </c>
      <c r="H766" s="22" t="s">
        <v>106</v>
      </c>
      <c r="I766" s="22" t="s">
        <v>24</v>
      </c>
      <c r="J766" s="22" t="s">
        <v>46</v>
      </c>
      <c r="K766" s="22" t="s">
        <v>47</v>
      </c>
      <c r="L766" s="22">
        <v>1</v>
      </c>
      <c r="M766" s="22">
        <v>17300</v>
      </c>
      <c r="N766" s="22">
        <v>0</v>
      </c>
      <c r="O766" s="22">
        <v>17300</v>
      </c>
      <c r="P766" s="22">
        <v>14480.05</v>
      </c>
      <c r="Q766" s="22">
        <v>2819.95</v>
      </c>
      <c r="R766" s="22" t="s">
        <v>27</v>
      </c>
    </row>
    <row r="767" hidden="1" spans="1:18">
      <c r="A767" s="22" t="s">
        <v>901</v>
      </c>
      <c r="B767" s="23">
        <v>44043</v>
      </c>
      <c r="C767" s="24">
        <f t="shared" si="11"/>
        <v>7</v>
      </c>
      <c r="D767" s="22" t="s">
        <v>29</v>
      </c>
      <c r="E767" s="22" t="s">
        <v>30</v>
      </c>
      <c r="F767" s="22" t="s">
        <v>31</v>
      </c>
      <c r="G767" s="22" t="s">
        <v>32</v>
      </c>
      <c r="H767" s="22" t="s">
        <v>226</v>
      </c>
      <c r="I767" s="22" t="s">
        <v>51</v>
      </c>
      <c r="J767" s="22" t="s">
        <v>88</v>
      </c>
      <c r="K767" s="22" t="s">
        <v>47</v>
      </c>
      <c r="L767" s="22">
        <v>3</v>
      </c>
      <c r="M767" s="22">
        <v>3600</v>
      </c>
      <c r="N767" s="22">
        <v>0.05</v>
      </c>
      <c r="O767" s="22">
        <v>10260</v>
      </c>
      <c r="P767" s="22">
        <v>7749.58</v>
      </c>
      <c r="Q767" s="22">
        <v>2510.42</v>
      </c>
      <c r="R767" s="22" t="s">
        <v>27</v>
      </c>
    </row>
    <row r="768" spans="1:18">
      <c r="A768" s="22" t="s">
        <v>902</v>
      </c>
      <c r="B768" s="23">
        <v>45716</v>
      </c>
      <c r="C768" s="24">
        <f t="shared" si="11"/>
        <v>2</v>
      </c>
      <c r="D768" s="22" t="s">
        <v>103</v>
      </c>
      <c r="E768" s="22" t="s">
        <v>256</v>
      </c>
      <c r="F768" s="22" t="s">
        <v>60</v>
      </c>
      <c r="G768" s="22" t="s">
        <v>93</v>
      </c>
      <c r="H768" s="22" t="s">
        <v>101</v>
      </c>
      <c r="I768" s="22" t="s">
        <v>24</v>
      </c>
      <c r="J768" s="22" t="s">
        <v>25</v>
      </c>
      <c r="K768" s="22" t="s">
        <v>53</v>
      </c>
      <c r="L768" s="22">
        <v>2</v>
      </c>
      <c r="M768" s="22">
        <v>24600</v>
      </c>
      <c r="N768" s="22">
        <v>0.05</v>
      </c>
      <c r="O768" s="22">
        <v>46740</v>
      </c>
      <c r="P768" s="22">
        <v>36460.35</v>
      </c>
      <c r="Q768" s="22">
        <v>10279.65</v>
      </c>
      <c r="R768" s="22" t="s">
        <v>77</v>
      </c>
    </row>
    <row r="769" spans="1:18">
      <c r="A769" s="22" t="s">
        <v>903</v>
      </c>
      <c r="B769" s="23">
        <v>45692</v>
      </c>
      <c r="C769" s="24">
        <f t="shared" si="11"/>
        <v>2</v>
      </c>
      <c r="D769" s="22" t="s">
        <v>79</v>
      </c>
      <c r="E769" s="22" t="s">
        <v>256</v>
      </c>
      <c r="F769" s="22" t="s">
        <v>55</v>
      </c>
      <c r="G769" s="22" t="s">
        <v>56</v>
      </c>
      <c r="H769" s="22" t="s">
        <v>154</v>
      </c>
      <c r="I769" s="22" t="s">
        <v>45</v>
      </c>
      <c r="J769" s="22" t="s">
        <v>88</v>
      </c>
      <c r="K769" s="22" t="s">
        <v>26</v>
      </c>
      <c r="L769" s="22">
        <v>4</v>
      </c>
      <c r="M769" s="22">
        <v>39800</v>
      </c>
      <c r="N769" s="22">
        <v>0</v>
      </c>
      <c r="O769" s="22">
        <v>159200</v>
      </c>
      <c r="P769" s="22">
        <v>129404.65</v>
      </c>
      <c r="Q769" s="22">
        <v>29795.35</v>
      </c>
      <c r="R769" s="22" t="s">
        <v>27</v>
      </c>
    </row>
    <row r="770" hidden="1" spans="1:18">
      <c r="A770" s="22" t="s">
        <v>904</v>
      </c>
      <c r="B770" s="23">
        <v>45743</v>
      </c>
      <c r="C770" s="24">
        <f t="shared" ref="C770:C833" si="12">MONTH(B770)</f>
        <v>3</v>
      </c>
      <c r="D770" s="22" t="s">
        <v>29</v>
      </c>
      <c r="E770" s="22" t="s">
        <v>30</v>
      </c>
      <c r="F770" s="22" t="s">
        <v>60</v>
      </c>
      <c r="G770" s="22" t="s">
        <v>141</v>
      </c>
      <c r="H770" s="22" t="s">
        <v>183</v>
      </c>
      <c r="I770" s="22" t="s">
        <v>51</v>
      </c>
      <c r="J770" s="22" t="s">
        <v>116</v>
      </c>
      <c r="K770" s="22" t="s">
        <v>26</v>
      </c>
      <c r="L770" s="22">
        <v>9</v>
      </c>
      <c r="M770" s="22">
        <v>7300</v>
      </c>
      <c r="N770" s="22">
        <v>0.05</v>
      </c>
      <c r="O770" s="22">
        <v>62415</v>
      </c>
      <c r="P770" s="22">
        <v>39620.6</v>
      </c>
      <c r="Q770" s="22">
        <v>22794.4</v>
      </c>
      <c r="R770" s="22" t="s">
        <v>27</v>
      </c>
    </row>
    <row r="771" hidden="1" spans="1:18">
      <c r="A771" s="22" t="s">
        <v>905</v>
      </c>
      <c r="B771" s="23">
        <v>43103</v>
      </c>
      <c r="C771" s="24">
        <f t="shared" si="12"/>
        <v>1</v>
      </c>
      <c r="D771" s="22" t="s">
        <v>19</v>
      </c>
      <c r="E771" s="22" t="s">
        <v>20</v>
      </c>
      <c r="F771" s="22" t="s">
        <v>31</v>
      </c>
      <c r="G771" s="22" t="s">
        <v>66</v>
      </c>
      <c r="H771" s="22" t="s">
        <v>316</v>
      </c>
      <c r="I771" s="22" t="s">
        <v>45</v>
      </c>
      <c r="J771" s="22" t="s">
        <v>34</v>
      </c>
      <c r="K771" s="22" t="s">
        <v>47</v>
      </c>
      <c r="L771" s="22">
        <v>4</v>
      </c>
      <c r="M771" s="22">
        <v>8600</v>
      </c>
      <c r="N771" s="22">
        <v>0.1</v>
      </c>
      <c r="O771" s="22">
        <v>30960</v>
      </c>
      <c r="P771" s="22">
        <v>20898.56</v>
      </c>
      <c r="Q771" s="22">
        <v>10061.44</v>
      </c>
      <c r="R771" s="22" t="s">
        <v>35</v>
      </c>
    </row>
    <row r="772" spans="1:18">
      <c r="A772" s="22" t="s">
        <v>906</v>
      </c>
      <c r="B772" s="23">
        <v>43777</v>
      </c>
      <c r="C772" s="24">
        <f t="shared" si="12"/>
        <v>11</v>
      </c>
      <c r="D772" s="22" t="s">
        <v>37</v>
      </c>
      <c r="E772" s="22" t="s">
        <v>256</v>
      </c>
      <c r="F772" s="22" t="s">
        <v>96</v>
      </c>
      <c r="G772" s="22" t="s">
        <v>113</v>
      </c>
      <c r="H772" s="22" t="s">
        <v>126</v>
      </c>
      <c r="I772" s="22" t="s">
        <v>24</v>
      </c>
      <c r="J772" s="22" t="s">
        <v>124</v>
      </c>
      <c r="K772" s="22" t="s">
        <v>53</v>
      </c>
      <c r="L772" s="22">
        <v>7</v>
      </c>
      <c r="M772" s="22">
        <v>10400</v>
      </c>
      <c r="N772" s="22">
        <v>0</v>
      </c>
      <c r="O772" s="22">
        <v>72800</v>
      </c>
      <c r="P772" s="22">
        <v>45283.36</v>
      </c>
      <c r="Q772" s="22">
        <v>27516.64</v>
      </c>
      <c r="R772" s="22" t="s">
        <v>35</v>
      </c>
    </row>
    <row r="773" spans="1:18">
      <c r="A773" s="22" t="s">
        <v>907</v>
      </c>
      <c r="B773" s="23">
        <v>44001</v>
      </c>
      <c r="C773" s="24">
        <f t="shared" si="12"/>
        <v>6</v>
      </c>
      <c r="D773" s="22" t="s">
        <v>42</v>
      </c>
      <c r="E773" s="22" t="s">
        <v>256</v>
      </c>
      <c r="F773" s="22" t="s">
        <v>60</v>
      </c>
      <c r="G773" s="22" t="s">
        <v>93</v>
      </c>
      <c r="H773" s="22" t="s">
        <v>94</v>
      </c>
      <c r="I773" s="22" t="s">
        <v>24</v>
      </c>
      <c r="J773" s="22" t="s">
        <v>170</v>
      </c>
      <c r="K773" s="22" t="s">
        <v>26</v>
      </c>
      <c r="L773" s="22">
        <v>8</v>
      </c>
      <c r="M773" s="22">
        <v>98800</v>
      </c>
      <c r="N773" s="22">
        <v>0.1</v>
      </c>
      <c r="O773" s="22">
        <v>711360</v>
      </c>
      <c r="P773" s="22">
        <v>492496.11</v>
      </c>
      <c r="Q773" s="22">
        <v>218863.89</v>
      </c>
      <c r="R773" s="22" t="s">
        <v>27</v>
      </c>
    </row>
    <row r="774" spans="1:18">
      <c r="A774" s="22" t="s">
        <v>908</v>
      </c>
      <c r="B774" s="23">
        <v>45661</v>
      </c>
      <c r="C774" s="24">
        <f t="shared" si="12"/>
        <v>1</v>
      </c>
      <c r="D774" s="22" t="s">
        <v>37</v>
      </c>
      <c r="E774" s="22" t="s">
        <v>256</v>
      </c>
      <c r="F774" s="22" t="s">
        <v>31</v>
      </c>
      <c r="G774" s="22" t="s">
        <v>66</v>
      </c>
      <c r="H774" s="22" t="s">
        <v>67</v>
      </c>
      <c r="I774" s="22" t="s">
        <v>45</v>
      </c>
      <c r="J774" s="22" t="s">
        <v>34</v>
      </c>
      <c r="K774" s="22" t="s">
        <v>53</v>
      </c>
      <c r="L774" s="22">
        <v>1</v>
      </c>
      <c r="M774" s="22">
        <v>22300</v>
      </c>
      <c r="N774" s="22">
        <v>0.1</v>
      </c>
      <c r="O774" s="22">
        <v>20070</v>
      </c>
      <c r="P774" s="22">
        <v>14625.3</v>
      </c>
      <c r="Q774" s="22">
        <v>5444.7</v>
      </c>
      <c r="R774" s="22" t="s">
        <v>27</v>
      </c>
    </row>
    <row r="775" spans="1:18">
      <c r="A775" s="22" t="s">
        <v>909</v>
      </c>
      <c r="B775" s="23">
        <v>43286</v>
      </c>
      <c r="C775" s="24">
        <f t="shared" si="12"/>
        <v>7</v>
      </c>
      <c r="D775" s="22" t="s">
        <v>79</v>
      </c>
      <c r="E775" s="22" t="s">
        <v>256</v>
      </c>
      <c r="F775" s="22" t="s">
        <v>60</v>
      </c>
      <c r="G775" s="22" t="s">
        <v>93</v>
      </c>
      <c r="H775" s="22" t="s">
        <v>181</v>
      </c>
      <c r="I775" s="22" t="s">
        <v>24</v>
      </c>
      <c r="J775" s="22" t="s">
        <v>124</v>
      </c>
      <c r="K775" s="22" t="s">
        <v>47</v>
      </c>
      <c r="L775" s="22">
        <v>3</v>
      </c>
      <c r="M775" s="22">
        <v>41500</v>
      </c>
      <c r="N775" s="22">
        <v>0.05</v>
      </c>
      <c r="O775" s="22">
        <v>118275</v>
      </c>
      <c r="P775" s="22">
        <v>95415.86</v>
      </c>
      <c r="Q775" s="22">
        <v>22859.14</v>
      </c>
      <c r="R775" s="22" t="s">
        <v>77</v>
      </c>
    </row>
    <row r="776" hidden="1" spans="1:18">
      <c r="A776" s="22" t="s">
        <v>910</v>
      </c>
      <c r="B776" s="23">
        <v>44584</v>
      </c>
      <c r="C776" s="24">
        <f t="shared" si="12"/>
        <v>1</v>
      </c>
      <c r="D776" s="22" t="s">
        <v>69</v>
      </c>
      <c r="E776" s="22" t="s">
        <v>213</v>
      </c>
      <c r="F776" s="22" t="s">
        <v>31</v>
      </c>
      <c r="G776" s="22" t="s">
        <v>172</v>
      </c>
      <c r="H776" s="22" t="s">
        <v>173</v>
      </c>
      <c r="I776" s="22" t="s">
        <v>45</v>
      </c>
      <c r="J776" s="22" t="s">
        <v>116</v>
      </c>
      <c r="K776" s="22" t="s">
        <v>47</v>
      </c>
      <c r="L776" s="22">
        <v>3</v>
      </c>
      <c r="M776" s="22">
        <v>8600</v>
      </c>
      <c r="N776" s="22">
        <v>0.15</v>
      </c>
      <c r="O776" s="22">
        <v>21930</v>
      </c>
      <c r="P776" s="22">
        <v>13809.58</v>
      </c>
      <c r="Q776" s="22">
        <v>8120.42</v>
      </c>
      <c r="R776" s="22" t="s">
        <v>77</v>
      </c>
    </row>
    <row r="777" hidden="1" spans="1:18">
      <c r="A777" s="22" t="s">
        <v>911</v>
      </c>
      <c r="B777" s="23">
        <v>43238</v>
      </c>
      <c r="C777" s="24">
        <f t="shared" si="12"/>
        <v>5</v>
      </c>
      <c r="D777" s="22" t="s">
        <v>19</v>
      </c>
      <c r="E777" s="22" t="s">
        <v>20</v>
      </c>
      <c r="F777" s="22" t="s">
        <v>21</v>
      </c>
      <c r="G777" s="22" t="s">
        <v>70</v>
      </c>
      <c r="H777" s="22" t="s">
        <v>163</v>
      </c>
      <c r="I777" s="22" t="s">
        <v>51</v>
      </c>
      <c r="J777" s="22" t="s">
        <v>25</v>
      </c>
      <c r="K777" s="22" t="s">
        <v>47</v>
      </c>
      <c r="L777" s="22">
        <v>1</v>
      </c>
      <c r="M777" s="22">
        <v>21000</v>
      </c>
      <c r="N777" s="22">
        <v>0.1</v>
      </c>
      <c r="O777" s="22">
        <v>18900</v>
      </c>
      <c r="P777" s="22">
        <v>14915.42</v>
      </c>
      <c r="Q777" s="22">
        <v>3984.58</v>
      </c>
      <c r="R777" s="22" t="s">
        <v>48</v>
      </c>
    </row>
    <row r="778" spans="1:18">
      <c r="A778" s="22" t="s">
        <v>912</v>
      </c>
      <c r="B778" s="23">
        <v>44186</v>
      </c>
      <c r="C778" s="24">
        <f t="shared" si="12"/>
        <v>12</v>
      </c>
      <c r="D778" s="22" t="s">
        <v>37</v>
      </c>
      <c r="E778" s="22" t="s">
        <v>256</v>
      </c>
      <c r="F778" s="22" t="s">
        <v>60</v>
      </c>
      <c r="G778" s="22" t="s">
        <v>93</v>
      </c>
      <c r="H778" s="22" t="s">
        <v>181</v>
      </c>
      <c r="I778" s="22" t="s">
        <v>24</v>
      </c>
      <c r="J778" s="22" t="s">
        <v>170</v>
      </c>
      <c r="K778" s="22" t="s">
        <v>26</v>
      </c>
      <c r="L778" s="22">
        <v>6</v>
      </c>
      <c r="M778" s="22">
        <v>11100</v>
      </c>
      <c r="N778" s="22">
        <v>0.2</v>
      </c>
      <c r="O778" s="22">
        <v>53280</v>
      </c>
      <c r="P778" s="22">
        <v>36089.03</v>
      </c>
      <c r="Q778" s="22">
        <v>17190.97</v>
      </c>
      <c r="R778" s="22" t="s">
        <v>27</v>
      </c>
    </row>
    <row r="779" spans="1:18">
      <c r="A779" s="22" t="s">
        <v>913</v>
      </c>
      <c r="B779" s="23">
        <v>44319</v>
      </c>
      <c r="C779" s="24">
        <f t="shared" si="12"/>
        <v>5</v>
      </c>
      <c r="D779" s="22" t="s">
        <v>121</v>
      </c>
      <c r="E779" s="22" t="s">
        <v>256</v>
      </c>
      <c r="F779" s="22" t="s">
        <v>55</v>
      </c>
      <c r="G779" s="22" t="s">
        <v>80</v>
      </c>
      <c r="H779" s="22" t="s">
        <v>160</v>
      </c>
      <c r="I779" s="22" t="s">
        <v>45</v>
      </c>
      <c r="J779" s="22" t="s">
        <v>25</v>
      </c>
      <c r="K779" s="22" t="s">
        <v>26</v>
      </c>
      <c r="L779" s="22">
        <v>7</v>
      </c>
      <c r="M779" s="22">
        <v>78900</v>
      </c>
      <c r="N779" s="22">
        <v>0.05</v>
      </c>
      <c r="O779" s="22">
        <v>524685</v>
      </c>
      <c r="P779" s="22">
        <v>355606.25</v>
      </c>
      <c r="Q779" s="22">
        <v>169078.75</v>
      </c>
      <c r="R779" s="22" t="s">
        <v>27</v>
      </c>
    </row>
    <row r="780" spans="1:18">
      <c r="A780" s="22" t="s">
        <v>914</v>
      </c>
      <c r="B780" s="23">
        <v>45686</v>
      </c>
      <c r="C780" s="24">
        <f t="shared" si="12"/>
        <v>1</v>
      </c>
      <c r="D780" s="22" t="s">
        <v>42</v>
      </c>
      <c r="E780" s="22" t="s">
        <v>256</v>
      </c>
      <c r="F780" s="22" t="s">
        <v>31</v>
      </c>
      <c r="G780" s="22" t="s">
        <v>43</v>
      </c>
      <c r="H780" s="22" t="s">
        <v>44</v>
      </c>
      <c r="I780" s="22" t="s">
        <v>51</v>
      </c>
      <c r="J780" s="22" t="s">
        <v>46</v>
      </c>
      <c r="K780" s="22" t="s">
        <v>53</v>
      </c>
      <c r="L780" s="22">
        <v>9</v>
      </c>
      <c r="M780" s="22">
        <v>40600</v>
      </c>
      <c r="N780" s="22">
        <v>0.05</v>
      </c>
      <c r="O780" s="22">
        <v>347130</v>
      </c>
      <c r="P780" s="22">
        <v>225978.54</v>
      </c>
      <c r="Q780" s="22">
        <v>121151.46</v>
      </c>
      <c r="R780" s="22" t="s">
        <v>35</v>
      </c>
    </row>
    <row r="781" hidden="1" spans="1:18">
      <c r="A781" s="22" t="s">
        <v>915</v>
      </c>
      <c r="B781" s="23">
        <v>43264</v>
      </c>
      <c r="C781" s="24">
        <f t="shared" si="12"/>
        <v>6</v>
      </c>
      <c r="D781" s="22" t="s">
        <v>65</v>
      </c>
      <c r="E781" s="22" t="s">
        <v>30</v>
      </c>
      <c r="F781" s="22" t="s">
        <v>31</v>
      </c>
      <c r="G781" s="22" t="s">
        <v>32</v>
      </c>
      <c r="H781" s="22" t="s">
        <v>226</v>
      </c>
      <c r="I781" s="22" t="s">
        <v>51</v>
      </c>
      <c r="J781" s="22" t="s">
        <v>170</v>
      </c>
      <c r="K781" s="22" t="s">
        <v>26</v>
      </c>
      <c r="L781" s="22">
        <v>7</v>
      </c>
      <c r="M781" s="22">
        <v>700</v>
      </c>
      <c r="N781" s="22">
        <v>0.1</v>
      </c>
      <c r="O781" s="22">
        <v>4410</v>
      </c>
      <c r="P781" s="22">
        <v>3495.54</v>
      </c>
      <c r="Q781" s="22">
        <v>914.46</v>
      </c>
      <c r="R781" s="22" t="s">
        <v>77</v>
      </c>
    </row>
    <row r="782" spans="1:18">
      <c r="A782" s="22" t="s">
        <v>916</v>
      </c>
      <c r="B782" s="23">
        <v>43314</v>
      </c>
      <c r="C782" s="24">
        <f t="shared" si="12"/>
        <v>8</v>
      </c>
      <c r="D782" s="22" t="s">
        <v>79</v>
      </c>
      <c r="E782" s="22" t="s">
        <v>256</v>
      </c>
      <c r="F782" s="22" t="s">
        <v>31</v>
      </c>
      <c r="G782" s="22" t="s">
        <v>43</v>
      </c>
      <c r="H782" s="22" t="s">
        <v>258</v>
      </c>
      <c r="I782" s="22" t="s">
        <v>24</v>
      </c>
      <c r="J782" s="22" t="s">
        <v>46</v>
      </c>
      <c r="K782" s="22" t="s">
        <v>47</v>
      </c>
      <c r="L782" s="22">
        <v>4</v>
      </c>
      <c r="M782" s="22">
        <v>33900</v>
      </c>
      <c r="N782" s="22">
        <v>0</v>
      </c>
      <c r="O782" s="22">
        <v>135600</v>
      </c>
      <c r="P782" s="22">
        <v>98047.14</v>
      </c>
      <c r="Q782" s="22">
        <v>37552.86</v>
      </c>
      <c r="R782" s="22" t="s">
        <v>27</v>
      </c>
    </row>
    <row r="783" hidden="1" spans="1:18">
      <c r="A783" s="22" t="s">
        <v>917</v>
      </c>
      <c r="B783" s="23">
        <v>44041</v>
      </c>
      <c r="C783" s="24">
        <f t="shared" si="12"/>
        <v>7</v>
      </c>
      <c r="D783" s="22" t="s">
        <v>65</v>
      </c>
      <c r="E783" s="22" t="s">
        <v>30</v>
      </c>
      <c r="F783" s="22" t="s">
        <v>21</v>
      </c>
      <c r="G783" s="22" t="s">
        <v>167</v>
      </c>
      <c r="H783" s="22" t="s">
        <v>168</v>
      </c>
      <c r="I783" s="22" t="s">
        <v>45</v>
      </c>
      <c r="J783" s="22" t="s">
        <v>88</v>
      </c>
      <c r="K783" s="22" t="s">
        <v>47</v>
      </c>
      <c r="L783" s="22">
        <v>3</v>
      </c>
      <c r="M783" s="22">
        <v>1100</v>
      </c>
      <c r="N783" s="22">
        <v>0</v>
      </c>
      <c r="O783" s="22">
        <v>3300</v>
      </c>
      <c r="P783" s="22">
        <v>2072.06</v>
      </c>
      <c r="Q783" s="22">
        <v>1227.94</v>
      </c>
      <c r="R783" s="22" t="s">
        <v>58</v>
      </c>
    </row>
    <row r="784" hidden="1" spans="1:18">
      <c r="A784" s="22" t="s">
        <v>918</v>
      </c>
      <c r="B784" s="23">
        <v>43221</v>
      </c>
      <c r="C784" s="24">
        <f t="shared" si="12"/>
        <v>5</v>
      </c>
      <c r="D784" s="22" t="s">
        <v>29</v>
      </c>
      <c r="E784" s="22" t="s">
        <v>30</v>
      </c>
      <c r="F784" s="22" t="s">
        <v>96</v>
      </c>
      <c r="G784" s="22" t="s">
        <v>97</v>
      </c>
      <c r="H784" s="22" t="s">
        <v>98</v>
      </c>
      <c r="I784" s="22" t="s">
        <v>24</v>
      </c>
      <c r="J784" s="22" t="s">
        <v>63</v>
      </c>
      <c r="K784" s="22" t="s">
        <v>47</v>
      </c>
      <c r="L784" s="22">
        <v>8</v>
      </c>
      <c r="M784" s="22">
        <v>4400</v>
      </c>
      <c r="N784" s="22">
        <v>0.05</v>
      </c>
      <c r="O784" s="22">
        <v>33440</v>
      </c>
      <c r="P784" s="22">
        <v>23109.57</v>
      </c>
      <c r="Q784" s="22">
        <v>10330.43</v>
      </c>
      <c r="R784" s="22" t="s">
        <v>27</v>
      </c>
    </row>
    <row r="785" hidden="1" spans="1:18">
      <c r="A785" s="22" t="s">
        <v>919</v>
      </c>
      <c r="B785" s="23">
        <v>45752</v>
      </c>
      <c r="C785" s="24">
        <f t="shared" si="12"/>
        <v>4</v>
      </c>
      <c r="D785" s="22" t="s">
        <v>69</v>
      </c>
      <c r="E785" s="22" t="s">
        <v>30</v>
      </c>
      <c r="F785" s="22" t="s">
        <v>96</v>
      </c>
      <c r="G785" s="22" t="s">
        <v>113</v>
      </c>
      <c r="H785" s="22" t="s">
        <v>114</v>
      </c>
      <c r="I785" s="22" t="s">
        <v>45</v>
      </c>
      <c r="J785" s="22" t="s">
        <v>99</v>
      </c>
      <c r="K785" s="22" t="s">
        <v>26</v>
      </c>
      <c r="L785" s="22">
        <v>2</v>
      </c>
      <c r="M785" s="22">
        <v>1900</v>
      </c>
      <c r="N785" s="22">
        <v>0.2</v>
      </c>
      <c r="O785" s="22">
        <v>3040</v>
      </c>
      <c r="P785" s="22">
        <v>2304.4</v>
      </c>
      <c r="Q785" s="22">
        <v>735.6</v>
      </c>
      <c r="R785" s="22" t="s">
        <v>58</v>
      </c>
    </row>
    <row r="786" hidden="1" spans="1:18">
      <c r="A786" s="22" t="s">
        <v>920</v>
      </c>
      <c r="B786" s="23">
        <v>43719</v>
      </c>
      <c r="C786" s="24">
        <f t="shared" si="12"/>
        <v>9</v>
      </c>
      <c r="D786" s="22" t="s">
        <v>29</v>
      </c>
      <c r="E786" s="22" t="s">
        <v>30</v>
      </c>
      <c r="F786" s="22" t="s">
        <v>31</v>
      </c>
      <c r="G786" s="22" t="s">
        <v>43</v>
      </c>
      <c r="H786" s="22" t="s">
        <v>258</v>
      </c>
      <c r="I786" s="22" t="s">
        <v>24</v>
      </c>
      <c r="J786" s="22" t="s">
        <v>170</v>
      </c>
      <c r="K786" s="22" t="s">
        <v>26</v>
      </c>
      <c r="L786" s="22">
        <v>1</v>
      </c>
      <c r="M786" s="22">
        <v>11100</v>
      </c>
      <c r="N786" s="22">
        <v>0.1</v>
      </c>
      <c r="O786" s="22">
        <v>9990</v>
      </c>
      <c r="P786" s="22">
        <v>6993.2</v>
      </c>
      <c r="Q786" s="22">
        <v>2996.8</v>
      </c>
      <c r="R786" s="22" t="s">
        <v>48</v>
      </c>
    </row>
    <row r="787" hidden="1" spans="1:18">
      <c r="A787" s="22" t="s">
        <v>921</v>
      </c>
      <c r="B787" s="23">
        <v>43968</v>
      </c>
      <c r="C787" s="24">
        <f t="shared" si="12"/>
        <v>5</v>
      </c>
      <c r="D787" s="22" t="s">
        <v>75</v>
      </c>
      <c r="E787" s="22" t="s">
        <v>20</v>
      </c>
      <c r="F787" s="22" t="s">
        <v>55</v>
      </c>
      <c r="G787" s="22" t="s">
        <v>56</v>
      </c>
      <c r="H787" s="22" t="s">
        <v>154</v>
      </c>
      <c r="I787" s="22" t="s">
        <v>51</v>
      </c>
      <c r="J787" s="22" t="s">
        <v>124</v>
      </c>
      <c r="K787" s="22" t="s">
        <v>26</v>
      </c>
      <c r="L787" s="22">
        <v>4</v>
      </c>
      <c r="M787" s="22">
        <v>10900</v>
      </c>
      <c r="N787" s="22">
        <v>0.1</v>
      </c>
      <c r="O787" s="22">
        <v>39240</v>
      </c>
      <c r="P787" s="22">
        <v>30995.4</v>
      </c>
      <c r="Q787" s="22">
        <v>8244.6</v>
      </c>
      <c r="R787" s="22" t="s">
        <v>35</v>
      </c>
    </row>
    <row r="788" spans="1:18">
      <c r="A788" s="22" t="s">
        <v>922</v>
      </c>
      <c r="B788" s="23">
        <v>44586</v>
      </c>
      <c r="C788" s="24">
        <f t="shared" si="12"/>
        <v>1</v>
      </c>
      <c r="D788" s="22" t="s">
        <v>69</v>
      </c>
      <c r="E788" s="22" t="s">
        <v>256</v>
      </c>
      <c r="F788" s="22" t="s">
        <v>21</v>
      </c>
      <c r="G788" s="22" t="s">
        <v>22</v>
      </c>
      <c r="H788" s="22" t="s">
        <v>215</v>
      </c>
      <c r="I788" s="22" t="s">
        <v>24</v>
      </c>
      <c r="J788" s="22" t="s">
        <v>116</v>
      </c>
      <c r="K788" s="22" t="s">
        <v>26</v>
      </c>
      <c r="L788" s="22">
        <v>9</v>
      </c>
      <c r="M788" s="22">
        <v>28800</v>
      </c>
      <c r="N788" s="22">
        <v>0.05</v>
      </c>
      <c r="O788" s="22">
        <v>246240</v>
      </c>
      <c r="P788" s="22">
        <v>197427.31</v>
      </c>
      <c r="Q788" s="22">
        <v>48812.69</v>
      </c>
      <c r="R788" s="22" t="s">
        <v>48</v>
      </c>
    </row>
    <row r="789" hidden="1" spans="1:18">
      <c r="A789" s="22" t="s">
        <v>923</v>
      </c>
      <c r="B789" s="23">
        <v>44221</v>
      </c>
      <c r="C789" s="24">
        <f t="shared" si="12"/>
        <v>1</v>
      </c>
      <c r="D789" s="22" t="s">
        <v>65</v>
      </c>
      <c r="E789" s="22" t="s">
        <v>30</v>
      </c>
      <c r="F789" s="22" t="s">
        <v>31</v>
      </c>
      <c r="G789" s="22" t="s">
        <v>172</v>
      </c>
      <c r="H789" s="22" t="s">
        <v>286</v>
      </c>
      <c r="I789" s="22" t="s">
        <v>45</v>
      </c>
      <c r="J789" s="22" t="s">
        <v>124</v>
      </c>
      <c r="K789" s="22" t="s">
        <v>53</v>
      </c>
      <c r="L789" s="22">
        <v>9</v>
      </c>
      <c r="M789" s="22">
        <v>2500</v>
      </c>
      <c r="N789" s="22">
        <v>0</v>
      </c>
      <c r="O789" s="22">
        <v>22500</v>
      </c>
      <c r="P789" s="22">
        <v>15293.34</v>
      </c>
      <c r="Q789" s="22">
        <v>7206.66</v>
      </c>
      <c r="R789" s="22" t="s">
        <v>48</v>
      </c>
    </row>
    <row r="790" spans="1:18">
      <c r="A790" s="22" t="s">
        <v>924</v>
      </c>
      <c r="B790" s="23">
        <v>44939</v>
      </c>
      <c r="C790" s="24">
        <f t="shared" si="12"/>
        <v>1</v>
      </c>
      <c r="D790" s="22" t="s">
        <v>121</v>
      </c>
      <c r="E790" s="22" t="s">
        <v>256</v>
      </c>
      <c r="F790" s="22" t="s">
        <v>60</v>
      </c>
      <c r="G790" s="22" t="s">
        <v>86</v>
      </c>
      <c r="H790" s="22" t="s">
        <v>104</v>
      </c>
      <c r="I790" s="22" t="s">
        <v>24</v>
      </c>
      <c r="J790" s="22" t="s">
        <v>25</v>
      </c>
      <c r="K790" s="22" t="s">
        <v>47</v>
      </c>
      <c r="L790" s="22">
        <v>2</v>
      </c>
      <c r="M790" s="22">
        <v>90500</v>
      </c>
      <c r="N790" s="22">
        <v>0</v>
      </c>
      <c r="O790" s="22">
        <v>181000</v>
      </c>
      <c r="P790" s="22">
        <v>141851.12</v>
      </c>
      <c r="Q790" s="22">
        <v>39148.88</v>
      </c>
      <c r="R790" s="22" t="s">
        <v>77</v>
      </c>
    </row>
    <row r="791" spans="1:18">
      <c r="A791" s="22" t="s">
        <v>925</v>
      </c>
      <c r="B791" s="23">
        <v>43816</v>
      </c>
      <c r="C791" s="24">
        <f t="shared" si="12"/>
        <v>12</v>
      </c>
      <c r="D791" s="22" t="s">
        <v>79</v>
      </c>
      <c r="E791" s="22" t="s">
        <v>256</v>
      </c>
      <c r="F791" s="22" t="s">
        <v>60</v>
      </c>
      <c r="G791" s="22" t="s">
        <v>86</v>
      </c>
      <c r="H791" s="22" t="s">
        <v>106</v>
      </c>
      <c r="I791" s="22" t="s">
        <v>51</v>
      </c>
      <c r="J791" s="22" t="s">
        <v>46</v>
      </c>
      <c r="K791" s="22" t="s">
        <v>26</v>
      </c>
      <c r="L791" s="22">
        <v>1</v>
      </c>
      <c r="M791" s="22">
        <v>36500</v>
      </c>
      <c r="N791" s="22">
        <v>0</v>
      </c>
      <c r="O791" s="22">
        <v>36500</v>
      </c>
      <c r="P791" s="22">
        <v>27791.47</v>
      </c>
      <c r="Q791" s="22">
        <v>8708.53</v>
      </c>
      <c r="R791" s="22" t="s">
        <v>77</v>
      </c>
    </row>
    <row r="792" spans="1:18">
      <c r="A792" s="22" t="s">
        <v>926</v>
      </c>
      <c r="B792" s="23">
        <v>44105</v>
      </c>
      <c r="C792" s="24">
        <f t="shared" si="12"/>
        <v>10</v>
      </c>
      <c r="D792" s="22" t="s">
        <v>37</v>
      </c>
      <c r="E792" s="22" t="s">
        <v>256</v>
      </c>
      <c r="F792" s="22" t="s">
        <v>21</v>
      </c>
      <c r="G792" s="22" t="s">
        <v>122</v>
      </c>
      <c r="H792" s="22" t="s">
        <v>156</v>
      </c>
      <c r="I792" s="22" t="s">
        <v>24</v>
      </c>
      <c r="J792" s="22" t="s">
        <v>99</v>
      </c>
      <c r="K792" s="22" t="s">
        <v>53</v>
      </c>
      <c r="L792" s="22">
        <v>8</v>
      </c>
      <c r="M792" s="22">
        <v>9400</v>
      </c>
      <c r="N792" s="22">
        <v>0.05</v>
      </c>
      <c r="O792" s="22">
        <v>71440</v>
      </c>
      <c r="P792" s="22">
        <v>49532.28</v>
      </c>
      <c r="Q792" s="22">
        <v>21907.72</v>
      </c>
      <c r="R792" s="22" t="s">
        <v>35</v>
      </c>
    </row>
    <row r="793" spans="1:18">
      <c r="A793" s="22" t="s">
        <v>927</v>
      </c>
      <c r="B793" s="23">
        <v>45732</v>
      </c>
      <c r="C793" s="24">
        <f t="shared" si="12"/>
        <v>3</v>
      </c>
      <c r="D793" s="22" t="s">
        <v>103</v>
      </c>
      <c r="E793" s="22" t="s">
        <v>256</v>
      </c>
      <c r="F793" s="22" t="s">
        <v>31</v>
      </c>
      <c r="G793" s="22" t="s">
        <v>43</v>
      </c>
      <c r="H793" s="22" t="s">
        <v>44</v>
      </c>
      <c r="I793" s="22" t="s">
        <v>51</v>
      </c>
      <c r="J793" s="22" t="s">
        <v>52</v>
      </c>
      <c r="K793" s="22" t="s">
        <v>47</v>
      </c>
      <c r="L793" s="22">
        <v>7</v>
      </c>
      <c r="M793" s="22">
        <v>16300</v>
      </c>
      <c r="N793" s="22">
        <v>0.1</v>
      </c>
      <c r="O793" s="22">
        <v>102690</v>
      </c>
      <c r="P793" s="22">
        <v>80169.22</v>
      </c>
      <c r="Q793" s="22">
        <v>22520.78</v>
      </c>
      <c r="R793" s="22" t="s">
        <v>58</v>
      </c>
    </row>
    <row r="794" spans="1:18">
      <c r="A794" s="22" t="s">
        <v>928</v>
      </c>
      <c r="B794" s="23">
        <v>43731</v>
      </c>
      <c r="C794" s="24">
        <f t="shared" si="12"/>
        <v>9</v>
      </c>
      <c r="D794" s="22" t="s">
        <v>37</v>
      </c>
      <c r="E794" s="22" t="s">
        <v>256</v>
      </c>
      <c r="F794" s="22" t="s">
        <v>55</v>
      </c>
      <c r="G794" s="22" t="s">
        <v>56</v>
      </c>
      <c r="H794" s="22" t="s">
        <v>57</v>
      </c>
      <c r="I794" s="22" t="s">
        <v>45</v>
      </c>
      <c r="J794" s="22" t="s">
        <v>124</v>
      </c>
      <c r="K794" s="22" t="s">
        <v>53</v>
      </c>
      <c r="L794" s="22">
        <v>4</v>
      </c>
      <c r="M794" s="22">
        <v>32200</v>
      </c>
      <c r="N794" s="22">
        <v>0.05</v>
      </c>
      <c r="O794" s="22">
        <v>122360</v>
      </c>
      <c r="P794" s="22">
        <v>90143.11</v>
      </c>
      <c r="Q794" s="22">
        <v>32216.89</v>
      </c>
      <c r="R794" s="22" t="s">
        <v>77</v>
      </c>
    </row>
    <row r="795" hidden="1" spans="1:18">
      <c r="A795" s="22" t="s">
        <v>929</v>
      </c>
      <c r="B795" s="23">
        <v>43808</v>
      </c>
      <c r="C795" s="24">
        <f t="shared" si="12"/>
        <v>12</v>
      </c>
      <c r="D795" s="22" t="s">
        <v>19</v>
      </c>
      <c r="E795" s="22" t="s">
        <v>20</v>
      </c>
      <c r="F795" s="22" t="s">
        <v>55</v>
      </c>
      <c r="G795" s="22" t="s">
        <v>80</v>
      </c>
      <c r="H795" s="22" t="s">
        <v>160</v>
      </c>
      <c r="I795" s="22" t="s">
        <v>51</v>
      </c>
      <c r="J795" s="22" t="s">
        <v>46</v>
      </c>
      <c r="K795" s="22" t="s">
        <v>53</v>
      </c>
      <c r="L795" s="22">
        <v>6</v>
      </c>
      <c r="M795" s="22">
        <v>9000</v>
      </c>
      <c r="N795" s="22">
        <v>0.05</v>
      </c>
      <c r="O795" s="22">
        <v>51300</v>
      </c>
      <c r="P795" s="22">
        <v>42115.14</v>
      </c>
      <c r="Q795" s="22">
        <v>9184.86</v>
      </c>
      <c r="R795" s="22" t="s">
        <v>58</v>
      </c>
    </row>
    <row r="796" hidden="1" spans="1:18">
      <c r="A796" s="22" t="s">
        <v>930</v>
      </c>
      <c r="B796" s="23">
        <v>43251</v>
      </c>
      <c r="C796" s="24">
        <f t="shared" si="12"/>
        <v>5</v>
      </c>
      <c r="D796" s="22" t="s">
        <v>19</v>
      </c>
      <c r="E796" s="22" t="s">
        <v>20</v>
      </c>
      <c r="F796" s="22" t="s">
        <v>31</v>
      </c>
      <c r="G796" s="22" t="s">
        <v>32</v>
      </c>
      <c r="H796" s="22" t="s">
        <v>50</v>
      </c>
      <c r="I796" s="22" t="s">
        <v>45</v>
      </c>
      <c r="J796" s="22" t="s">
        <v>40</v>
      </c>
      <c r="K796" s="22" t="s">
        <v>53</v>
      </c>
      <c r="L796" s="22">
        <v>9</v>
      </c>
      <c r="M796" s="22">
        <v>7000</v>
      </c>
      <c r="N796" s="22">
        <v>0.15</v>
      </c>
      <c r="O796" s="22">
        <v>53550</v>
      </c>
      <c r="P796" s="22">
        <v>40321.21</v>
      </c>
      <c r="Q796" s="22">
        <v>13228.79</v>
      </c>
      <c r="R796" s="22" t="s">
        <v>77</v>
      </c>
    </row>
    <row r="797" hidden="1" spans="1:18">
      <c r="A797" s="22" t="s">
        <v>931</v>
      </c>
      <c r="B797" s="23">
        <v>43293</v>
      </c>
      <c r="C797" s="24">
        <f t="shared" si="12"/>
        <v>7</v>
      </c>
      <c r="D797" s="22" t="s">
        <v>65</v>
      </c>
      <c r="E797" s="22" t="s">
        <v>30</v>
      </c>
      <c r="F797" s="22" t="s">
        <v>31</v>
      </c>
      <c r="G797" s="22" t="s">
        <v>43</v>
      </c>
      <c r="H797" s="22" t="s">
        <v>91</v>
      </c>
      <c r="I797" s="22" t="s">
        <v>45</v>
      </c>
      <c r="J797" s="22" t="s">
        <v>170</v>
      </c>
      <c r="K797" s="22" t="s">
        <v>26</v>
      </c>
      <c r="L797" s="22">
        <v>6</v>
      </c>
      <c r="M797" s="22">
        <v>2900</v>
      </c>
      <c r="N797" s="22">
        <v>0.1</v>
      </c>
      <c r="O797" s="22">
        <v>15660</v>
      </c>
      <c r="P797" s="22">
        <v>11115.66</v>
      </c>
      <c r="Q797" s="22">
        <v>4544.34</v>
      </c>
      <c r="R797" s="22" t="s">
        <v>58</v>
      </c>
    </row>
    <row r="798" hidden="1" spans="1:18">
      <c r="A798" s="22" t="s">
        <v>932</v>
      </c>
      <c r="B798" s="23">
        <v>43262</v>
      </c>
      <c r="C798" s="24">
        <f t="shared" si="12"/>
        <v>6</v>
      </c>
      <c r="D798" s="22" t="s">
        <v>85</v>
      </c>
      <c r="E798" s="22" t="s">
        <v>30</v>
      </c>
      <c r="F798" s="22" t="s">
        <v>31</v>
      </c>
      <c r="G798" s="22" t="s">
        <v>66</v>
      </c>
      <c r="H798" s="22" t="s">
        <v>316</v>
      </c>
      <c r="I798" s="22" t="s">
        <v>51</v>
      </c>
      <c r="J798" s="22" t="s">
        <v>34</v>
      </c>
      <c r="K798" s="22" t="s">
        <v>53</v>
      </c>
      <c r="L798" s="22">
        <v>5</v>
      </c>
      <c r="M798" s="22">
        <v>1300</v>
      </c>
      <c r="N798" s="22">
        <v>0.1</v>
      </c>
      <c r="O798" s="22">
        <v>5850</v>
      </c>
      <c r="P798" s="22">
        <v>3991.6</v>
      </c>
      <c r="Q798" s="22">
        <v>1858.4</v>
      </c>
      <c r="R798" s="22" t="s">
        <v>58</v>
      </c>
    </row>
    <row r="799" spans="1:18">
      <c r="A799" s="22" t="s">
        <v>933</v>
      </c>
      <c r="B799" s="23">
        <v>45718</v>
      </c>
      <c r="C799" s="24">
        <f t="shared" si="12"/>
        <v>3</v>
      </c>
      <c r="D799" s="22" t="s">
        <v>103</v>
      </c>
      <c r="E799" s="22" t="s">
        <v>256</v>
      </c>
      <c r="F799" s="22" t="s">
        <v>31</v>
      </c>
      <c r="G799" s="22" t="s">
        <v>172</v>
      </c>
      <c r="H799" s="22" t="s">
        <v>269</v>
      </c>
      <c r="I799" s="22" t="s">
        <v>24</v>
      </c>
      <c r="J799" s="22" t="s">
        <v>34</v>
      </c>
      <c r="K799" s="22" t="s">
        <v>47</v>
      </c>
      <c r="L799" s="22">
        <v>6</v>
      </c>
      <c r="M799" s="22">
        <v>93800</v>
      </c>
      <c r="N799" s="22">
        <v>0.05</v>
      </c>
      <c r="O799" s="22">
        <v>534660</v>
      </c>
      <c r="P799" s="22">
        <v>411646.14</v>
      </c>
      <c r="Q799" s="22">
        <v>123013.86</v>
      </c>
      <c r="R799" s="22" t="s">
        <v>58</v>
      </c>
    </row>
    <row r="800" hidden="1" spans="1:18">
      <c r="A800" s="22" t="s">
        <v>934</v>
      </c>
      <c r="B800" s="23">
        <v>45750</v>
      </c>
      <c r="C800" s="24">
        <f t="shared" si="12"/>
        <v>4</v>
      </c>
      <c r="D800" s="22" t="s">
        <v>69</v>
      </c>
      <c r="E800" s="22" t="s">
        <v>30</v>
      </c>
      <c r="F800" s="22" t="s">
        <v>31</v>
      </c>
      <c r="G800" s="22" t="s">
        <v>32</v>
      </c>
      <c r="H800" s="22" t="s">
        <v>50</v>
      </c>
      <c r="I800" s="22" t="s">
        <v>24</v>
      </c>
      <c r="J800" s="22" t="s">
        <v>52</v>
      </c>
      <c r="K800" s="22" t="s">
        <v>53</v>
      </c>
      <c r="L800" s="22">
        <v>10</v>
      </c>
      <c r="M800" s="22">
        <v>2500</v>
      </c>
      <c r="N800" s="22">
        <v>0</v>
      </c>
      <c r="O800" s="22">
        <v>25000</v>
      </c>
      <c r="P800" s="22">
        <v>18531.28</v>
      </c>
      <c r="Q800" s="22">
        <v>6468.72</v>
      </c>
      <c r="R800" s="22" t="s">
        <v>48</v>
      </c>
    </row>
    <row r="801" spans="1:18">
      <c r="A801" s="22" t="s">
        <v>935</v>
      </c>
      <c r="B801" s="23">
        <v>45844</v>
      </c>
      <c r="C801" s="24">
        <f t="shared" si="12"/>
        <v>7</v>
      </c>
      <c r="D801" s="22" t="s">
        <v>90</v>
      </c>
      <c r="E801" s="22" t="s">
        <v>256</v>
      </c>
      <c r="F801" s="22" t="s">
        <v>60</v>
      </c>
      <c r="G801" s="22" t="s">
        <v>93</v>
      </c>
      <c r="H801" s="22" t="s">
        <v>181</v>
      </c>
      <c r="I801" s="22" t="s">
        <v>45</v>
      </c>
      <c r="J801" s="22" t="s">
        <v>99</v>
      </c>
      <c r="K801" s="22" t="s">
        <v>26</v>
      </c>
      <c r="L801" s="22">
        <v>2</v>
      </c>
      <c r="M801" s="22">
        <v>39200</v>
      </c>
      <c r="N801" s="22">
        <v>0</v>
      </c>
      <c r="O801" s="22">
        <v>78400</v>
      </c>
      <c r="P801" s="22">
        <v>64873.22</v>
      </c>
      <c r="Q801" s="22">
        <v>13526.78</v>
      </c>
      <c r="R801" s="22" t="s">
        <v>35</v>
      </c>
    </row>
    <row r="802" spans="1:18">
      <c r="A802" s="22" t="s">
        <v>936</v>
      </c>
      <c r="B802" s="23">
        <v>45691</v>
      </c>
      <c r="C802" s="24">
        <f t="shared" si="12"/>
        <v>2</v>
      </c>
      <c r="D802" s="22" t="s">
        <v>37</v>
      </c>
      <c r="E802" s="22" t="s">
        <v>256</v>
      </c>
      <c r="F802" s="22" t="s">
        <v>21</v>
      </c>
      <c r="G802" s="22" t="s">
        <v>167</v>
      </c>
      <c r="H802" s="22" t="s">
        <v>254</v>
      </c>
      <c r="I802" s="22" t="s">
        <v>24</v>
      </c>
      <c r="J802" s="22" t="s">
        <v>25</v>
      </c>
      <c r="K802" s="22" t="s">
        <v>53</v>
      </c>
      <c r="L802" s="22">
        <v>5</v>
      </c>
      <c r="M802" s="22">
        <v>21500</v>
      </c>
      <c r="N802" s="22">
        <v>0.05</v>
      </c>
      <c r="O802" s="22">
        <v>102125</v>
      </c>
      <c r="P802" s="22">
        <v>79538.52</v>
      </c>
      <c r="Q802" s="22">
        <v>22586.48</v>
      </c>
      <c r="R802" s="22" t="s">
        <v>48</v>
      </c>
    </row>
    <row r="803" spans="1:18">
      <c r="A803" s="22" t="s">
        <v>937</v>
      </c>
      <c r="B803" s="23">
        <v>43285</v>
      </c>
      <c r="C803" s="24">
        <f t="shared" si="12"/>
        <v>7</v>
      </c>
      <c r="D803" s="22" t="s">
        <v>37</v>
      </c>
      <c r="E803" s="22" t="s">
        <v>256</v>
      </c>
      <c r="F803" s="22" t="s">
        <v>21</v>
      </c>
      <c r="G803" s="22" t="s">
        <v>122</v>
      </c>
      <c r="H803" s="22" t="s">
        <v>123</v>
      </c>
      <c r="I803" s="22" t="s">
        <v>51</v>
      </c>
      <c r="J803" s="22" t="s">
        <v>88</v>
      </c>
      <c r="K803" s="22" t="s">
        <v>47</v>
      </c>
      <c r="L803" s="22">
        <v>10</v>
      </c>
      <c r="M803" s="22">
        <v>21600</v>
      </c>
      <c r="N803" s="22">
        <v>0</v>
      </c>
      <c r="O803" s="22">
        <v>216000</v>
      </c>
      <c r="P803" s="22">
        <v>164242.17</v>
      </c>
      <c r="Q803" s="22">
        <v>51757.83</v>
      </c>
      <c r="R803" s="22" t="s">
        <v>48</v>
      </c>
    </row>
    <row r="804" spans="1:18">
      <c r="A804" s="22" t="s">
        <v>938</v>
      </c>
      <c r="B804" s="23">
        <v>43355</v>
      </c>
      <c r="C804" s="24">
        <f t="shared" si="12"/>
        <v>9</v>
      </c>
      <c r="D804" s="22" t="s">
        <v>121</v>
      </c>
      <c r="E804" s="22" t="s">
        <v>256</v>
      </c>
      <c r="F804" s="22" t="s">
        <v>60</v>
      </c>
      <c r="G804" s="22" t="s">
        <v>93</v>
      </c>
      <c r="H804" s="22" t="s">
        <v>181</v>
      </c>
      <c r="I804" s="22" t="s">
        <v>24</v>
      </c>
      <c r="J804" s="22" t="s">
        <v>52</v>
      </c>
      <c r="K804" s="22" t="s">
        <v>53</v>
      </c>
      <c r="L804" s="22">
        <v>5</v>
      </c>
      <c r="M804" s="22">
        <v>68600</v>
      </c>
      <c r="N804" s="22">
        <v>0.2</v>
      </c>
      <c r="O804" s="22">
        <v>274400</v>
      </c>
      <c r="P804" s="22">
        <v>201733.16</v>
      </c>
      <c r="Q804" s="22">
        <v>72666.84</v>
      </c>
      <c r="R804" s="22" t="s">
        <v>77</v>
      </c>
    </row>
    <row r="805" spans="1:18">
      <c r="A805" s="22" t="s">
        <v>939</v>
      </c>
      <c r="B805" s="23">
        <v>43310</v>
      </c>
      <c r="C805" s="24">
        <f t="shared" si="12"/>
        <v>7</v>
      </c>
      <c r="D805" s="22" t="s">
        <v>37</v>
      </c>
      <c r="E805" s="22" t="s">
        <v>256</v>
      </c>
      <c r="F805" s="22" t="s">
        <v>96</v>
      </c>
      <c r="G805" s="22" t="s">
        <v>113</v>
      </c>
      <c r="H805" s="22" t="s">
        <v>119</v>
      </c>
      <c r="I805" s="22" t="s">
        <v>24</v>
      </c>
      <c r="J805" s="22" t="s">
        <v>116</v>
      </c>
      <c r="K805" s="22" t="s">
        <v>26</v>
      </c>
      <c r="L805" s="22">
        <v>10</v>
      </c>
      <c r="M805" s="22">
        <v>18800</v>
      </c>
      <c r="N805" s="22">
        <v>0.05</v>
      </c>
      <c r="O805" s="22">
        <v>178600</v>
      </c>
      <c r="P805" s="22">
        <v>137344.63</v>
      </c>
      <c r="Q805" s="22">
        <v>41255.37</v>
      </c>
      <c r="R805" s="22" t="s">
        <v>48</v>
      </c>
    </row>
    <row r="806" hidden="1" spans="1:18">
      <c r="A806" s="22" t="s">
        <v>940</v>
      </c>
      <c r="B806" s="23">
        <v>45692</v>
      </c>
      <c r="C806" s="24">
        <f t="shared" si="12"/>
        <v>2</v>
      </c>
      <c r="D806" s="22" t="s">
        <v>133</v>
      </c>
      <c r="E806" s="22" t="s">
        <v>213</v>
      </c>
      <c r="F806" s="22" t="s">
        <v>96</v>
      </c>
      <c r="G806" s="22" t="s">
        <v>97</v>
      </c>
      <c r="H806" s="22" t="s">
        <v>289</v>
      </c>
      <c r="I806" s="22" t="s">
        <v>24</v>
      </c>
      <c r="J806" s="22" t="s">
        <v>170</v>
      </c>
      <c r="K806" s="22" t="s">
        <v>26</v>
      </c>
      <c r="L806" s="22">
        <v>5</v>
      </c>
      <c r="M806" s="22">
        <v>19800</v>
      </c>
      <c r="N806" s="22">
        <v>0.05</v>
      </c>
      <c r="O806" s="22">
        <v>94050</v>
      </c>
      <c r="P806" s="22">
        <v>77902.12</v>
      </c>
      <c r="Q806" s="22">
        <v>16147.88</v>
      </c>
      <c r="R806" s="22" t="s">
        <v>35</v>
      </c>
    </row>
    <row r="807" spans="1:18">
      <c r="A807" s="22" t="s">
        <v>941</v>
      </c>
      <c r="B807" s="23">
        <v>43959</v>
      </c>
      <c r="C807" s="24">
        <f t="shared" si="12"/>
        <v>5</v>
      </c>
      <c r="D807" s="22" t="s">
        <v>75</v>
      </c>
      <c r="E807" s="22" t="s">
        <v>256</v>
      </c>
      <c r="F807" s="22" t="s">
        <v>96</v>
      </c>
      <c r="G807" s="22" t="s">
        <v>97</v>
      </c>
      <c r="H807" s="22" t="s">
        <v>147</v>
      </c>
      <c r="I807" s="22" t="s">
        <v>24</v>
      </c>
      <c r="J807" s="22" t="s">
        <v>52</v>
      </c>
      <c r="K807" s="22" t="s">
        <v>47</v>
      </c>
      <c r="L807" s="22">
        <v>4</v>
      </c>
      <c r="M807" s="22">
        <v>21400</v>
      </c>
      <c r="N807" s="22">
        <v>0.1</v>
      </c>
      <c r="O807" s="22">
        <v>77040</v>
      </c>
      <c r="P807" s="22">
        <v>64351.81</v>
      </c>
      <c r="Q807" s="22">
        <v>12688.19</v>
      </c>
      <c r="R807" s="22" t="s">
        <v>35</v>
      </c>
    </row>
    <row r="808" spans="1:18">
      <c r="A808" s="22" t="s">
        <v>942</v>
      </c>
      <c r="B808" s="23">
        <v>45691</v>
      </c>
      <c r="C808" s="24">
        <f t="shared" si="12"/>
        <v>2</v>
      </c>
      <c r="D808" s="22" t="s">
        <v>121</v>
      </c>
      <c r="E808" s="22" t="s">
        <v>256</v>
      </c>
      <c r="F808" s="22" t="s">
        <v>21</v>
      </c>
      <c r="G808" s="22" t="s">
        <v>70</v>
      </c>
      <c r="H808" s="22" t="s">
        <v>71</v>
      </c>
      <c r="I808" s="22" t="s">
        <v>51</v>
      </c>
      <c r="J808" s="22" t="s">
        <v>34</v>
      </c>
      <c r="K808" s="22" t="s">
        <v>53</v>
      </c>
      <c r="L808" s="22">
        <v>10</v>
      </c>
      <c r="M808" s="22">
        <v>77100</v>
      </c>
      <c r="N808" s="22">
        <v>0.05</v>
      </c>
      <c r="O808" s="22">
        <v>732450</v>
      </c>
      <c r="P808" s="22">
        <v>474390.66</v>
      </c>
      <c r="Q808" s="22">
        <v>258059.34</v>
      </c>
      <c r="R808" s="22" t="s">
        <v>77</v>
      </c>
    </row>
    <row r="809" spans="1:18">
      <c r="A809" s="22" t="s">
        <v>943</v>
      </c>
      <c r="B809" s="23">
        <v>43703</v>
      </c>
      <c r="C809" s="24">
        <f t="shared" si="12"/>
        <v>8</v>
      </c>
      <c r="D809" s="22" t="s">
        <v>90</v>
      </c>
      <c r="E809" s="22" t="s">
        <v>256</v>
      </c>
      <c r="F809" s="22" t="s">
        <v>60</v>
      </c>
      <c r="G809" s="22" t="s">
        <v>61</v>
      </c>
      <c r="H809" s="22" t="s">
        <v>188</v>
      </c>
      <c r="I809" s="22" t="s">
        <v>51</v>
      </c>
      <c r="J809" s="22" t="s">
        <v>63</v>
      </c>
      <c r="K809" s="22" t="s">
        <v>47</v>
      </c>
      <c r="L809" s="22">
        <v>5</v>
      </c>
      <c r="M809" s="22">
        <v>35200</v>
      </c>
      <c r="N809" s="22">
        <v>0.15</v>
      </c>
      <c r="O809" s="22">
        <v>149600</v>
      </c>
      <c r="P809" s="22">
        <v>113457.52</v>
      </c>
      <c r="Q809" s="22">
        <v>36142.48</v>
      </c>
      <c r="R809" s="22" t="s">
        <v>35</v>
      </c>
    </row>
    <row r="810" hidden="1" spans="1:18">
      <c r="A810" s="22" t="s">
        <v>944</v>
      </c>
      <c r="B810" s="23">
        <v>44333</v>
      </c>
      <c r="C810" s="24">
        <f t="shared" si="12"/>
        <v>5</v>
      </c>
      <c r="D810" s="22" t="s">
        <v>65</v>
      </c>
      <c r="E810" s="22" t="s">
        <v>30</v>
      </c>
      <c r="F810" s="22" t="s">
        <v>31</v>
      </c>
      <c r="G810" s="22" t="s">
        <v>172</v>
      </c>
      <c r="H810" s="22" t="s">
        <v>269</v>
      </c>
      <c r="I810" s="22" t="s">
        <v>45</v>
      </c>
      <c r="J810" s="22" t="s">
        <v>25</v>
      </c>
      <c r="K810" s="22" t="s">
        <v>26</v>
      </c>
      <c r="L810" s="22">
        <v>6</v>
      </c>
      <c r="M810" s="22">
        <v>2200</v>
      </c>
      <c r="N810" s="22">
        <v>0.05</v>
      </c>
      <c r="O810" s="22">
        <v>12540</v>
      </c>
      <c r="P810" s="22">
        <v>9617.14</v>
      </c>
      <c r="Q810" s="22">
        <v>2922.86</v>
      </c>
      <c r="R810" s="22" t="s">
        <v>77</v>
      </c>
    </row>
    <row r="811" spans="1:18">
      <c r="A811" s="22" t="s">
        <v>945</v>
      </c>
      <c r="B811" s="23">
        <v>43746</v>
      </c>
      <c r="C811" s="24">
        <f t="shared" si="12"/>
        <v>10</v>
      </c>
      <c r="D811" s="22" t="s">
        <v>121</v>
      </c>
      <c r="E811" s="22" t="s">
        <v>256</v>
      </c>
      <c r="F811" s="22" t="s">
        <v>55</v>
      </c>
      <c r="G811" s="22" t="s">
        <v>195</v>
      </c>
      <c r="H811" s="22" t="s">
        <v>196</v>
      </c>
      <c r="I811" s="22" t="s">
        <v>24</v>
      </c>
      <c r="J811" s="22" t="s">
        <v>116</v>
      </c>
      <c r="K811" s="22" t="s">
        <v>53</v>
      </c>
      <c r="L811" s="22">
        <v>10</v>
      </c>
      <c r="M811" s="22">
        <v>59100</v>
      </c>
      <c r="N811" s="22">
        <v>0</v>
      </c>
      <c r="O811" s="22">
        <v>591000</v>
      </c>
      <c r="P811" s="22">
        <v>383326.01</v>
      </c>
      <c r="Q811" s="22">
        <v>207673.99</v>
      </c>
      <c r="R811" s="22" t="s">
        <v>48</v>
      </c>
    </row>
    <row r="812" hidden="1" spans="1:18">
      <c r="A812" s="22" t="s">
        <v>946</v>
      </c>
      <c r="B812" s="23">
        <v>45715</v>
      </c>
      <c r="C812" s="24">
        <f t="shared" si="12"/>
        <v>2</v>
      </c>
      <c r="D812" s="22" t="s">
        <v>103</v>
      </c>
      <c r="E812" s="22" t="s">
        <v>213</v>
      </c>
      <c r="F812" s="22" t="s">
        <v>55</v>
      </c>
      <c r="G812" s="22" t="s">
        <v>109</v>
      </c>
      <c r="H812" s="22" t="s">
        <v>110</v>
      </c>
      <c r="I812" s="22" t="s">
        <v>45</v>
      </c>
      <c r="J812" s="22" t="s">
        <v>99</v>
      </c>
      <c r="K812" s="22" t="s">
        <v>53</v>
      </c>
      <c r="L812" s="22">
        <v>10</v>
      </c>
      <c r="M812" s="22">
        <v>17300</v>
      </c>
      <c r="N812" s="22">
        <v>0.05</v>
      </c>
      <c r="O812" s="22">
        <v>164350</v>
      </c>
      <c r="P812" s="22">
        <v>124006.82</v>
      </c>
      <c r="Q812" s="22">
        <v>40343.18</v>
      </c>
      <c r="R812" s="22" t="s">
        <v>35</v>
      </c>
    </row>
    <row r="813" hidden="1" spans="1:18">
      <c r="A813" s="22" t="s">
        <v>947</v>
      </c>
      <c r="B813" s="23">
        <v>43338</v>
      </c>
      <c r="C813" s="24">
        <f t="shared" si="12"/>
        <v>8</v>
      </c>
      <c r="D813" s="22" t="s">
        <v>85</v>
      </c>
      <c r="E813" s="22" t="s">
        <v>30</v>
      </c>
      <c r="F813" s="22" t="s">
        <v>96</v>
      </c>
      <c r="G813" s="22" t="s">
        <v>113</v>
      </c>
      <c r="H813" s="22" t="s">
        <v>126</v>
      </c>
      <c r="I813" s="22" t="s">
        <v>24</v>
      </c>
      <c r="J813" s="22" t="s">
        <v>40</v>
      </c>
      <c r="K813" s="22" t="s">
        <v>47</v>
      </c>
      <c r="L813" s="22">
        <v>9</v>
      </c>
      <c r="M813" s="22">
        <v>3500</v>
      </c>
      <c r="N813" s="22">
        <v>0</v>
      </c>
      <c r="O813" s="22">
        <v>31500</v>
      </c>
      <c r="P813" s="22">
        <v>19763.19</v>
      </c>
      <c r="Q813" s="22">
        <v>11736.81</v>
      </c>
      <c r="R813" s="22" t="s">
        <v>58</v>
      </c>
    </row>
    <row r="814" spans="1:18">
      <c r="A814" s="22" t="s">
        <v>948</v>
      </c>
      <c r="B814" s="23">
        <v>43131</v>
      </c>
      <c r="C814" s="24">
        <f t="shared" si="12"/>
        <v>1</v>
      </c>
      <c r="D814" s="22" t="s">
        <v>121</v>
      </c>
      <c r="E814" s="22" t="s">
        <v>256</v>
      </c>
      <c r="F814" s="22" t="s">
        <v>21</v>
      </c>
      <c r="G814" s="22" t="s">
        <v>70</v>
      </c>
      <c r="H814" s="22" t="s">
        <v>83</v>
      </c>
      <c r="I814" s="22" t="s">
        <v>51</v>
      </c>
      <c r="J814" s="22" t="s">
        <v>46</v>
      </c>
      <c r="K814" s="22" t="s">
        <v>26</v>
      </c>
      <c r="L814" s="22">
        <v>2</v>
      </c>
      <c r="M814" s="22">
        <v>86900</v>
      </c>
      <c r="N814" s="22">
        <v>0</v>
      </c>
      <c r="O814" s="22">
        <v>173800</v>
      </c>
      <c r="P814" s="22">
        <v>142294.62</v>
      </c>
      <c r="Q814" s="22">
        <v>31505.38</v>
      </c>
      <c r="R814" s="22" t="s">
        <v>27</v>
      </c>
    </row>
    <row r="815" hidden="1" spans="1:18">
      <c r="A815" s="22" t="s">
        <v>949</v>
      </c>
      <c r="B815" s="23">
        <v>44582</v>
      </c>
      <c r="C815" s="24">
        <f t="shared" si="12"/>
        <v>1</v>
      </c>
      <c r="D815" s="22" t="s">
        <v>69</v>
      </c>
      <c r="E815" s="22" t="s">
        <v>30</v>
      </c>
      <c r="F815" s="22" t="s">
        <v>55</v>
      </c>
      <c r="G815" s="22" t="s">
        <v>195</v>
      </c>
      <c r="H815" s="22" t="s">
        <v>196</v>
      </c>
      <c r="I815" s="22" t="s">
        <v>51</v>
      </c>
      <c r="J815" s="22" t="s">
        <v>170</v>
      </c>
      <c r="K815" s="22" t="s">
        <v>53</v>
      </c>
      <c r="L815" s="22">
        <v>5</v>
      </c>
      <c r="M815" s="22">
        <v>9500</v>
      </c>
      <c r="N815" s="22">
        <v>0.15</v>
      </c>
      <c r="O815" s="22">
        <v>40375</v>
      </c>
      <c r="P815" s="22">
        <v>30519.17</v>
      </c>
      <c r="Q815" s="22">
        <v>9855.83</v>
      </c>
      <c r="R815" s="22" t="s">
        <v>58</v>
      </c>
    </row>
    <row r="816" hidden="1" spans="1:18">
      <c r="A816" s="22" t="s">
        <v>950</v>
      </c>
      <c r="B816" s="23">
        <v>43235</v>
      </c>
      <c r="C816" s="24">
        <f t="shared" si="12"/>
        <v>5</v>
      </c>
      <c r="D816" s="22" t="s">
        <v>29</v>
      </c>
      <c r="E816" s="22" t="s">
        <v>30</v>
      </c>
      <c r="F816" s="22" t="s">
        <v>60</v>
      </c>
      <c r="G816" s="22" t="s">
        <v>141</v>
      </c>
      <c r="H816" s="22" t="s">
        <v>183</v>
      </c>
      <c r="I816" s="22" t="s">
        <v>45</v>
      </c>
      <c r="J816" s="22" t="s">
        <v>63</v>
      </c>
      <c r="K816" s="22" t="s">
        <v>26</v>
      </c>
      <c r="L816" s="22">
        <v>5</v>
      </c>
      <c r="M816" s="22">
        <v>1400</v>
      </c>
      <c r="N816" s="22">
        <v>0</v>
      </c>
      <c r="O816" s="22">
        <v>7000</v>
      </c>
      <c r="P816" s="22">
        <v>4615.09</v>
      </c>
      <c r="Q816" s="22">
        <v>2384.91</v>
      </c>
      <c r="R816" s="22" t="s">
        <v>35</v>
      </c>
    </row>
    <row r="817" hidden="1" spans="1:18">
      <c r="A817" s="22" t="s">
        <v>951</v>
      </c>
      <c r="B817" s="23">
        <v>44657</v>
      </c>
      <c r="C817" s="24">
        <f t="shared" si="12"/>
        <v>4</v>
      </c>
      <c r="D817" s="22" t="s">
        <v>65</v>
      </c>
      <c r="E817" s="22" t="s">
        <v>30</v>
      </c>
      <c r="F817" s="22" t="s">
        <v>31</v>
      </c>
      <c r="G817" s="22" t="s">
        <v>43</v>
      </c>
      <c r="H817" s="22" t="s">
        <v>258</v>
      </c>
      <c r="I817" s="22" t="s">
        <v>51</v>
      </c>
      <c r="J817" s="22" t="s">
        <v>46</v>
      </c>
      <c r="K817" s="22" t="s">
        <v>26</v>
      </c>
      <c r="L817" s="22">
        <v>10</v>
      </c>
      <c r="M817" s="22">
        <v>2800</v>
      </c>
      <c r="N817" s="22">
        <v>0.05</v>
      </c>
      <c r="O817" s="22">
        <v>26600</v>
      </c>
      <c r="P817" s="22">
        <v>16952.33</v>
      </c>
      <c r="Q817" s="22">
        <v>9647.67</v>
      </c>
      <c r="R817" s="22" t="s">
        <v>48</v>
      </c>
    </row>
    <row r="818" spans="1:18">
      <c r="A818" s="22" t="s">
        <v>952</v>
      </c>
      <c r="B818" s="23">
        <v>43254</v>
      </c>
      <c r="C818" s="24">
        <f t="shared" si="12"/>
        <v>6</v>
      </c>
      <c r="D818" s="22" t="s">
        <v>79</v>
      </c>
      <c r="E818" s="22" t="s">
        <v>256</v>
      </c>
      <c r="F818" s="22" t="s">
        <v>60</v>
      </c>
      <c r="G818" s="22" t="s">
        <v>141</v>
      </c>
      <c r="H818" s="22" t="s">
        <v>142</v>
      </c>
      <c r="I818" s="22" t="s">
        <v>45</v>
      </c>
      <c r="J818" s="22" t="s">
        <v>124</v>
      </c>
      <c r="K818" s="22" t="s">
        <v>47</v>
      </c>
      <c r="L818" s="22">
        <v>5</v>
      </c>
      <c r="M818" s="22">
        <v>64500</v>
      </c>
      <c r="N818" s="22">
        <v>0</v>
      </c>
      <c r="O818" s="22">
        <v>322500</v>
      </c>
      <c r="P818" s="22">
        <v>264024.77</v>
      </c>
      <c r="Q818" s="22">
        <v>58475.23</v>
      </c>
      <c r="R818" s="22" t="s">
        <v>27</v>
      </c>
    </row>
    <row r="819" hidden="1" spans="1:18">
      <c r="A819" s="22" t="s">
        <v>953</v>
      </c>
      <c r="B819" s="23">
        <v>44224</v>
      </c>
      <c r="C819" s="24">
        <f t="shared" si="12"/>
        <v>1</v>
      </c>
      <c r="D819" s="22" t="s">
        <v>85</v>
      </c>
      <c r="E819" s="22" t="s">
        <v>30</v>
      </c>
      <c r="F819" s="22" t="s">
        <v>96</v>
      </c>
      <c r="G819" s="22" t="s">
        <v>97</v>
      </c>
      <c r="H819" s="22" t="s">
        <v>98</v>
      </c>
      <c r="I819" s="22" t="s">
        <v>24</v>
      </c>
      <c r="J819" s="22" t="s">
        <v>34</v>
      </c>
      <c r="K819" s="22" t="s">
        <v>26</v>
      </c>
      <c r="L819" s="22">
        <v>1</v>
      </c>
      <c r="M819" s="22">
        <v>2700</v>
      </c>
      <c r="N819" s="22">
        <v>0.15</v>
      </c>
      <c r="O819" s="22">
        <v>2295</v>
      </c>
      <c r="P819" s="22">
        <v>1837.71</v>
      </c>
      <c r="Q819" s="22">
        <v>457.29</v>
      </c>
      <c r="R819" s="22" t="s">
        <v>35</v>
      </c>
    </row>
    <row r="820" spans="1:18">
      <c r="A820" s="22" t="s">
        <v>954</v>
      </c>
      <c r="B820" s="23">
        <v>45688</v>
      </c>
      <c r="C820" s="24">
        <f t="shared" si="12"/>
        <v>1</v>
      </c>
      <c r="D820" s="22" t="s">
        <v>121</v>
      </c>
      <c r="E820" s="22" t="s">
        <v>256</v>
      </c>
      <c r="F820" s="22" t="s">
        <v>55</v>
      </c>
      <c r="G820" s="22" t="s">
        <v>195</v>
      </c>
      <c r="H820" s="22" t="s">
        <v>448</v>
      </c>
      <c r="I820" s="22" t="s">
        <v>24</v>
      </c>
      <c r="J820" s="22" t="s">
        <v>52</v>
      </c>
      <c r="K820" s="22" t="s">
        <v>47</v>
      </c>
      <c r="L820" s="22">
        <v>2</v>
      </c>
      <c r="M820" s="22">
        <v>80900</v>
      </c>
      <c r="N820" s="22">
        <v>0.15</v>
      </c>
      <c r="O820" s="22">
        <v>137530</v>
      </c>
      <c r="P820" s="22">
        <v>86759.45</v>
      </c>
      <c r="Q820" s="22">
        <v>50770.55</v>
      </c>
      <c r="R820" s="22" t="s">
        <v>77</v>
      </c>
    </row>
    <row r="821" spans="1:18">
      <c r="A821" s="22" t="s">
        <v>955</v>
      </c>
      <c r="B821" s="23">
        <v>45785</v>
      </c>
      <c r="C821" s="24">
        <f t="shared" si="12"/>
        <v>5</v>
      </c>
      <c r="D821" s="22" t="s">
        <v>75</v>
      </c>
      <c r="E821" s="22" t="s">
        <v>38</v>
      </c>
      <c r="F821" s="22" t="s">
        <v>21</v>
      </c>
      <c r="G821" s="22" t="s">
        <v>122</v>
      </c>
      <c r="H821" s="22" t="s">
        <v>156</v>
      </c>
      <c r="I821" s="22" t="s">
        <v>51</v>
      </c>
      <c r="J821" s="22" t="s">
        <v>73</v>
      </c>
      <c r="K821" s="22" t="s">
        <v>47</v>
      </c>
      <c r="L821" s="22">
        <v>6</v>
      </c>
      <c r="M821" s="22">
        <v>29400</v>
      </c>
      <c r="N821" s="22">
        <v>0.2</v>
      </c>
      <c r="O821" s="22">
        <v>141120</v>
      </c>
      <c r="P821" s="22">
        <v>113675.92</v>
      </c>
      <c r="Q821" s="22">
        <v>27444.08</v>
      </c>
      <c r="R821" s="22" t="s">
        <v>77</v>
      </c>
    </row>
    <row r="822" spans="1:18">
      <c r="A822" s="22" t="s">
        <v>956</v>
      </c>
      <c r="B822" s="23">
        <v>44185</v>
      </c>
      <c r="C822" s="24">
        <f t="shared" si="12"/>
        <v>12</v>
      </c>
      <c r="D822" s="22" t="s">
        <v>37</v>
      </c>
      <c r="E822" s="22" t="s">
        <v>38</v>
      </c>
      <c r="F822" s="22" t="s">
        <v>55</v>
      </c>
      <c r="G822" s="22" t="s">
        <v>56</v>
      </c>
      <c r="H822" s="22" t="s">
        <v>57</v>
      </c>
      <c r="I822" s="22" t="s">
        <v>51</v>
      </c>
      <c r="J822" s="22" t="s">
        <v>40</v>
      </c>
      <c r="K822" s="22" t="s">
        <v>26</v>
      </c>
      <c r="L822" s="22">
        <v>7</v>
      </c>
      <c r="M822" s="22">
        <v>11900</v>
      </c>
      <c r="N822" s="22">
        <v>0</v>
      </c>
      <c r="O822" s="22">
        <v>83300</v>
      </c>
      <c r="P822" s="22">
        <v>59655.08</v>
      </c>
      <c r="Q822" s="22">
        <v>23644.92</v>
      </c>
      <c r="R822" s="22" t="s">
        <v>35</v>
      </c>
    </row>
    <row r="823" spans="1:18">
      <c r="A823" s="22" t="s">
        <v>957</v>
      </c>
      <c r="B823" s="23">
        <v>45756</v>
      </c>
      <c r="C823" s="24">
        <f t="shared" si="12"/>
        <v>4</v>
      </c>
      <c r="D823" s="22" t="s">
        <v>69</v>
      </c>
      <c r="E823" s="22" t="s">
        <v>38</v>
      </c>
      <c r="F823" s="22" t="s">
        <v>31</v>
      </c>
      <c r="G823" s="22" t="s">
        <v>43</v>
      </c>
      <c r="H823" s="22" t="s">
        <v>258</v>
      </c>
      <c r="I823" s="22" t="s">
        <v>24</v>
      </c>
      <c r="J823" s="22" t="s">
        <v>116</v>
      </c>
      <c r="K823" s="22" t="s">
        <v>26</v>
      </c>
      <c r="L823" s="22">
        <v>8</v>
      </c>
      <c r="M823" s="22">
        <v>24000</v>
      </c>
      <c r="N823" s="22">
        <v>0.05</v>
      </c>
      <c r="O823" s="22">
        <v>182400</v>
      </c>
      <c r="P823" s="22">
        <v>133751.01</v>
      </c>
      <c r="Q823" s="22">
        <v>48648.99</v>
      </c>
      <c r="R823" s="22" t="s">
        <v>77</v>
      </c>
    </row>
    <row r="824" spans="1:18">
      <c r="A824" s="22" t="s">
        <v>958</v>
      </c>
      <c r="B824" s="23">
        <v>44097</v>
      </c>
      <c r="C824" s="24">
        <f t="shared" si="12"/>
        <v>9</v>
      </c>
      <c r="D824" s="22" t="s">
        <v>90</v>
      </c>
      <c r="E824" s="22" t="s">
        <v>38</v>
      </c>
      <c r="F824" s="22" t="s">
        <v>55</v>
      </c>
      <c r="G824" s="22" t="s">
        <v>80</v>
      </c>
      <c r="H824" s="22" t="s">
        <v>160</v>
      </c>
      <c r="I824" s="22" t="s">
        <v>45</v>
      </c>
      <c r="J824" s="22" t="s">
        <v>63</v>
      </c>
      <c r="K824" s="22" t="s">
        <v>26</v>
      </c>
      <c r="L824" s="22">
        <v>9</v>
      </c>
      <c r="M824" s="22">
        <v>27500</v>
      </c>
      <c r="N824" s="22">
        <v>0.2</v>
      </c>
      <c r="O824" s="22">
        <v>198000</v>
      </c>
      <c r="P824" s="22">
        <v>156157.68</v>
      </c>
      <c r="Q824" s="22">
        <v>41842.32</v>
      </c>
      <c r="R824" s="22" t="s">
        <v>58</v>
      </c>
    </row>
    <row r="825" hidden="1" spans="1:18">
      <c r="A825" s="22" t="s">
        <v>959</v>
      </c>
      <c r="B825" s="23">
        <v>44326</v>
      </c>
      <c r="C825" s="24">
        <f t="shared" si="12"/>
        <v>5</v>
      </c>
      <c r="D825" s="22" t="s">
        <v>29</v>
      </c>
      <c r="E825" s="22" t="s">
        <v>30</v>
      </c>
      <c r="F825" s="22" t="s">
        <v>21</v>
      </c>
      <c r="G825" s="22" t="s">
        <v>122</v>
      </c>
      <c r="H825" s="22" t="s">
        <v>138</v>
      </c>
      <c r="I825" s="22" t="s">
        <v>51</v>
      </c>
      <c r="J825" s="22" t="s">
        <v>25</v>
      </c>
      <c r="K825" s="22" t="s">
        <v>47</v>
      </c>
      <c r="L825" s="22">
        <v>5</v>
      </c>
      <c r="M825" s="22">
        <v>6500</v>
      </c>
      <c r="N825" s="22">
        <v>0.2</v>
      </c>
      <c r="O825" s="22">
        <v>26000</v>
      </c>
      <c r="P825" s="22">
        <v>19456.66</v>
      </c>
      <c r="Q825" s="22">
        <v>6543.34</v>
      </c>
      <c r="R825" s="22" t="s">
        <v>77</v>
      </c>
    </row>
    <row r="826" spans="1:18">
      <c r="A826" s="22" t="s">
        <v>960</v>
      </c>
      <c r="B826" s="23">
        <v>43975</v>
      </c>
      <c r="C826" s="24">
        <f t="shared" si="12"/>
        <v>5</v>
      </c>
      <c r="D826" s="22" t="s">
        <v>75</v>
      </c>
      <c r="E826" s="22" t="s">
        <v>38</v>
      </c>
      <c r="F826" s="22" t="s">
        <v>96</v>
      </c>
      <c r="G826" s="22" t="s">
        <v>113</v>
      </c>
      <c r="H826" s="22" t="s">
        <v>114</v>
      </c>
      <c r="I826" s="22" t="s">
        <v>45</v>
      </c>
      <c r="J826" s="22" t="s">
        <v>25</v>
      </c>
      <c r="K826" s="22" t="s">
        <v>26</v>
      </c>
      <c r="L826" s="22">
        <v>6</v>
      </c>
      <c r="M826" s="22">
        <v>75900</v>
      </c>
      <c r="N826" s="22">
        <v>0.05</v>
      </c>
      <c r="O826" s="22">
        <v>432630</v>
      </c>
      <c r="P826" s="22">
        <v>363136.22</v>
      </c>
      <c r="Q826" s="22">
        <v>69493.78</v>
      </c>
      <c r="R826" s="22" t="s">
        <v>77</v>
      </c>
    </row>
    <row r="827" spans="1:18">
      <c r="A827" s="22" t="s">
        <v>961</v>
      </c>
      <c r="B827" s="23">
        <v>45747</v>
      </c>
      <c r="C827" s="24">
        <f t="shared" si="12"/>
        <v>3</v>
      </c>
      <c r="D827" s="22" t="s">
        <v>121</v>
      </c>
      <c r="E827" s="22" t="s">
        <v>38</v>
      </c>
      <c r="F827" s="22" t="s">
        <v>55</v>
      </c>
      <c r="G827" s="22" t="s">
        <v>195</v>
      </c>
      <c r="H827" s="22" t="s">
        <v>448</v>
      </c>
      <c r="I827" s="22" t="s">
        <v>51</v>
      </c>
      <c r="J827" s="22" t="s">
        <v>124</v>
      </c>
      <c r="K827" s="22" t="s">
        <v>26</v>
      </c>
      <c r="L827" s="22">
        <v>9</v>
      </c>
      <c r="M827" s="22">
        <v>61000</v>
      </c>
      <c r="N827" s="22">
        <v>0.1</v>
      </c>
      <c r="O827" s="22">
        <v>494100</v>
      </c>
      <c r="P827" s="22">
        <v>333913.44</v>
      </c>
      <c r="Q827" s="22">
        <v>160186.56</v>
      </c>
      <c r="R827" s="22" t="s">
        <v>35</v>
      </c>
    </row>
    <row r="828" spans="1:18">
      <c r="A828" s="22" t="s">
        <v>962</v>
      </c>
      <c r="B828" s="23">
        <v>44076</v>
      </c>
      <c r="C828" s="24">
        <f t="shared" si="12"/>
        <v>9</v>
      </c>
      <c r="D828" s="22" t="s">
        <v>79</v>
      </c>
      <c r="E828" s="22" t="s">
        <v>38</v>
      </c>
      <c r="F828" s="22" t="s">
        <v>96</v>
      </c>
      <c r="G828" s="22" t="s">
        <v>97</v>
      </c>
      <c r="H828" s="22" t="s">
        <v>147</v>
      </c>
      <c r="I828" s="22" t="s">
        <v>51</v>
      </c>
      <c r="J828" s="22" t="s">
        <v>63</v>
      </c>
      <c r="K828" s="22" t="s">
        <v>26</v>
      </c>
      <c r="L828" s="22">
        <v>6</v>
      </c>
      <c r="M828" s="22">
        <v>50300</v>
      </c>
      <c r="N828" s="22">
        <v>0</v>
      </c>
      <c r="O828" s="22">
        <v>301800</v>
      </c>
      <c r="P828" s="22">
        <v>244378.18</v>
      </c>
      <c r="Q828" s="22">
        <v>57421.82</v>
      </c>
      <c r="R828" s="22" t="s">
        <v>48</v>
      </c>
    </row>
    <row r="829" spans="1:18">
      <c r="A829" s="22" t="s">
        <v>963</v>
      </c>
      <c r="B829" s="23">
        <v>43718</v>
      </c>
      <c r="C829" s="24">
        <f t="shared" si="12"/>
        <v>9</v>
      </c>
      <c r="D829" s="22" t="s">
        <v>37</v>
      </c>
      <c r="E829" s="22" t="s">
        <v>38</v>
      </c>
      <c r="F829" s="22" t="s">
        <v>21</v>
      </c>
      <c r="G829" s="22" t="s">
        <v>122</v>
      </c>
      <c r="H829" s="22" t="s">
        <v>156</v>
      </c>
      <c r="I829" s="22" t="s">
        <v>24</v>
      </c>
      <c r="J829" s="22" t="s">
        <v>116</v>
      </c>
      <c r="K829" s="22" t="s">
        <v>53</v>
      </c>
      <c r="L829" s="22">
        <v>9</v>
      </c>
      <c r="M829" s="22">
        <v>23100</v>
      </c>
      <c r="N829" s="22">
        <v>0</v>
      </c>
      <c r="O829" s="22">
        <v>207900</v>
      </c>
      <c r="P829" s="22">
        <v>155777.77</v>
      </c>
      <c r="Q829" s="22">
        <v>52122.23</v>
      </c>
      <c r="R829" s="22" t="s">
        <v>58</v>
      </c>
    </row>
    <row r="830" spans="1:18">
      <c r="A830" s="22" t="s">
        <v>964</v>
      </c>
      <c r="B830" s="23">
        <v>44651</v>
      </c>
      <c r="C830" s="24">
        <f t="shared" si="12"/>
        <v>3</v>
      </c>
      <c r="D830" s="22" t="s">
        <v>90</v>
      </c>
      <c r="E830" s="22" t="s">
        <v>38</v>
      </c>
      <c r="F830" s="22" t="s">
        <v>60</v>
      </c>
      <c r="G830" s="22" t="s">
        <v>93</v>
      </c>
      <c r="H830" s="22" t="s">
        <v>181</v>
      </c>
      <c r="I830" s="22" t="s">
        <v>51</v>
      </c>
      <c r="J830" s="22" t="s">
        <v>25</v>
      </c>
      <c r="K830" s="22" t="s">
        <v>47</v>
      </c>
      <c r="L830" s="22">
        <v>7</v>
      </c>
      <c r="M830" s="22">
        <v>42300</v>
      </c>
      <c r="N830" s="22">
        <v>0.2</v>
      </c>
      <c r="O830" s="22">
        <v>236880</v>
      </c>
      <c r="P830" s="22">
        <v>185374.73</v>
      </c>
      <c r="Q830" s="22">
        <v>51505.27</v>
      </c>
      <c r="R830" s="22" t="s">
        <v>27</v>
      </c>
    </row>
    <row r="831" hidden="1" spans="1:18">
      <c r="A831" s="22" t="s">
        <v>965</v>
      </c>
      <c r="B831" s="23">
        <v>43729</v>
      </c>
      <c r="C831" s="24">
        <f t="shared" si="12"/>
        <v>9</v>
      </c>
      <c r="D831" s="22" t="s">
        <v>65</v>
      </c>
      <c r="E831" s="22" t="s">
        <v>30</v>
      </c>
      <c r="F831" s="22" t="s">
        <v>60</v>
      </c>
      <c r="G831" s="22" t="s">
        <v>141</v>
      </c>
      <c r="H831" s="22" t="s">
        <v>200</v>
      </c>
      <c r="I831" s="22" t="s">
        <v>45</v>
      </c>
      <c r="J831" s="22" t="s">
        <v>124</v>
      </c>
      <c r="K831" s="22" t="s">
        <v>26</v>
      </c>
      <c r="L831" s="22">
        <v>5</v>
      </c>
      <c r="M831" s="22">
        <v>1100</v>
      </c>
      <c r="N831" s="22">
        <v>0.05</v>
      </c>
      <c r="O831" s="22">
        <v>5225</v>
      </c>
      <c r="P831" s="22">
        <v>3837.45</v>
      </c>
      <c r="Q831" s="22">
        <v>1387.55</v>
      </c>
      <c r="R831" s="22" t="s">
        <v>58</v>
      </c>
    </row>
    <row r="832" spans="1:18">
      <c r="A832" s="22" t="s">
        <v>966</v>
      </c>
      <c r="B832" s="23">
        <v>43228</v>
      </c>
      <c r="C832" s="24">
        <f t="shared" si="12"/>
        <v>5</v>
      </c>
      <c r="D832" s="22" t="s">
        <v>90</v>
      </c>
      <c r="E832" s="22" t="s">
        <v>38</v>
      </c>
      <c r="F832" s="22" t="s">
        <v>55</v>
      </c>
      <c r="G832" s="22" t="s">
        <v>195</v>
      </c>
      <c r="H832" s="22" t="s">
        <v>196</v>
      </c>
      <c r="I832" s="22" t="s">
        <v>51</v>
      </c>
      <c r="J832" s="22" t="s">
        <v>73</v>
      </c>
      <c r="K832" s="22" t="s">
        <v>26</v>
      </c>
      <c r="L832" s="22">
        <v>8</v>
      </c>
      <c r="M832" s="22">
        <v>35800</v>
      </c>
      <c r="N832" s="22">
        <v>0.1</v>
      </c>
      <c r="O832" s="22">
        <v>257760</v>
      </c>
      <c r="P832" s="22">
        <v>189444.84</v>
      </c>
      <c r="Q832" s="22">
        <v>68315.16</v>
      </c>
      <c r="R832" s="22" t="s">
        <v>27</v>
      </c>
    </row>
    <row r="833" spans="1:18">
      <c r="A833" s="22" t="s">
        <v>967</v>
      </c>
      <c r="B833" s="23">
        <v>43230</v>
      </c>
      <c r="C833" s="24">
        <f t="shared" si="12"/>
        <v>5</v>
      </c>
      <c r="D833" s="22" t="s">
        <v>79</v>
      </c>
      <c r="E833" s="22" t="s">
        <v>38</v>
      </c>
      <c r="F833" s="22" t="s">
        <v>60</v>
      </c>
      <c r="G833" s="22" t="s">
        <v>86</v>
      </c>
      <c r="H833" s="22" t="s">
        <v>106</v>
      </c>
      <c r="I833" s="22" t="s">
        <v>24</v>
      </c>
      <c r="J833" s="22" t="s">
        <v>40</v>
      </c>
      <c r="K833" s="22" t="s">
        <v>53</v>
      </c>
      <c r="L833" s="22">
        <v>4</v>
      </c>
      <c r="M833" s="22">
        <v>58200</v>
      </c>
      <c r="N833" s="22">
        <v>0.15</v>
      </c>
      <c r="O833" s="22">
        <v>197880</v>
      </c>
      <c r="P833" s="22">
        <v>126668.18</v>
      </c>
      <c r="Q833" s="22">
        <v>71211.82</v>
      </c>
      <c r="R833" s="22" t="s">
        <v>35</v>
      </c>
    </row>
    <row r="834" spans="1:18">
      <c r="A834" s="22" t="s">
        <v>968</v>
      </c>
      <c r="B834" s="23">
        <v>44640</v>
      </c>
      <c r="C834" s="24">
        <f t="shared" ref="C834:C897" si="13">MONTH(B834)</f>
        <v>3</v>
      </c>
      <c r="D834" s="22" t="s">
        <v>121</v>
      </c>
      <c r="E834" s="22" t="s">
        <v>38</v>
      </c>
      <c r="F834" s="22" t="s">
        <v>96</v>
      </c>
      <c r="G834" s="22" t="s">
        <v>113</v>
      </c>
      <c r="H834" s="22" t="s">
        <v>126</v>
      </c>
      <c r="I834" s="22" t="s">
        <v>51</v>
      </c>
      <c r="J834" s="22" t="s">
        <v>99</v>
      </c>
      <c r="K834" s="22" t="s">
        <v>47</v>
      </c>
      <c r="L834" s="22">
        <v>8</v>
      </c>
      <c r="M834" s="22">
        <v>92600</v>
      </c>
      <c r="N834" s="22">
        <v>0.15</v>
      </c>
      <c r="O834" s="22">
        <v>629680</v>
      </c>
      <c r="P834" s="22">
        <v>430235.79</v>
      </c>
      <c r="Q834" s="22">
        <v>199444.21</v>
      </c>
      <c r="R834" s="22" t="s">
        <v>58</v>
      </c>
    </row>
    <row r="835" spans="1:18">
      <c r="A835" s="22" t="s">
        <v>969</v>
      </c>
      <c r="B835" s="23">
        <v>43114</v>
      </c>
      <c r="C835" s="24">
        <f t="shared" si="13"/>
        <v>1</v>
      </c>
      <c r="D835" s="22" t="s">
        <v>37</v>
      </c>
      <c r="E835" s="22" t="s">
        <v>38</v>
      </c>
      <c r="F835" s="22" t="s">
        <v>31</v>
      </c>
      <c r="G835" s="22" t="s">
        <v>43</v>
      </c>
      <c r="H835" s="22" t="s">
        <v>44</v>
      </c>
      <c r="I835" s="22" t="s">
        <v>24</v>
      </c>
      <c r="J835" s="22" t="s">
        <v>88</v>
      </c>
      <c r="K835" s="22" t="s">
        <v>47</v>
      </c>
      <c r="L835" s="22">
        <v>6</v>
      </c>
      <c r="M835" s="22">
        <v>9000</v>
      </c>
      <c r="N835" s="22">
        <v>0.1</v>
      </c>
      <c r="O835" s="22">
        <v>48600</v>
      </c>
      <c r="P835" s="22">
        <v>39925.26</v>
      </c>
      <c r="Q835" s="22">
        <v>8674.74</v>
      </c>
      <c r="R835" s="22" t="s">
        <v>48</v>
      </c>
    </row>
    <row r="836" spans="1:18">
      <c r="A836" s="22" t="s">
        <v>970</v>
      </c>
      <c r="B836" s="23">
        <v>44099</v>
      </c>
      <c r="C836" s="24">
        <f t="shared" si="13"/>
        <v>9</v>
      </c>
      <c r="D836" s="22" t="s">
        <v>37</v>
      </c>
      <c r="E836" s="22" t="s">
        <v>38</v>
      </c>
      <c r="F836" s="22" t="s">
        <v>31</v>
      </c>
      <c r="G836" s="22" t="s">
        <v>66</v>
      </c>
      <c r="H836" s="22" t="s">
        <v>316</v>
      </c>
      <c r="I836" s="22" t="s">
        <v>24</v>
      </c>
      <c r="J836" s="22" t="s">
        <v>63</v>
      </c>
      <c r="K836" s="22" t="s">
        <v>53</v>
      </c>
      <c r="L836" s="22">
        <v>9</v>
      </c>
      <c r="M836" s="22">
        <v>21600</v>
      </c>
      <c r="N836" s="22">
        <v>0</v>
      </c>
      <c r="O836" s="22">
        <v>194400</v>
      </c>
      <c r="P836" s="22">
        <v>135773.79</v>
      </c>
      <c r="Q836" s="22">
        <v>58626.21</v>
      </c>
      <c r="R836" s="22" t="s">
        <v>27</v>
      </c>
    </row>
    <row r="837" spans="1:18">
      <c r="A837" s="22" t="s">
        <v>971</v>
      </c>
      <c r="B837" s="23">
        <v>45694</v>
      </c>
      <c r="C837" s="24">
        <f t="shared" si="13"/>
        <v>2</v>
      </c>
      <c r="D837" s="22" t="s">
        <v>37</v>
      </c>
      <c r="E837" s="22" t="s">
        <v>38</v>
      </c>
      <c r="F837" s="22" t="s">
        <v>31</v>
      </c>
      <c r="G837" s="22" t="s">
        <v>43</v>
      </c>
      <c r="H837" s="22" t="s">
        <v>44</v>
      </c>
      <c r="I837" s="22" t="s">
        <v>45</v>
      </c>
      <c r="J837" s="22" t="s">
        <v>73</v>
      </c>
      <c r="K837" s="22" t="s">
        <v>26</v>
      </c>
      <c r="L837" s="22">
        <v>4</v>
      </c>
      <c r="M837" s="22">
        <v>19200</v>
      </c>
      <c r="N837" s="22">
        <v>0.1</v>
      </c>
      <c r="O837" s="22">
        <v>69120</v>
      </c>
      <c r="P837" s="22">
        <v>57583.91</v>
      </c>
      <c r="Q837" s="22">
        <v>11536.09</v>
      </c>
      <c r="R837" s="22" t="s">
        <v>58</v>
      </c>
    </row>
    <row r="838" hidden="1" spans="1:18">
      <c r="A838" s="22" t="s">
        <v>972</v>
      </c>
      <c r="B838" s="23">
        <v>46069</v>
      </c>
      <c r="C838" s="24">
        <f t="shared" si="13"/>
        <v>2</v>
      </c>
      <c r="D838" s="22" t="s">
        <v>29</v>
      </c>
      <c r="E838" s="22" t="s">
        <v>30</v>
      </c>
      <c r="F838" s="22" t="s">
        <v>60</v>
      </c>
      <c r="G838" s="22" t="s">
        <v>141</v>
      </c>
      <c r="H838" s="22" t="s">
        <v>200</v>
      </c>
      <c r="I838" s="22" t="s">
        <v>24</v>
      </c>
      <c r="J838" s="22" t="s">
        <v>124</v>
      </c>
      <c r="K838" s="22" t="s">
        <v>53</v>
      </c>
      <c r="L838" s="22">
        <v>4</v>
      </c>
      <c r="M838" s="22">
        <v>11500</v>
      </c>
      <c r="N838" s="22">
        <v>0.1</v>
      </c>
      <c r="O838" s="22">
        <v>41400</v>
      </c>
      <c r="P838" s="22">
        <v>31694.7</v>
      </c>
      <c r="Q838" s="22">
        <v>9705.3</v>
      </c>
      <c r="R838" s="22" t="s">
        <v>48</v>
      </c>
    </row>
    <row r="839" spans="1:18">
      <c r="A839" s="22" t="s">
        <v>973</v>
      </c>
      <c r="B839" s="23">
        <v>43769</v>
      </c>
      <c r="C839" s="24">
        <f t="shared" si="13"/>
        <v>10</v>
      </c>
      <c r="D839" s="22" t="s">
        <v>37</v>
      </c>
      <c r="E839" s="22" t="s">
        <v>38</v>
      </c>
      <c r="F839" s="22" t="s">
        <v>55</v>
      </c>
      <c r="G839" s="22" t="s">
        <v>109</v>
      </c>
      <c r="H839" s="22" t="s">
        <v>178</v>
      </c>
      <c r="I839" s="22" t="s">
        <v>24</v>
      </c>
      <c r="J839" s="22" t="s">
        <v>34</v>
      </c>
      <c r="K839" s="22" t="s">
        <v>53</v>
      </c>
      <c r="L839" s="22">
        <v>7</v>
      </c>
      <c r="M839" s="22">
        <v>19100</v>
      </c>
      <c r="N839" s="22">
        <v>0</v>
      </c>
      <c r="O839" s="22">
        <v>133700</v>
      </c>
      <c r="P839" s="22">
        <v>109795.59</v>
      </c>
      <c r="Q839" s="22">
        <v>23904.41</v>
      </c>
      <c r="R839" s="22" t="s">
        <v>58</v>
      </c>
    </row>
    <row r="840" spans="1:18">
      <c r="A840" s="22" t="s">
        <v>974</v>
      </c>
      <c r="B840" s="23">
        <v>43159</v>
      </c>
      <c r="C840" s="24">
        <f t="shared" si="13"/>
        <v>2</v>
      </c>
      <c r="D840" s="22" t="s">
        <v>79</v>
      </c>
      <c r="E840" s="22" t="s">
        <v>38</v>
      </c>
      <c r="F840" s="22" t="s">
        <v>31</v>
      </c>
      <c r="G840" s="22" t="s">
        <v>32</v>
      </c>
      <c r="H840" s="22" t="s">
        <v>226</v>
      </c>
      <c r="I840" s="22" t="s">
        <v>24</v>
      </c>
      <c r="J840" s="22" t="s">
        <v>99</v>
      </c>
      <c r="K840" s="22" t="s">
        <v>26</v>
      </c>
      <c r="L840" s="22">
        <v>10</v>
      </c>
      <c r="M840" s="22">
        <v>50600</v>
      </c>
      <c r="N840" s="22">
        <v>0.15</v>
      </c>
      <c r="O840" s="22">
        <v>430100</v>
      </c>
      <c r="P840" s="22">
        <v>345029.15</v>
      </c>
      <c r="Q840" s="22">
        <v>85070.85</v>
      </c>
      <c r="R840" s="22" t="s">
        <v>58</v>
      </c>
    </row>
    <row r="841" hidden="1" spans="1:18">
      <c r="A841" s="22" t="s">
        <v>975</v>
      </c>
      <c r="B841" s="23">
        <v>44110</v>
      </c>
      <c r="C841" s="24">
        <f t="shared" si="13"/>
        <v>10</v>
      </c>
      <c r="D841" s="22" t="s">
        <v>65</v>
      </c>
      <c r="E841" s="22" t="s">
        <v>30</v>
      </c>
      <c r="F841" s="22" t="s">
        <v>55</v>
      </c>
      <c r="G841" s="22" t="s">
        <v>109</v>
      </c>
      <c r="H841" s="22" t="s">
        <v>110</v>
      </c>
      <c r="I841" s="22" t="s">
        <v>45</v>
      </c>
      <c r="J841" s="22" t="s">
        <v>40</v>
      </c>
      <c r="K841" s="22" t="s">
        <v>47</v>
      </c>
      <c r="L841" s="22">
        <v>7</v>
      </c>
      <c r="M841" s="22">
        <v>700</v>
      </c>
      <c r="N841" s="22">
        <v>0.05</v>
      </c>
      <c r="O841" s="22">
        <v>4655</v>
      </c>
      <c r="P841" s="22">
        <v>3208.26</v>
      </c>
      <c r="Q841" s="22">
        <v>1446.74</v>
      </c>
      <c r="R841" s="22" t="s">
        <v>77</v>
      </c>
    </row>
    <row r="842" spans="1:18">
      <c r="A842" s="22" t="s">
        <v>976</v>
      </c>
      <c r="B842" s="23">
        <v>43830</v>
      </c>
      <c r="C842" s="24">
        <f t="shared" si="13"/>
        <v>12</v>
      </c>
      <c r="D842" s="22" t="s">
        <v>90</v>
      </c>
      <c r="E842" s="22" t="s">
        <v>38</v>
      </c>
      <c r="F842" s="22" t="s">
        <v>21</v>
      </c>
      <c r="G842" s="22" t="s">
        <v>167</v>
      </c>
      <c r="H842" s="22" t="s">
        <v>168</v>
      </c>
      <c r="I842" s="22" t="s">
        <v>51</v>
      </c>
      <c r="J842" s="22" t="s">
        <v>170</v>
      </c>
      <c r="K842" s="22" t="s">
        <v>26</v>
      </c>
      <c r="L842" s="22">
        <v>6</v>
      </c>
      <c r="M842" s="22">
        <v>34400</v>
      </c>
      <c r="N842" s="22">
        <v>0</v>
      </c>
      <c r="O842" s="22">
        <v>206400</v>
      </c>
      <c r="P842" s="22">
        <v>143611.32</v>
      </c>
      <c r="Q842" s="22">
        <v>62788.68</v>
      </c>
      <c r="R842" s="22" t="s">
        <v>48</v>
      </c>
    </row>
    <row r="843" spans="1:18">
      <c r="A843" s="22" t="s">
        <v>977</v>
      </c>
      <c r="B843" s="23">
        <v>43319</v>
      </c>
      <c r="C843" s="24">
        <f t="shared" si="13"/>
        <v>8</v>
      </c>
      <c r="D843" s="22" t="s">
        <v>79</v>
      </c>
      <c r="E843" s="22" t="s">
        <v>38</v>
      </c>
      <c r="F843" s="22" t="s">
        <v>60</v>
      </c>
      <c r="G843" s="22" t="s">
        <v>61</v>
      </c>
      <c r="H843" s="22" t="s">
        <v>62</v>
      </c>
      <c r="I843" s="22" t="s">
        <v>45</v>
      </c>
      <c r="J843" s="22" t="s">
        <v>63</v>
      </c>
      <c r="K843" s="22" t="s">
        <v>26</v>
      </c>
      <c r="L843" s="22">
        <v>7</v>
      </c>
      <c r="M843" s="22">
        <v>67400</v>
      </c>
      <c r="N843" s="22">
        <v>0.15</v>
      </c>
      <c r="O843" s="22">
        <v>401030</v>
      </c>
      <c r="P843" s="22">
        <v>293905.66</v>
      </c>
      <c r="Q843" s="22">
        <v>107124.34</v>
      </c>
      <c r="R843" s="22" t="s">
        <v>77</v>
      </c>
    </row>
    <row r="844" hidden="1" spans="1:18">
      <c r="A844" s="22" t="s">
        <v>978</v>
      </c>
      <c r="B844" s="23">
        <v>43115</v>
      </c>
      <c r="C844" s="24">
        <f t="shared" si="13"/>
        <v>1</v>
      </c>
      <c r="D844" s="22" t="s">
        <v>29</v>
      </c>
      <c r="E844" s="22" t="s">
        <v>30</v>
      </c>
      <c r="F844" s="22" t="s">
        <v>96</v>
      </c>
      <c r="G844" s="22" t="s">
        <v>97</v>
      </c>
      <c r="H844" s="22" t="s">
        <v>147</v>
      </c>
      <c r="I844" s="22" t="s">
        <v>45</v>
      </c>
      <c r="J844" s="22" t="s">
        <v>52</v>
      </c>
      <c r="K844" s="22" t="s">
        <v>47</v>
      </c>
      <c r="L844" s="22">
        <v>5</v>
      </c>
      <c r="M844" s="22">
        <v>1700</v>
      </c>
      <c r="N844" s="22">
        <v>0.05</v>
      </c>
      <c r="O844" s="22">
        <v>8075</v>
      </c>
      <c r="P844" s="22">
        <v>5721.92</v>
      </c>
      <c r="Q844" s="22">
        <v>2353.08</v>
      </c>
      <c r="R844" s="22" t="s">
        <v>35</v>
      </c>
    </row>
    <row r="845" hidden="1" spans="1:18">
      <c r="A845" s="22" t="s">
        <v>979</v>
      </c>
      <c r="B845" s="23">
        <v>43165</v>
      </c>
      <c r="C845" s="24">
        <f t="shared" si="13"/>
        <v>3</v>
      </c>
      <c r="D845" s="22" t="s">
        <v>19</v>
      </c>
      <c r="E845" s="22" t="s">
        <v>20</v>
      </c>
      <c r="F845" s="22" t="s">
        <v>55</v>
      </c>
      <c r="G845" s="22" t="s">
        <v>56</v>
      </c>
      <c r="H845" s="22" t="s">
        <v>57</v>
      </c>
      <c r="I845" s="22" t="s">
        <v>45</v>
      </c>
      <c r="J845" s="22" t="s">
        <v>73</v>
      </c>
      <c r="K845" s="22" t="s">
        <v>47</v>
      </c>
      <c r="L845" s="22">
        <v>9</v>
      </c>
      <c r="M845" s="22">
        <v>16700</v>
      </c>
      <c r="N845" s="22">
        <v>0</v>
      </c>
      <c r="O845" s="22">
        <v>150300</v>
      </c>
      <c r="P845" s="22">
        <v>105408.62</v>
      </c>
      <c r="Q845" s="22">
        <v>44891.38</v>
      </c>
      <c r="R845" s="22" t="s">
        <v>58</v>
      </c>
    </row>
    <row r="846" spans="1:18">
      <c r="A846" s="22" t="s">
        <v>980</v>
      </c>
      <c r="B846" s="23">
        <v>43107</v>
      </c>
      <c r="C846" s="24">
        <f t="shared" si="13"/>
        <v>1</v>
      </c>
      <c r="D846" s="22" t="s">
        <v>79</v>
      </c>
      <c r="E846" s="22" t="s">
        <v>38</v>
      </c>
      <c r="F846" s="22" t="s">
        <v>55</v>
      </c>
      <c r="G846" s="22" t="s">
        <v>80</v>
      </c>
      <c r="H846" s="22" t="s">
        <v>134</v>
      </c>
      <c r="I846" s="22" t="s">
        <v>45</v>
      </c>
      <c r="J846" s="22" t="s">
        <v>63</v>
      </c>
      <c r="K846" s="22" t="s">
        <v>53</v>
      </c>
      <c r="L846" s="22">
        <v>5</v>
      </c>
      <c r="M846" s="22">
        <v>21100</v>
      </c>
      <c r="N846" s="22">
        <v>0.15</v>
      </c>
      <c r="O846" s="22">
        <v>89675</v>
      </c>
      <c r="P846" s="22">
        <v>67087.54</v>
      </c>
      <c r="Q846" s="22">
        <v>22587.46</v>
      </c>
      <c r="R846" s="22" t="s">
        <v>77</v>
      </c>
    </row>
    <row r="847" hidden="1" spans="1:18">
      <c r="A847" s="22" t="s">
        <v>981</v>
      </c>
      <c r="B847" s="23">
        <v>45717</v>
      </c>
      <c r="C847" s="24">
        <f t="shared" si="13"/>
        <v>3</v>
      </c>
      <c r="D847" s="22" t="s">
        <v>103</v>
      </c>
      <c r="E847" s="22" t="s">
        <v>30</v>
      </c>
      <c r="F847" s="22" t="s">
        <v>96</v>
      </c>
      <c r="G847" s="22" t="s">
        <v>97</v>
      </c>
      <c r="H847" s="22" t="s">
        <v>289</v>
      </c>
      <c r="I847" s="22" t="s">
        <v>24</v>
      </c>
      <c r="J847" s="22" t="s">
        <v>88</v>
      </c>
      <c r="K847" s="22" t="s">
        <v>53</v>
      </c>
      <c r="L847" s="22">
        <v>7</v>
      </c>
      <c r="M847" s="22">
        <v>1600</v>
      </c>
      <c r="N847" s="22">
        <v>0.05</v>
      </c>
      <c r="O847" s="22">
        <v>10640</v>
      </c>
      <c r="P847" s="22">
        <v>7158.79</v>
      </c>
      <c r="Q847" s="22">
        <v>3481.21</v>
      </c>
      <c r="R847" s="22" t="s">
        <v>27</v>
      </c>
    </row>
    <row r="848" hidden="1" spans="1:18">
      <c r="A848" s="22" t="s">
        <v>982</v>
      </c>
      <c r="B848" s="23">
        <v>43201</v>
      </c>
      <c r="C848" s="24">
        <f t="shared" si="13"/>
        <v>4</v>
      </c>
      <c r="D848" s="22" t="s">
        <v>19</v>
      </c>
      <c r="E848" s="22" t="s">
        <v>20</v>
      </c>
      <c r="F848" s="22" t="s">
        <v>21</v>
      </c>
      <c r="G848" s="22" t="s">
        <v>70</v>
      </c>
      <c r="H848" s="22" t="s">
        <v>83</v>
      </c>
      <c r="I848" s="22" t="s">
        <v>24</v>
      </c>
      <c r="J848" s="22" t="s">
        <v>40</v>
      </c>
      <c r="K848" s="22" t="s">
        <v>47</v>
      </c>
      <c r="L848" s="22">
        <v>10</v>
      </c>
      <c r="M848" s="22">
        <v>24200</v>
      </c>
      <c r="N848" s="22">
        <v>0.05</v>
      </c>
      <c r="O848" s="22">
        <v>229900</v>
      </c>
      <c r="P848" s="22">
        <v>156469.54</v>
      </c>
      <c r="Q848" s="22">
        <v>73430.46</v>
      </c>
      <c r="R848" s="22" t="s">
        <v>58</v>
      </c>
    </row>
    <row r="849" spans="1:18">
      <c r="A849" s="22" t="s">
        <v>983</v>
      </c>
      <c r="B849" s="23">
        <v>45755</v>
      </c>
      <c r="C849" s="24">
        <f t="shared" si="13"/>
        <v>4</v>
      </c>
      <c r="D849" s="22" t="s">
        <v>69</v>
      </c>
      <c r="E849" s="22" t="s">
        <v>38</v>
      </c>
      <c r="F849" s="22" t="s">
        <v>60</v>
      </c>
      <c r="G849" s="22" t="s">
        <v>86</v>
      </c>
      <c r="H849" s="22" t="s">
        <v>104</v>
      </c>
      <c r="I849" s="22" t="s">
        <v>51</v>
      </c>
      <c r="J849" s="22" t="s">
        <v>170</v>
      </c>
      <c r="K849" s="22" t="s">
        <v>53</v>
      </c>
      <c r="L849" s="22">
        <v>5</v>
      </c>
      <c r="M849" s="22">
        <v>18500</v>
      </c>
      <c r="N849" s="22">
        <v>0.05</v>
      </c>
      <c r="O849" s="22">
        <v>87875</v>
      </c>
      <c r="P849" s="22">
        <v>58886.02</v>
      </c>
      <c r="Q849" s="22">
        <v>28988.98</v>
      </c>
      <c r="R849" s="22" t="s">
        <v>58</v>
      </c>
    </row>
    <row r="850" hidden="1" spans="1:18">
      <c r="A850" s="22" t="s">
        <v>984</v>
      </c>
      <c r="B850" s="23">
        <v>43825</v>
      </c>
      <c r="C850" s="24">
        <f t="shared" si="13"/>
        <v>12</v>
      </c>
      <c r="D850" s="22" t="s">
        <v>85</v>
      </c>
      <c r="E850" s="22" t="s">
        <v>30</v>
      </c>
      <c r="F850" s="22" t="s">
        <v>55</v>
      </c>
      <c r="G850" s="22" t="s">
        <v>109</v>
      </c>
      <c r="H850" s="22" t="s">
        <v>178</v>
      </c>
      <c r="I850" s="22" t="s">
        <v>45</v>
      </c>
      <c r="J850" s="22" t="s">
        <v>73</v>
      </c>
      <c r="K850" s="22" t="s">
        <v>26</v>
      </c>
      <c r="L850" s="22">
        <v>10</v>
      </c>
      <c r="M850" s="22">
        <v>4500</v>
      </c>
      <c r="N850" s="22">
        <v>0.05</v>
      </c>
      <c r="O850" s="22">
        <v>42750</v>
      </c>
      <c r="P850" s="22">
        <v>30380.74</v>
      </c>
      <c r="Q850" s="22">
        <v>12369.26</v>
      </c>
      <c r="R850" s="22" t="s">
        <v>35</v>
      </c>
    </row>
    <row r="851" spans="1:18">
      <c r="A851" s="22" t="s">
        <v>985</v>
      </c>
      <c r="B851" s="23">
        <v>44069</v>
      </c>
      <c r="C851" s="24">
        <f t="shared" si="13"/>
        <v>8</v>
      </c>
      <c r="D851" s="22" t="s">
        <v>79</v>
      </c>
      <c r="E851" s="22" t="s">
        <v>38</v>
      </c>
      <c r="F851" s="22" t="s">
        <v>31</v>
      </c>
      <c r="G851" s="22" t="s">
        <v>43</v>
      </c>
      <c r="H851" s="22" t="s">
        <v>258</v>
      </c>
      <c r="I851" s="22" t="s">
        <v>45</v>
      </c>
      <c r="J851" s="22" t="s">
        <v>25</v>
      </c>
      <c r="K851" s="22" t="s">
        <v>26</v>
      </c>
      <c r="L851" s="22">
        <v>10</v>
      </c>
      <c r="M851" s="22">
        <v>23200</v>
      </c>
      <c r="N851" s="22">
        <v>0.05</v>
      </c>
      <c r="O851" s="22">
        <v>220400</v>
      </c>
      <c r="P851" s="22">
        <v>147032.98</v>
      </c>
      <c r="Q851" s="22">
        <v>73367.02</v>
      </c>
      <c r="R851" s="22" t="s">
        <v>35</v>
      </c>
    </row>
    <row r="852" hidden="1" spans="1:18">
      <c r="A852" s="22" t="s">
        <v>986</v>
      </c>
      <c r="B852" s="23">
        <v>44580</v>
      </c>
      <c r="C852" s="24">
        <f t="shared" si="13"/>
        <v>1</v>
      </c>
      <c r="D852" s="22" t="s">
        <v>69</v>
      </c>
      <c r="E852" s="22" t="s">
        <v>30</v>
      </c>
      <c r="F852" s="22" t="s">
        <v>55</v>
      </c>
      <c r="G852" s="22" t="s">
        <v>109</v>
      </c>
      <c r="H852" s="22" t="s">
        <v>185</v>
      </c>
      <c r="I852" s="22" t="s">
        <v>45</v>
      </c>
      <c r="J852" s="22" t="s">
        <v>88</v>
      </c>
      <c r="K852" s="22" t="s">
        <v>53</v>
      </c>
      <c r="L852" s="22">
        <v>7</v>
      </c>
      <c r="M852" s="22">
        <v>1100</v>
      </c>
      <c r="N852" s="22">
        <v>0.15</v>
      </c>
      <c r="O852" s="22">
        <v>6545</v>
      </c>
      <c r="P852" s="22">
        <v>4311.6</v>
      </c>
      <c r="Q852" s="22">
        <v>2233.4</v>
      </c>
      <c r="R852" s="22" t="s">
        <v>35</v>
      </c>
    </row>
    <row r="853" spans="1:18">
      <c r="A853" s="22" t="s">
        <v>987</v>
      </c>
      <c r="B853" s="23">
        <v>45685</v>
      </c>
      <c r="C853" s="24">
        <f t="shared" si="13"/>
        <v>1</v>
      </c>
      <c r="D853" s="22" t="s">
        <v>69</v>
      </c>
      <c r="E853" s="22" t="s">
        <v>38</v>
      </c>
      <c r="F853" s="22" t="s">
        <v>96</v>
      </c>
      <c r="G853" s="22" t="s">
        <v>97</v>
      </c>
      <c r="H853" s="22" t="s">
        <v>289</v>
      </c>
      <c r="I853" s="22" t="s">
        <v>45</v>
      </c>
      <c r="J853" s="22" t="s">
        <v>46</v>
      </c>
      <c r="K853" s="22" t="s">
        <v>53</v>
      </c>
      <c r="L853" s="22">
        <v>1</v>
      </c>
      <c r="M853" s="22">
        <v>20100</v>
      </c>
      <c r="N853" s="22">
        <v>0.1</v>
      </c>
      <c r="O853" s="22">
        <v>18090</v>
      </c>
      <c r="P853" s="22">
        <v>12265.7</v>
      </c>
      <c r="Q853" s="22">
        <v>5824.3</v>
      </c>
      <c r="R853" s="22" t="s">
        <v>58</v>
      </c>
    </row>
    <row r="854" spans="1:18">
      <c r="A854" s="22" t="s">
        <v>988</v>
      </c>
      <c r="B854" s="23">
        <v>45747</v>
      </c>
      <c r="C854" s="24">
        <f t="shared" si="13"/>
        <v>3</v>
      </c>
      <c r="D854" s="22" t="s">
        <v>42</v>
      </c>
      <c r="E854" s="22" t="s">
        <v>38</v>
      </c>
      <c r="F854" s="22" t="s">
        <v>55</v>
      </c>
      <c r="G854" s="22" t="s">
        <v>195</v>
      </c>
      <c r="H854" s="22" t="s">
        <v>448</v>
      </c>
      <c r="I854" s="22" t="s">
        <v>24</v>
      </c>
      <c r="J854" s="22" t="s">
        <v>88</v>
      </c>
      <c r="K854" s="22" t="s">
        <v>53</v>
      </c>
      <c r="L854" s="22">
        <v>1</v>
      </c>
      <c r="M854" s="22">
        <v>113200</v>
      </c>
      <c r="N854" s="22">
        <v>0.15</v>
      </c>
      <c r="O854" s="22">
        <v>96220</v>
      </c>
      <c r="P854" s="22">
        <v>66493.34</v>
      </c>
      <c r="Q854" s="22">
        <v>29726.66</v>
      </c>
      <c r="R854" s="22" t="s">
        <v>77</v>
      </c>
    </row>
    <row r="855" hidden="1" spans="1:18">
      <c r="A855" s="22" t="s">
        <v>989</v>
      </c>
      <c r="B855" s="23">
        <v>44061</v>
      </c>
      <c r="C855" s="24">
        <f t="shared" si="13"/>
        <v>8</v>
      </c>
      <c r="D855" s="22" t="s">
        <v>133</v>
      </c>
      <c r="E855" s="22" t="s">
        <v>213</v>
      </c>
      <c r="F855" s="22" t="s">
        <v>21</v>
      </c>
      <c r="G855" s="22" t="s">
        <v>22</v>
      </c>
      <c r="H855" s="22" t="s">
        <v>23</v>
      </c>
      <c r="I855" s="22" t="s">
        <v>45</v>
      </c>
      <c r="J855" s="22" t="s">
        <v>52</v>
      </c>
      <c r="K855" s="22" t="s">
        <v>26</v>
      </c>
      <c r="L855" s="22">
        <v>2</v>
      </c>
      <c r="M855" s="22">
        <v>13900</v>
      </c>
      <c r="N855" s="22">
        <v>0.1</v>
      </c>
      <c r="O855" s="22">
        <v>25020</v>
      </c>
      <c r="P855" s="22">
        <v>20097.19</v>
      </c>
      <c r="Q855" s="22">
        <v>4922.81</v>
      </c>
      <c r="R855" s="22" t="s">
        <v>58</v>
      </c>
    </row>
    <row r="856" hidden="1" spans="1:18">
      <c r="A856" s="22" t="s">
        <v>990</v>
      </c>
      <c r="B856" s="23">
        <v>46071</v>
      </c>
      <c r="C856" s="24">
        <f t="shared" si="13"/>
        <v>2</v>
      </c>
      <c r="D856" s="22" t="s">
        <v>103</v>
      </c>
      <c r="E856" s="22" t="s">
        <v>30</v>
      </c>
      <c r="F856" s="22" t="s">
        <v>96</v>
      </c>
      <c r="G856" s="22" t="s">
        <v>113</v>
      </c>
      <c r="H856" s="22" t="s">
        <v>126</v>
      </c>
      <c r="I856" s="22" t="s">
        <v>24</v>
      </c>
      <c r="J856" s="22" t="s">
        <v>46</v>
      </c>
      <c r="K856" s="22" t="s">
        <v>26</v>
      </c>
      <c r="L856" s="22">
        <v>4</v>
      </c>
      <c r="M856" s="22">
        <v>4400</v>
      </c>
      <c r="N856" s="22">
        <v>0.15</v>
      </c>
      <c r="O856" s="22">
        <v>14960</v>
      </c>
      <c r="P856" s="22">
        <v>9999.48</v>
      </c>
      <c r="Q856" s="22">
        <v>4960.52</v>
      </c>
      <c r="R856" s="22" t="s">
        <v>58</v>
      </c>
    </row>
    <row r="857" spans="1:18">
      <c r="A857" s="22" t="s">
        <v>991</v>
      </c>
      <c r="B857" s="23">
        <v>43806</v>
      </c>
      <c r="C857" s="24">
        <f t="shared" si="13"/>
        <v>12</v>
      </c>
      <c r="D857" s="22" t="s">
        <v>79</v>
      </c>
      <c r="E857" s="22" t="s">
        <v>38</v>
      </c>
      <c r="F857" s="22" t="s">
        <v>31</v>
      </c>
      <c r="G857" s="22" t="s">
        <v>32</v>
      </c>
      <c r="H857" s="22" t="s">
        <v>226</v>
      </c>
      <c r="I857" s="22" t="s">
        <v>24</v>
      </c>
      <c r="J857" s="22" t="s">
        <v>25</v>
      </c>
      <c r="K857" s="22" t="s">
        <v>53</v>
      </c>
      <c r="L857" s="22">
        <v>8</v>
      </c>
      <c r="M857" s="22">
        <v>63400</v>
      </c>
      <c r="N857" s="22">
        <v>0.1</v>
      </c>
      <c r="O857" s="22">
        <v>456480</v>
      </c>
      <c r="P857" s="22">
        <v>381176.1</v>
      </c>
      <c r="Q857" s="22">
        <v>75303.9</v>
      </c>
      <c r="R857" s="22" t="s">
        <v>77</v>
      </c>
    </row>
    <row r="858" spans="1:18">
      <c r="A858" s="22" t="s">
        <v>992</v>
      </c>
      <c r="B858" s="23">
        <v>43966</v>
      </c>
      <c r="C858" s="24">
        <f t="shared" si="13"/>
        <v>5</v>
      </c>
      <c r="D858" s="22" t="s">
        <v>75</v>
      </c>
      <c r="E858" s="22" t="s">
        <v>38</v>
      </c>
      <c r="F858" s="22" t="s">
        <v>96</v>
      </c>
      <c r="G858" s="22" t="s">
        <v>97</v>
      </c>
      <c r="H858" s="22" t="s">
        <v>98</v>
      </c>
      <c r="I858" s="22" t="s">
        <v>45</v>
      </c>
      <c r="J858" s="22" t="s">
        <v>46</v>
      </c>
      <c r="K858" s="22" t="s">
        <v>47</v>
      </c>
      <c r="L858" s="22">
        <v>3</v>
      </c>
      <c r="M858" s="22">
        <v>71800</v>
      </c>
      <c r="N858" s="22">
        <v>0.05</v>
      </c>
      <c r="O858" s="22">
        <v>204630</v>
      </c>
      <c r="P858" s="22">
        <v>129298.57</v>
      </c>
      <c r="Q858" s="22">
        <v>75331.43</v>
      </c>
      <c r="R858" s="22" t="s">
        <v>77</v>
      </c>
    </row>
    <row r="859" spans="1:18">
      <c r="A859" s="22" t="s">
        <v>993</v>
      </c>
      <c r="B859" s="23">
        <v>43307</v>
      </c>
      <c r="C859" s="24">
        <f t="shared" si="13"/>
        <v>7</v>
      </c>
      <c r="D859" s="22" t="s">
        <v>79</v>
      </c>
      <c r="E859" s="22" t="s">
        <v>38</v>
      </c>
      <c r="F859" s="22" t="s">
        <v>21</v>
      </c>
      <c r="G859" s="22" t="s">
        <v>167</v>
      </c>
      <c r="H859" s="22" t="s">
        <v>168</v>
      </c>
      <c r="I859" s="22" t="s">
        <v>45</v>
      </c>
      <c r="J859" s="22" t="s">
        <v>99</v>
      </c>
      <c r="K859" s="22" t="s">
        <v>53</v>
      </c>
      <c r="L859" s="22">
        <v>6</v>
      </c>
      <c r="M859" s="22">
        <v>61600</v>
      </c>
      <c r="N859" s="22">
        <v>0.15</v>
      </c>
      <c r="O859" s="22">
        <v>314160</v>
      </c>
      <c r="P859" s="22">
        <v>219748.2</v>
      </c>
      <c r="Q859" s="22">
        <v>94411.8</v>
      </c>
      <c r="R859" s="22" t="s">
        <v>58</v>
      </c>
    </row>
    <row r="860" hidden="1" spans="1:18">
      <c r="A860" s="22" t="s">
        <v>994</v>
      </c>
      <c r="B860" s="23">
        <v>43240</v>
      </c>
      <c r="C860" s="24">
        <f t="shared" si="13"/>
        <v>5</v>
      </c>
      <c r="D860" s="22" t="s">
        <v>29</v>
      </c>
      <c r="E860" s="22" t="s">
        <v>30</v>
      </c>
      <c r="F860" s="22" t="s">
        <v>96</v>
      </c>
      <c r="G860" s="22" t="s">
        <v>113</v>
      </c>
      <c r="H860" s="22" t="s">
        <v>114</v>
      </c>
      <c r="I860" s="22" t="s">
        <v>24</v>
      </c>
      <c r="J860" s="22" t="s">
        <v>73</v>
      </c>
      <c r="K860" s="22" t="s">
        <v>53</v>
      </c>
      <c r="L860" s="22">
        <v>9</v>
      </c>
      <c r="M860" s="22">
        <v>3700</v>
      </c>
      <c r="N860" s="22">
        <v>0.1</v>
      </c>
      <c r="O860" s="22">
        <v>29970</v>
      </c>
      <c r="P860" s="22">
        <v>19043.72</v>
      </c>
      <c r="Q860" s="22">
        <v>10926.28</v>
      </c>
      <c r="R860" s="22" t="s">
        <v>58</v>
      </c>
    </row>
    <row r="861" spans="1:18">
      <c r="A861" s="22" t="s">
        <v>995</v>
      </c>
      <c r="B861" s="23">
        <v>46073</v>
      </c>
      <c r="C861" s="24">
        <f t="shared" si="13"/>
        <v>2</v>
      </c>
      <c r="D861" s="22" t="s">
        <v>103</v>
      </c>
      <c r="E861" s="22" t="s">
        <v>38</v>
      </c>
      <c r="F861" s="22" t="s">
        <v>21</v>
      </c>
      <c r="G861" s="22" t="s">
        <v>167</v>
      </c>
      <c r="H861" s="22" t="s">
        <v>206</v>
      </c>
      <c r="I861" s="22" t="s">
        <v>51</v>
      </c>
      <c r="J861" s="22" t="s">
        <v>116</v>
      </c>
      <c r="K861" s="22" t="s">
        <v>53</v>
      </c>
      <c r="L861" s="22">
        <v>7</v>
      </c>
      <c r="M861" s="22">
        <v>35300</v>
      </c>
      <c r="N861" s="22">
        <v>0.05</v>
      </c>
      <c r="O861" s="22">
        <v>234745</v>
      </c>
      <c r="P861" s="22">
        <v>151277.64</v>
      </c>
      <c r="Q861" s="22">
        <v>83467.36</v>
      </c>
      <c r="R861" s="22" t="s">
        <v>77</v>
      </c>
    </row>
    <row r="862" hidden="1" spans="1:18">
      <c r="A862" s="22" t="s">
        <v>996</v>
      </c>
      <c r="B862" s="23">
        <v>44218</v>
      </c>
      <c r="C862" s="24">
        <f t="shared" si="13"/>
        <v>1</v>
      </c>
      <c r="D862" s="22" t="s">
        <v>19</v>
      </c>
      <c r="E862" s="22" t="s">
        <v>20</v>
      </c>
      <c r="F862" s="22" t="s">
        <v>55</v>
      </c>
      <c r="G862" s="22" t="s">
        <v>80</v>
      </c>
      <c r="H862" s="22" t="s">
        <v>160</v>
      </c>
      <c r="I862" s="22" t="s">
        <v>45</v>
      </c>
      <c r="J862" s="22" t="s">
        <v>73</v>
      </c>
      <c r="K862" s="22" t="s">
        <v>26</v>
      </c>
      <c r="L862" s="22">
        <v>3</v>
      </c>
      <c r="M862" s="22">
        <v>16000</v>
      </c>
      <c r="N862" s="22">
        <v>0</v>
      </c>
      <c r="O862" s="22">
        <v>48000</v>
      </c>
      <c r="P862" s="22">
        <v>30996</v>
      </c>
      <c r="Q862" s="22">
        <v>17004</v>
      </c>
      <c r="R862" s="22" t="s">
        <v>35</v>
      </c>
    </row>
    <row r="863" spans="1:18">
      <c r="A863" s="22" t="s">
        <v>997</v>
      </c>
      <c r="B863" s="23">
        <v>43117</v>
      </c>
      <c r="C863" s="24">
        <f t="shared" si="13"/>
        <v>1</v>
      </c>
      <c r="D863" s="22" t="s">
        <v>42</v>
      </c>
      <c r="E863" s="22" t="s">
        <v>38</v>
      </c>
      <c r="F863" s="22" t="s">
        <v>31</v>
      </c>
      <c r="G863" s="22" t="s">
        <v>32</v>
      </c>
      <c r="H863" s="22" t="s">
        <v>50</v>
      </c>
      <c r="I863" s="22" t="s">
        <v>45</v>
      </c>
      <c r="J863" s="22" t="s">
        <v>46</v>
      </c>
      <c r="K863" s="22" t="s">
        <v>53</v>
      </c>
      <c r="L863" s="22">
        <v>4</v>
      </c>
      <c r="M863" s="22">
        <v>73100</v>
      </c>
      <c r="N863" s="22">
        <v>0</v>
      </c>
      <c r="O863" s="22">
        <v>292400</v>
      </c>
      <c r="P863" s="22">
        <v>211948.04</v>
      </c>
      <c r="Q863" s="22">
        <v>80451.96</v>
      </c>
      <c r="R863" s="22" t="s">
        <v>77</v>
      </c>
    </row>
    <row r="864" spans="1:18">
      <c r="A864" s="22" t="s">
        <v>998</v>
      </c>
      <c r="B864" s="23">
        <v>44308</v>
      </c>
      <c r="C864" s="24">
        <f t="shared" si="13"/>
        <v>4</v>
      </c>
      <c r="D864" s="22" t="s">
        <v>42</v>
      </c>
      <c r="E864" s="22" t="s">
        <v>38</v>
      </c>
      <c r="F864" s="22" t="s">
        <v>55</v>
      </c>
      <c r="G864" s="22" t="s">
        <v>80</v>
      </c>
      <c r="H864" s="22" t="s">
        <v>81</v>
      </c>
      <c r="I864" s="22" t="s">
        <v>45</v>
      </c>
      <c r="J864" s="22" t="s">
        <v>25</v>
      </c>
      <c r="K864" s="22" t="s">
        <v>26</v>
      </c>
      <c r="L864" s="22">
        <v>5</v>
      </c>
      <c r="M864" s="22">
        <v>74600</v>
      </c>
      <c r="N864" s="22">
        <v>0</v>
      </c>
      <c r="O864" s="22">
        <v>373000</v>
      </c>
      <c r="P864" s="22">
        <v>285962.29</v>
      </c>
      <c r="Q864" s="22">
        <v>87037.71</v>
      </c>
      <c r="R864" s="22" t="s">
        <v>77</v>
      </c>
    </row>
    <row r="865" spans="1:18">
      <c r="A865" s="22" t="s">
        <v>999</v>
      </c>
      <c r="B865" s="23">
        <v>43195</v>
      </c>
      <c r="C865" s="24">
        <f t="shared" si="13"/>
        <v>4</v>
      </c>
      <c r="D865" s="22" t="s">
        <v>90</v>
      </c>
      <c r="E865" s="22" t="s">
        <v>38</v>
      </c>
      <c r="F865" s="22" t="s">
        <v>55</v>
      </c>
      <c r="G865" s="22" t="s">
        <v>56</v>
      </c>
      <c r="H865" s="22" t="s">
        <v>76</v>
      </c>
      <c r="I865" s="22" t="s">
        <v>51</v>
      </c>
      <c r="J865" s="22" t="s">
        <v>124</v>
      </c>
      <c r="K865" s="22" t="s">
        <v>26</v>
      </c>
      <c r="L865" s="22">
        <v>4</v>
      </c>
      <c r="M865" s="22">
        <v>22400</v>
      </c>
      <c r="N865" s="22">
        <v>0.05</v>
      </c>
      <c r="O865" s="22">
        <v>85120</v>
      </c>
      <c r="P865" s="22">
        <v>57209.05</v>
      </c>
      <c r="Q865" s="22">
        <v>27910.95</v>
      </c>
      <c r="R865" s="22" t="s">
        <v>35</v>
      </c>
    </row>
    <row r="866" hidden="1" spans="1:18">
      <c r="A866" s="22" t="s">
        <v>1000</v>
      </c>
      <c r="B866" s="23">
        <v>43344</v>
      </c>
      <c r="C866" s="24">
        <f t="shared" si="13"/>
        <v>9</v>
      </c>
      <c r="D866" s="22" t="s">
        <v>65</v>
      </c>
      <c r="E866" s="22" t="s">
        <v>30</v>
      </c>
      <c r="F866" s="22" t="s">
        <v>96</v>
      </c>
      <c r="G866" s="22" t="s">
        <v>97</v>
      </c>
      <c r="H866" s="22" t="s">
        <v>289</v>
      </c>
      <c r="I866" s="22" t="s">
        <v>45</v>
      </c>
      <c r="J866" s="22" t="s">
        <v>124</v>
      </c>
      <c r="K866" s="22" t="s">
        <v>53</v>
      </c>
      <c r="L866" s="22">
        <v>8</v>
      </c>
      <c r="M866" s="22">
        <v>1200</v>
      </c>
      <c r="N866" s="22">
        <v>0.05</v>
      </c>
      <c r="O866" s="22">
        <v>9120</v>
      </c>
      <c r="P866" s="22">
        <v>6478.43</v>
      </c>
      <c r="Q866" s="22">
        <v>2641.57</v>
      </c>
      <c r="R866" s="22" t="s">
        <v>35</v>
      </c>
    </row>
    <row r="867" spans="1:18">
      <c r="A867" s="22" t="s">
        <v>1001</v>
      </c>
      <c r="B867" s="23">
        <v>44226</v>
      </c>
      <c r="C867" s="24">
        <f t="shared" si="13"/>
        <v>1</v>
      </c>
      <c r="D867" s="22" t="s">
        <v>121</v>
      </c>
      <c r="E867" s="22" t="s">
        <v>38</v>
      </c>
      <c r="F867" s="22" t="s">
        <v>96</v>
      </c>
      <c r="G867" s="22" t="s">
        <v>97</v>
      </c>
      <c r="H867" s="22" t="s">
        <v>289</v>
      </c>
      <c r="I867" s="22" t="s">
        <v>51</v>
      </c>
      <c r="J867" s="22" t="s">
        <v>40</v>
      </c>
      <c r="K867" s="22" t="s">
        <v>53</v>
      </c>
      <c r="L867" s="22">
        <v>5</v>
      </c>
      <c r="M867" s="22">
        <v>57000</v>
      </c>
      <c r="N867" s="22">
        <v>0.1</v>
      </c>
      <c r="O867" s="22">
        <v>256500</v>
      </c>
      <c r="P867" s="22">
        <v>207200.34</v>
      </c>
      <c r="Q867" s="22">
        <v>49299.66</v>
      </c>
      <c r="R867" s="22" t="s">
        <v>77</v>
      </c>
    </row>
    <row r="868" hidden="1" spans="1:18">
      <c r="A868" s="22" t="s">
        <v>1002</v>
      </c>
      <c r="B868" s="23">
        <v>45662</v>
      </c>
      <c r="C868" s="24">
        <f t="shared" si="13"/>
        <v>1</v>
      </c>
      <c r="D868" s="22" t="s">
        <v>133</v>
      </c>
      <c r="E868" s="22" t="s">
        <v>213</v>
      </c>
      <c r="F868" s="22" t="s">
        <v>31</v>
      </c>
      <c r="G868" s="22" t="s">
        <v>43</v>
      </c>
      <c r="H868" s="22" t="s">
        <v>44</v>
      </c>
      <c r="I868" s="22" t="s">
        <v>24</v>
      </c>
      <c r="J868" s="22" t="s">
        <v>40</v>
      </c>
      <c r="K868" s="22" t="s">
        <v>53</v>
      </c>
      <c r="L868" s="22">
        <v>5</v>
      </c>
      <c r="M868" s="22">
        <v>3900</v>
      </c>
      <c r="N868" s="22">
        <v>0.1</v>
      </c>
      <c r="O868" s="22">
        <v>17550</v>
      </c>
      <c r="P868" s="22">
        <v>12798.55</v>
      </c>
      <c r="Q868" s="22">
        <v>4751.45</v>
      </c>
      <c r="R868" s="22" t="s">
        <v>27</v>
      </c>
    </row>
    <row r="869" hidden="1" spans="1:18">
      <c r="A869" s="22" t="s">
        <v>1003</v>
      </c>
      <c r="B869" s="23">
        <v>45676</v>
      </c>
      <c r="C869" s="24">
        <f t="shared" si="13"/>
        <v>1</v>
      </c>
      <c r="D869" s="22" t="s">
        <v>69</v>
      </c>
      <c r="E869" s="22" t="s">
        <v>30</v>
      </c>
      <c r="F869" s="22" t="s">
        <v>60</v>
      </c>
      <c r="G869" s="22" t="s">
        <v>141</v>
      </c>
      <c r="H869" s="22" t="s">
        <v>200</v>
      </c>
      <c r="I869" s="22" t="s">
        <v>45</v>
      </c>
      <c r="J869" s="22" t="s">
        <v>73</v>
      </c>
      <c r="K869" s="22" t="s">
        <v>26</v>
      </c>
      <c r="L869" s="22">
        <v>10</v>
      </c>
      <c r="M869" s="22">
        <v>2600</v>
      </c>
      <c r="N869" s="22">
        <v>0.15</v>
      </c>
      <c r="O869" s="22">
        <v>22100</v>
      </c>
      <c r="P869" s="22">
        <v>17709.16</v>
      </c>
      <c r="Q869" s="22">
        <v>4390.84</v>
      </c>
      <c r="R869" s="22" t="s">
        <v>48</v>
      </c>
    </row>
    <row r="870" hidden="1" spans="1:18">
      <c r="A870" s="22" t="s">
        <v>1004</v>
      </c>
      <c r="B870" s="23">
        <v>45685</v>
      </c>
      <c r="C870" s="24">
        <f t="shared" si="13"/>
        <v>1</v>
      </c>
      <c r="D870" s="22" t="s">
        <v>69</v>
      </c>
      <c r="E870" s="22" t="s">
        <v>30</v>
      </c>
      <c r="F870" s="22" t="s">
        <v>31</v>
      </c>
      <c r="G870" s="22" t="s">
        <v>66</v>
      </c>
      <c r="H870" s="22" t="s">
        <v>244</v>
      </c>
      <c r="I870" s="22" t="s">
        <v>45</v>
      </c>
      <c r="J870" s="22" t="s">
        <v>52</v>
      </c>
      <c r="K870" s="22" t="s">
        <v>26</v>
      </c>
      <c r="L870" s="22">
        <v>2</v>
      </c>
      <c r="M870" s="22">
        <v>500</v>
      </c>
      <c r="N870" s="22">
        <v>0.2</v>
      </c>
      <c r="O870" s="22">
        <v>800</v>
      </c>
      <c r="P870" s="22">
        <v>515.8</v>
      </c>
      <c r="Q870" s="22">
        <v>284.2</v>
      </c>
      <c r="R870" s="22" t="s">
        <v>27</v>
      </c>
    </row>
    <row r="871" hidden="1" spans="1:18">
      <c r="A871" s="22" t="s">
        <v>1005</v>
      </c>
      <c r="B871" s="23">
        <v>43337</v>
      </c>
      <c r="C871" s="24">
        <f t="shared" si="13"/>
        <v>8</v>
      </c>
      <c r="D871" s="22" t="s">
        <v>85</v>
      </c>
      <c r="E871" s="22" t="s">
        <v>30</v>
      </c>
      <c r="F871" s="22" t="s">
        <v>31</v>
      </c>
      <c r="G871" s="22" t="s">
        <v>172</v>
      </c>
      <c r="H871" s="22" t="s">
        <v>286</v>
      </c>
      <c r="I871" s="22" t="s">
        <v>51</v>
      </c>
      <c r="J871" s="22" t="s">
        <v>124</v>
      </c>
      <c r="K871" s="22" t="s">
        <v>47</v>
      </c>
      <c r="L871" s="22">
        <v>1</v>
      </c>
      <c r="M871" s="22">
        <v>2100</v>
      </c>
      <c r="N871" s="22">
        <v>0.15</v>
      </c>
      <c r="O871" s="22">
        <v>1785</v>
      </c>
      <c r="P871" s="22">
        <v>1377.55</v>
      </c>
      <c r="Q871" s="22">
        <v>407.45</v>
      </c>
      <c r="R871" s="22" t="s">
        <v>77</v>
      </c>
    </row>
    <row r="872" spans="1:18">
      <c r="A872" s="22" t="s">
        <v>1006</v>
      </c>
      <c r="B872" s="23">
        <v>43268</v>
      </c>
      <c r="C872" s="24">
        <f t="shared" si="13"/>
        <v>6</v>
      </c>
      <c r="D872" s="22" t="s">
        <v>79</v>
      </c>
      <c r="E872" s="22" t="s">
        <v>38</v>
      </c>
      <c r="F872" s="22" t="s">
        <v>31</v>
      </c>
      <c r="G872" s="22" t="s">
        <v>66</v>
      </c>
      <c r="H872" s="22" t="s">
        <v>244</v>
      </c>
      <c r="I872" s="22" t="s">
        <v>24</v>
      </c>
      <c r="J872" s="22" t="s">
        <v>116</v>
      </c>
      <c r="K872" s="22" t="s">
        <v>53</v>
      </c>
      <c r="L872" s="22">
        <v>8</v>
      </c>
      <c r="M872" s="22">
        <v>44600</v>
      </c>
      <c r="N872" s="22">
        <v>0</v>
      </c>
      <c r="O872" s="22">
        <v>356800</v>
      </c>
      <c r="P872" s="22">
        <v>232208.96</v>
      </c>
      <c r="Q872" s="22">
        <v>124591.04</v>
      </c>
      <c r="R872" s="22" t="s">
        <v>58</v>
      </c>
    </row>
    <row r="873" hidden="1" spans="1:18">
      <c r="A873" s="22" t="s">
        <v>1007</v>
      </c>
      <c r="B873" s="23">
        <v>45744</v>
      </c>
      <c r="C873" s="24">
        <f t="shared" si="13"/>
        <v>3</v>
      </c>
      <c r="D873" s="22" t="s">
        <v>85</v>
      </c>
      <c r="E873" s="22" t="s">
        <v>30</v>
      </c>
      <c r="F873" s="22" t="s">
        <v>55</v>
      </c>
      <c r="G873" s="22" t="s">
        <v>56</v>
      </c>
      <c r="H873" s="22" t="s">
        <v>57</v>
      </c>
      <c r="I873" s="22" t="s">
        <v>51</v>
      </c>
      <c r="J873" s="22" t="s">
        <v>116</v>
      </c>
      <c r="K873" s="22" t="s">
        <v>47</v>
      </c>
      <c r="L873" s="22">
        <v>4</v>
      </c>
      <c r="M873" s="22">
        <v>4000</v>
      </c>
      <c r="N873" s="22">
        <v>0.1</v>
      </c>
      <c r="O873" s="22">
        <v>14400</v>
      </c>
      <c r="P873" s="22">
        <v>10913.65</v>
      </c>
      <c r="Q873" s="22">
        <v>3486.35</v>
      </c>
      <c r="R873" s="22" t="s">
        <v>35</v>
      </c>
    </row>
    <row r="874" hidden="1" spans="1:18">
      <c r="A874" s="22" t="s">
        <v>1008</v>
      </c>
      <c r="B874" s="23">
        <v>46082</v>
      </c>
      <c r="C874" s="24">
        <f t="shared" si="13"/>
        <v>3</v>
      </c>
      <c r="D874" s="22" t="s">
        <v>103</v>
      </c>
      <c r="E874" s="22" t="s">
        <v>30</v>
      </c>
      <c r="F874" s="22" t="s">
        <v>31</v>
      </c>
      <c r="G874" s="22" t="s">
        <v>32</v>
      </c>
      <c r="H874" s="22" t="s">
        <v>50</v>
      </c>
      <c r="I874" s="22" t="s">
        <v>45</v>
      </c>
      <c r="J874" s="22" t="s">
        <v>46</v>
      </c>
      <c r="K874" s="22" t="s">
        <v>47</v>
      </c>
      <c r="L874" s="22">
        <v>1</v>
      </c>
      <c r="M874" s="22">
        <v>6700</v>
      </c>
      <c r="N874" s="22">
        <v>0.15</v>
      </c>
      <c r="O874" s="22">
        <v>5695</v>
      </c>
      <c r="P874" s="22">
        <v>4086.92</v>
      </c>
      <c r="Q874" s="22">
        <v>1608.08</v>
      </c>
      <c r="R874" s="22" t="s">
        <v>48</v>
      </c>
    </row>
    <row r="875" hidden="1" spans="1:18">
      <c r="A875" s="22" t="s">
        <v>1009</v>
      </c>
      <c r="B875" s="23">
        <v>43205</v>
      </c>
      <c r="C875" s="24">
        <f t="shared" si="13"/>
        <v>4</v>
      </c>
      <c r="D875" s="22" t="s">
        <v>65</v>
      </c>
      <c r="E875" s="22" t="s">
        <v>30</v>
      </c>
      <c r="F875" s="22" t="s">
        <v>60</v>
      </c>
      <c r="G875" s="22" t="s">
        <v>141</v>
      </c>
      <c r="H875" s="22" t="s">
        <v>200</v>
      </c>
      <c r="I875" s="22" t="s">
        <v>51</v>
      </c>
      <c r="J875" s="22" t="s">
        <v>46</v>
      </c>
      <c r="K875" s="22" t="s">
        <v>26</v>
      </c>
      <c r="L875" s="22">
        <v>1</v>
      </c>
      <c r="M875" s="22">
        <v>500</v>
      </c>
      <c r="N875" s="22">
        <v>0.1</v>
      </c>
      <c r="O875" s="22">
        <v>450</v>
      </c>
      <c r="P875" s="22">
        <v>362.89</v>
      </c>
      <c r="Q875" s="22">
        <v>87.11</v>
      </c>
      <c r="R875" s="22" t="s">
        <v>77</v>
      </c>
    </row>
    <row r="876" spans="1:18">
      <c r="A876" s="22" t="s">
        <v>1010</v>
      </c>
      <c r="B876" s="23">
        <v>43990</v>
      </c>
      <c r="C876" s="24">
        <f t="shared" si="13"/>
        <v>6</v>
      </c>
      <c r="D876" s="22" t="s">
        <v>75</v>
      </c>
      <c r="E876" s="22" t="s">
        <v>38</v>
      </c>
      <c r="F876" s="22" t="s">
        <v>31</v>
      </c>
      <c r="G876" s="22" t="s">
        <v>43</v>
      </c>
      <c r="H876" s="22" t="s">
        <v>258</v>
      </c>
      <c r="I876" s="22" t="s">
        <v>24</v>
      </c>
      <c r="J876" s="22" t="s">
        <v>116</v>
      </c>
      <c r="K876" s="22" t="s">
        <v>47</v>
      </c>
      <c r="L876" s="22">
        <v>6</v>
      </c>
      <c r="M876" s="22">
        <v>51600</v>
      </c>
      <c r="N876" s="22">
        <v>0.1</v>
      </c>
      <c r="O876" s="22">
        <v>278640</v>
      </c>
      <c r="P876" s="22">
        <v>178151.64</v>
      </c>
      <c r="Q876" s="22">
        <v>100488.36</v>
      </c>
      <c r="R876" s="22" t="s">
        <v>35</v>
      </c>
    </row>
    <row r="877" spans="1:18">
      <c r="A877" s="22" t="s">
        <v>1011</v>
      </c>
      <c r="B877" s="23">
        <v>43782</v>
      </c>
      <c r="C877" s="24">
        <f t="shared" si="13"/>
        <v>11</v>
      </c>
      <c r="D877" s="22" t="s">
        <v>37</v>
      </c>
      <c r="E877" s="22" t="s">
        <v>38</v>
      </c>
      <c r="F877" s="22" t="s">
        <v>55</v>
      </c>
      <c r="G877" s="22" t="s">
        <v>56</v>
      </c>
      <c r="H877" s="22" t="s">
        <v>76</v>
      </c>
      <c r="I877" s="22" t="s">
        <v>24</v>
      </c>
      <c r="J877" s="22" t="s">
        <v>46</v>
      </c>
      <c r="K877" s="22" t="s">
        <v>53</v>
      </c>
      <c r="L877" s="22">
        <v>6</v>
      </c>
      <c r="M877" s="22">
        <v>30100</v>
      </c>
      <c r="N877" s="22">
        <v>0</v>
      </c>
      <c r="O877" s="22">
        <v>180600</v>
      </c>
      <c r="P877" s="22">
        <v>120519.17</v>
      </c>
      <c r="Q877" s="22">
        <v>60080.83</v>
      </c>
      <c r="R877" s="22" t="s">
        <v>77</v>
      </c>
    </row>
    <row r="878" hidden="1" spans="1:18">
      <c r="A878" s="22" t="s">
        <v>1012</v>
      </c>
      <c r="B878" s="23">
        <v>43283</v>
      </c>
      <c r="C878" s="24">
        <f t="shared" si="13"/>
        <v>7</v>
      </c>
      <c r="D878" s="22" t="s">
        <v>19</v>
      </c>
      <c r="E878" s="22" t="s">
        <v>20</v>
      </c>
      <c r="F878" s="22" t="s">
        <v>31</v>
      </c>
      <c r="G878" s="22" t="s">
        <v>66</v>
      </c>
      <c r="H878" s="22" t="s">
        <v>67</v>
      </c>
      <c r="I878" s="22" t="s">
        <v>51</v>
      </c>
      <c r="J878" s="22" t="s">
        <v>52</v>
      </c>
      <c r="K878" s="22" t="s">
        <v>26</v>
      </c>
      <c r="L878" s="22">
        <v>5</v>
      </c>
      <c r="M878" s="22">
        <v>25300</v>
      </c>
      <c r="N878" s="22">
        <v>0</v>
      </c>
      <c r="O878" s="22">
        <v>126500</v>
      </c>
      <c r="P878" s="22">
        <v>94069.94</v>
      </c>
      <c r="Q878" s="22">
        <v>32430.06</v>
      </c>
      <c r="R878" s="22" t="s">
        <v>77</v>
      </c>
    </row>
    <row r="879" hidden="1" spans="1:18">
      <c r="A879" s="22" t="s">
        <v>1013</v>
      </c>
      <c r="B879" s="23">
        <v>45672</v>
      </c>
      <c r="C879" s="24">
        <f t="shared" si="13"/>
        <v>1</v>
      </c>
      <c r="D879" s="22" t="s">
        <v>69</v>
      </c>
      <c r="E879" s="22" t="s">
        <v>30</v>
      </c>
      <c r="F879" s="22" t="s">
        <v>60</v>
      </c>
      <c r="G879" s="22" t="s">
        <v>93</v>
      </c>
      <c r="H879" s="22" t="s">
        <v>94</v>
      </c>
      <c r="I879" s="22" t="s">
        <v>45</v>
      </c>
      <c r="J879" s="22" t="s">
        <v>124</v>
      </c>
      <c r="K879" s="22" t="s">
        <v>53</v>
      </c>
      <c r="L879" s="22">
        <v>5</v>
      </c>
      <c r="M879" s="22">
        <v>3100</v>
      </c>
      <c r="N879" s="22">
        <v>0.1</v>
      </c>
      <c r="O879" s="22">
        <v>13950</v>
      </c>
      <c r="P879" s="22">
        <v>10465.59</v>
      </c>
      <c r="Q879" s="22">
        <v>3484.41</v>
      </c>
      <c r="R879" s="22" t="s">
        <v>48</v>
      </c>
    </row>
    <row r="880" spans="1:18">
      <c r="A880" s="22" t="s">
        <v>1014</v>
      </c>
      <c r="B880" s="23">
        <v>46000</v>
      </c>
      <c r="C880" s="24">
        <f t="shared" si="13"/>
        <v>12</v>
      </c>
      <c r="D880" s="22" t="s">
        <v>79</v>
      </c>
      <c r="E880" s="22" t="s">
        <v>38</v>
      </c>
      <c r="F880" s="22" t="s">
        <v>96</v>
      </c>
      <c r="G880" s="22" t="s">
        <v>97</v>
      </c>
      <c r="H880" s="22" t="s">
        <v>147</v>
      </c>
      <c r="I880" s="22" t="s">
        <v>51</v>
      </c>
      <c r="J880" s="22" t="s">
        <v>25</v>
      </c>
      <c r="K880" s="22" t="s">
        <v>47</v>
      </c>
      <c r="L880" s="22">
        <v>6</v>
      </c>
      <c r="M880" s="22">
        <v>19800</v>
      </c>
      <c r="N880" s="22">
        <v>0.05</v>
      </c>
      <c r="O880" s="22">
        <v>112860</v>
      </c>
      <c r="P880" s="22">
        <v>83736.59</v>
      </c>
      <c r="Q880" s="22">
        <v>29123.41</v>
      </c>
      <c r="R880" s="22" t="s">
        <v>48</v>
      </c>
    </row>
    <row r="881" hidden="1" spans="1:18">
      <c r="A881" s="22" t="s">
        <v>1015</v>
      </c>
      <c r="B881" s="23">
        <v>43686</v>
      </c>
      <c r="C881" s="24">
        <f t="shared" si="13"/>
        <v>8</v>
      </c>
      <c r="D881" s="22" t="s">
        <v>65</v>
      </c>
      <c r="E881" s="22" t="s">
        <v>30</v>
      </c>
      <c r="F881" s="22" t="s">
        <v>31</v>
      </c>
      <c r="G881" s="22" t="s">
        <v>66</v>
      </c>
      <c r="H881" s="22" t="s">
        <v>244</v>
      </c>
      <c r="I881" s="22" t="s">
        <v>24</v>
      </c>
      <c r="J881" s="22" t="s">
        <v>63</v>
      </c>
      <c r="K881" s="22" t="s">
        <v>47</v>
      </c>
      <c r="L881" s="22">
        <v>3</v>
      </c>
      <c r="M881" s="22">
        <v>2900</v>
      </c>
      <c r="N881" s="22">
        <v>0.15</v>
      </c>
      <c r="O881" s="22">
        <v>7395</v>
      </c>
      <c r="P881" s="22">
        <v>5541.02</v>
      </c>
      <c r="Q881" s="22">
        <v>1853.98</v>
      </c>
      <c r="R881" s="22" t="s">
        <v>77</v>
      </c>
    </row>
    <row r="882" hidden="1" spans="1:18">
      <c r="A882" s="22" t="s">
        <v>1016</v>
      </c>
      <c r="B882" s="23">
        <v>46000</v>
      </c>
      <c r="C882" s="24">
        <f t="shared" si="13"/>
        <v>12</v>
      </c>
      <c r="D882" s="22" t="s">
        <v>65</v>
      </c>
      <c r="E882" s="22" t="s">
        <v>30</v>
      </c>
      <c r="F882" s="22" t="s">
        <v>55</v>
      </c>
      <c r="G882" s="22" t="s">
        <v>56</v>
      </c>
      <c r="H882" s="22" t="s">
        <v>154</v>
      </c>
      <c r="I882" s="22" t="s">
        <v>51</v>
      </c>
      <c r="J882" s="22" t="s">
        <v>46</v>
      </c>
      <c r="K882" s="22" t="s">
        <v>47</v>
      </c>
      <c r="L882" s="22">
        <v>1</v>
      </c>
      <c r="M882" s="22">
        <v>1400</v>
      </c>
      <c r="N882" s="22">
        <v>0.1</v>
      </c>
      <c r="O882" s="22">
        <v>1260</v>
      </c>
      <c r="P882" s="22">
        <v>794.32</v>
      </c>
      <c r="Q882" s="22">
        <v>465.68</v>
      </c>
      <c r="R882" s="22" t="s">
        <v>58</v>
      </c>
    </row>
    <row r="883" hidden="1" spans="1:18">
      <c r="A883" s="22" t="s">
        <v>1017</v>
      </c>
      <c r="B883" s="23">
        <v>45778</v>
      </c>
      <c r="C883" s="24">
        <f t="shared" si="13"/>
        <v>5</v>
      </c>
      <c r="D883" s="22" t="s">
        <v>75</v>
      </c>
      <c r="E883" s="22" t="s">
        <v>20</v>
      </c>
      <c r="F883" s="22" t="s">
        <v>60</v>
      </c>
      <c r="G883" s="22" t="s">
        <v>86</v>
      </c>
      <c r="H883" s="22" t="s">
        <v>87</v>
      </c>
      <c r="I883" s="22" t="s">
        <v>51</v>
      </c>
      <c r="J883" s="22" t="s">
        <v>116</v>
      </c>
      <c r="K883" s="22" t="s">
        <v>53</v>
      </c>
      <c r="L883" s="22">
        <v>9</v>
      </c>
      <c r="M883" s="22">
        <v>18700</v>
      </c>
      <c r="N883" s="22">
        <v>0.05</v>
      </c>
      <c r="O883" s="22">
        <v>159885</v>
      </c>
      <c r="P883" s="22">
        <v>119513.72</v>
      </c>
      <c r="Q883" s="22">
        <v>40371.28</v>
      </c>
      <c r="R883" s="22" t="s">
        <v>58</v>
      </c>
    </row>
    <row r="884" hidden="1" spans="1:18">
      <c r="A884" s="22" t="s">
        <v>1018</v>
      </c>
      <c r="B884" s="23">
        <v>45714</v>
      </c>
      <c r="C884" s="24">
        <f t="shared" si="13"/>
        <v>2</v>
      </c>
      <c r="D884" s="22" t="s">
        <v>103</v>
      </c>
      <c r="E884" s="22" t="s">
        <v>30</v>
      </c>
      <c r="F884" s="22" t="s">
        <v>60</v>
      </c>
      <c r="G884" s="22" t="s">
        <v>61</v>
      </c>
      <c r="H884" s="22" t="s">
        <v>101</v>
      </c>
      <c r="I884" s="22" t="s">
        <v>45</v>
      </c>
      <c r="J884" s="22" t="s">
        <v>52</v>
      </c>
      <c r="K884" s="22" t="s">
        <v>26</v>
      </c>
      <c r="L884" s="22">
        <v>6</v>
      </c>
      <c r="M884" s="22">
        <v>800</v>
      </c>
      <c r="N884" s="22">
        <v>0.15</v>
      </c>
      <c r="O884" s="22">
        <v>4080</v>
      </c>
      <c r="P884" s="22">
        <v>2564.49</v>
      </c>
      <c r="Q884" s="22">
        <v>1515.51</v>
      </c>
      <c r="R884" s="22" t="s">
        <v>48</v>
      </c>
    </row>
    <row r="885" spans="1:18">
      <c r="A885" s="22" t="s">
        <v>1019</v>
      </c>
      <c r="B885" s="23">
        <v>46086</v>
      </c>
      <c r="C885" s="24">
        <f t="shared" si="13"/>
        <v>3</v>
      </c>
      <c r="D885" s="22" t="s">
        <v>103</v>
      </c>
      <c r="E885" s="22" t="s">
        <v>38</v>
      </c>
      <c r="F885" s="22" t="s">
        <v>55</v>
      </c>
      <c r="G885" s="22" t="s">
        <v>195</v>
      </c>
      <c r="H885" s="22" t="s">
        <v>448</v>
      </c>
      <c r="I885" s="22" t="s">
        <v>51</v>
      </c>
      <c r="J885" s="22" t="s">
        <v>25</v>
      </c>
      <c r="K885" s="22" t="s">
        <v>47</v>
      </c>
      <c r="L885" s="22">
        <v>10</v>
      </c>
      <c r="M885" s="22">
        <v>67400</v>
      </c>
      <c r="N885" s="22">
        <v>0.1</v>
      </c>
      <c r="O885" s="22">
        <v>606600</v>
      </c>
      <c r="P885" s="22">
        <v>483916.64</v>
      </c>
      <c r="Q885" s="22">
        <v>122683.36</v>
      </c>
      <c r="R885" s="22" t="s">
        <v>35</v>
      </c>
    </row>
    <row r="886" spans="1:18">
      <c r="A886" s="22" t="s">
        <v>1020</v>
      </c>
      <c r="B886" s="23">
        <v>45683</v>
      </c>
      <c r="C886" s="24">
        <f t="shared" si="13"/>
        <v>1</v>
      </c>
      <c r="D886" s="22" t="s">
        <v>69</v>
      </c>
      <c r="E886" s="22" t="s">
        <v>38</v>
      </c>
      <c r="F886" s="22" t="s">
        <v>21</v>
      </c>
      <c r="G886" s="22" t="s">
        <v>122</v>
      </c>
      <c r="H886" s="22" t="s">
        <v>156</v>
      </c>
      <c r="I886" s="22" t="s">
        <v>51</v>
      </c>
      <c r="J886" s="22" t="s">
        <v>46</v>
      </c>
      <c r="K886" s="22" t="s">
        <v>53</v>
      </c>
      <c r="L886" s="22">
        <v>4</v>
      </c>
      <c r="M886" s="22">
        <v>46200</v>
      </c>
      <c r="N886" s="22">
        <v>0.05</v>
      </c>
      <c r="O886" s="22">
        <v>175560</v>
      </c>
      <c r="P886" s="22">
        <v>131137.51</v>
      </c>
      <c r="Q886" s="22">
        <v>44422.49</v>
      </c>
      <c r="R886" s="22" t="s">
        <v>58</v>
      </c>
    </row>
    <row r="887" spans="1:18">
      <c r="A887" s="22" t="s">
        <v>1021</v>
      </c>
      <c r="B887" s="23">
        <v>43750</v>
      </c>
      <c r="C887" s="24">
        <f t="shared" si="13"/>
        <v>10</v>
      </c>
      <c r="D887" s="22" t="s">
        <v>79</v>
      </c>
      <c r="E887" s="22" t="s">
        <v>38</v>
      </c>
      <c r="F887" s="22" t="s">
        <v>96</v>
      </c>
      <c r="G887" s="22" t="s">
        <v>113</v>
      </c>
      <c r="H887" s="22" t="s">
        <v>119</v>
      </c>
      <c r="I887" s="22" t="s">
        <v>24</v>
      </c>
      <c r="J887" s="22" t="s">
        <v>46</v>
      </c>
      <c r="K887" s="22" t="s">
        <v>53</v>
      </c>
      <c r="L887" s="22">
        <v>2</v>
      </c>
      <c r="M887" s="22">
        <v>40000</v>
      </c>
      <c r="N887" s="22">
        <v>0.1</v>
      </c>
      <c r="O887" s="22">
        <v>72000</v>
      </c>
      <c r="P887" s="22">
        <v>52398.88</v>
      </c>
      <c r="Q887" s="22">
        <v>19601.12</v>
      </c>
      <c r="R887" s="22" t="s">
        <v>35</v>
      </c>
    </row>
    <row r="888" hidden="1" spans="1:18">
      <c r="A888" s="22" t="s">
        <v>1022</v>
      </c>
      <c r="B888" s="23">
        <v>43127</v>
      </c>
      <c r="C888" s="24">
        <f t="shared" si="13"/>
        <v>1</v>
      </c>
      <c r="D888" s="22" t="s">
        <v>19</v>
      </c>
      <c r="E888" s="22" t="s">
        <v>20</v>
      </c>
      <c r="F888" s="22" t="s">
        <v>21</v>
      </c>
      <c r="G888" s="22" t="s">
        <v>167</v>
      </c>
      <c r="H888" s="22" t="s">
        <v>206</v>
      </c>
      <c r="I888" s="22" t="s">
        <v>51</v>
      </c>
      <c r="J888" s="22" t="s">
        <v>25</v>
      </c>
      <c r="K888" s="22" t="s">
        <v>53</v>
      </c>
      <c r="L888" s="22">
        <v>8</v>
      </c>
      <c r="M888" s="22">
        <v>18700</v>
      </c>
      <c r="N888" s="22">
        <v>0.2</v>
      </c>
      <c r="O888" s="22">
        <v>119680</v>
      </c>
      <c r="P888" s="22">
        <v>96822.16</v>
      </c>
      <c r="Q888" s="22">
        <v>22857.84</v>
      </c>
      <c r="R888" s="22" t="s">
        <v>48</v>
      </c>
    </row>
    <row r="889" hidden="1" spans="1:18">
      <c r="A889" s="22" t="s">
        <v>1023</v>
      </c>
      <c r="B889" s="23">
        <v>43211</v>
      </c>
      <c r="C889" s="24">
        <f t="shared" si="13"/>
        <v>4</v>
      </c>
      <c r="D889" s="22" t="s">
        <v>133</v>
      </c>
      <c r="E889" s="22" t="s">
        <v>213</v>
      </c>
      <c r="F889" s="22" t="s">
        <v>55</v>
      </c>
      <c r="G889" s="22" t="s">
        <v>195</v>
      </c>
      <c r="H889" s="22" t="s">
        <v>448</v>
      </c>
      <c r="I889" s="22" t="s">
        <v>24</v>
      </c>
      <c r="J889" s="22" t="s">
        <v>170</v>
      </c>
      <c r="K889" s="22" t="s">
        <v>47</v>
      </c>
      <c r="L889" s="22">
        <v>6</v>
      </c>
      <c r="M889" s="22">
        <v>8200</v>
      </c>
      <c r="N889" s="22">
        <v>0.1</v>
      </c>
      <c r="O889" s="22">
        <v>44280</v>
      </c>
      <c r="P889" s="22">
        <v>27750.69</v>
      </c>
      <c r="Q889" s="22">
        <v>16529.31</v>
      </c>
      <c r="R889" s="22" t="s">
        <v>48</v>
      </c>
    </row>
    <row r="890" spans="1:18">
      <c r="A890" s="22" t="s">
        <v>1024</v>
      </c>
      <c r="B890" s="23">
        <v>44063</v>
      </c>
      <c r="C890" s="24">
        <f t="shared" si="13"/>
        <v>8</v>
      </c>
      <c r="D890" s="22" t="s">
        <v>79</v>
      </c>
      <c r="E890" s="22" t="s">
        <v>38</v>
      </c>
      <c r="F890" s="22" t="s">
        <v>21</v>
      </c>
      <c r="G890" s="22" t="s">
        <v>22</v>
      </c>
      <c r="H890" s="22" t="s">
        <v>39</v>
      </c>
      <c r="I890" s="22" t="s">
        <v>24</v>
      </c>
      <c r="J890" s="22" t="s">
        <v>25</v>
      </c>
      <c r="K890" s="22" t="s">
        <v>53</v>
      </c>
      <c r="L890" s="22">
        <v>2</v>
      </c>
      <c r="M890" s="22">
        <v>62100</v>
      </c>
      <c r="N890" s="22">
        <v>0.15</v>
      </c>
      <c r="O890" s="22">
        <v>105570</v>
      </c>
      <c r="P890" s="22">
        <v>82236.35</v>
      </c>
      <c r="Q890" s="22">
        <v>23333.65</v>
      </c>
      <c r="R890" s="22" t="s">
        <v>27</v>
      </c>
    </row>
    <row r="891" hidden="1" spans="1:18">
      <c r="A891" s="22" t="s">
        <v>1025</v>
      </c>
      <c r="B891" s="23">
        <v>43760</v>
      </c>
      <c r="C891" s="24">
        <f t="shared" si="13"/>
        <v>10</v>
      </c>
      <c r="D891" s="22" t="s">
        <v>29</v>
      </c>
      <c r="E891" s="22" t="s">
        <v>30</v>
      </c>
      <c r="F891" s="22" t="s">
        <v>31</v>
      </c>
      <c r="G891" s="22" t="s">
        <v>172</v>
      </c>
      <c r="H891" s="22" t="s">
        <v>286</v>
      </c>
      <c r="I891" s="22" t="s">
        <v>24</v>
      </c>
      <c r="J891" s="22" t="s">
        <v>116</v>
      </c>
      <c r="K891" s="22" t="s">
        <v>53</v>
      </c>
      <c r="L891" s="22">
        <v>9</v>
      </c>
      <c r="M891" s="22">
        <v>5400</v>
      </c>
      <c r="N891" s="22">
        <v>0.2</v>
      </c>
      <c r="O891" s="22">
        <v>38880</v>
      </c>
      <c r="P891" s="22">
        <v>26037.7</v>
      </c>
      <c r="Q891" s="22">
        <v>12842.3</v>
      </c>
      <c r="R891" s="22" t="s">
        <v>27</v>
      </c>
    </row>
    <row r="892" hidden="1" spans="1:18">
      <c r="A892" s="22" t="s">
        <v>1026</v>
      </c>
      <c r="B892" s="23">
        <v>43259</v>
      </c>
      <c r="C892" s="24">
        <f t="shared" si="13"/>
        <v>6</v>
      </c>
      <c r="D892" s="22" t="s">
        <v>65</v>
      </c>
      <c r="E892" s="22" t="s">
        <v>30</v>
      </c>
      <c r="F892" s="22" t="s">
        <v>96</v>
      </c>
      <c r="G892" s="22" t="s">
        <v>97</v>
      </c>
      <c r="H892" s="22" t="s">
        <v>147</v>
      </c>
      <c r="I892" s="22" t="s">
        <v>45</v>
      </c>
      <c r="J892" s="22" t="s">
        <v>63</v>
      </c>
      <c r="K892" s="22" t="s">
        <v>26</v>
      </c>
      <c r="L892" s="22">
        <v>7</v>
      </c>
      <c r="M892" s="22">
        <v>1800</v>
      </c>
      <c r="N892" s="22">
        <v>0.15</v>
      </c>
      <c r="O892" s="22">
        <v>10710</v>
      </c>
      <c r="P892" s="22">
        <v>7871.77</v>
      </c>
      <c r="Q892" s="22">
        <v>2838.23</v>
      </c>
      <c r="R892" s="22" t="s">
        <v>35</v>
      </c>
    </row>
    <row r="893" spans="1:18">
      <c r="A893" s="22" t="s">
        <v>1027</v>
      </c>
      <c r="B893" s="23">
        <v>44018</v>
      </c>
      <c r="C893" s="24">
        <f t="shared" si="13"/>
        <v>7</v>
      </c>
      <c r="D893" s="22" t="s">
        <v>79</v>
      </c>
      <c r="E893" s="22" t="s">
        <v>38</v>
      </c>
      <c r="F893" s="22" t="s">
        <v>31</v>
      </c>
      <c r="G893" s="22" t="s">
        <v>32</v>
      </c>
      <c r="H893" s="22" t="s">
        <v>33</v>
      </c>
      <c r="I893" s="22" t="s">
        <v>51</v>
      </c>
      <c r="J893" s="22" t="s">
        <v>46</v>
      </c>
      <c r="K893" s="22" t="s">
        <v>26</v>
      </c>
      <c r="L893" s="22">
        <v>1</v>
      </c>
      <c r="M893" s="22">
        <v>41000</v>
      </c>
      <c r="N893" s="22">
        <v>0.05</v>
      </c>
      <c r="O893" s="22">
        <v>38950</v>
      </c>
      <c r="P893" s="22">
        <v>26425.01</v>
      </c>
      <c r="Q893" s="22">
        <v>12524.99</v>
      </c>
      <c r="R893" s="22" t="s">
        <v>48</v>
      </c>
    </row>
    <row r="894" spans="1:18">
      <c r="A894" s="22" t="s">
        <v>1028</v>
      </c>
      <c r="B894" s="23">
        <v>44330</v>
      </c>
      <c r="C894" s="24">
        <f t="shared" si="13"/>
        <v>5</v>
      </c>
      <c r="D894" s="22" t="s">
        <v>90</v>
      </c>
      <c r="E894" s="22" t="s">
        <v>38</v>
      </c>
      <c r="F894" s="22" t="s">
        <v>55</v>
      </c>
      <c r="G894" s="22" t="s">
        <v>109</v>
      </c>
      <c r="H894" s="22" t="s">
        <v>110</v>
      </c>
      <c r="I894" s="22" t="s">
        <v>51</v>
      </c>
      <c r="J894" s="22" t="s">
        <v>88</v>
      </c>
      <c r="K894" s="22" t="s">
        <v>26</v>
      </c>
      <c r="L894" s="22">
        <v>8</v>
      </c>
      <c r="M894" s="22">
        <v>30200</v>
      </c>
      <c r="N894" s="22">
        <v>0</v>
      </c>
      <c r="O894" s="22">
        <v>241600</v>
      </c>
      <c r="P894" s="22">
        <v>170932.09</v>
      </c>
      <c r="Q894" s="22">
        <v>70667.91</v>
      </c>
      <c r="R894" s="22" t="s">
        <v>27</v>
      </c>
    </row>
    <row r="895" spans="1:18">
      <c r="A895" s="22" t="s">
        <v>1029</v>
      </c>
      <c r="B895" s="23">
        <v>44047</v>
      </c>
      <c r="C895" s="24">
        <f t="shared" si="13"/>
        <v>8</v>
      </c>
      <c r="D895" s="22" t="s">
        <v>37</v>
      </c>
      <c r="E895" s="22" t="s">
        <v>38</v>
      </c>
      <c r="F895" s="22" t="s">
        <v>96</v>
      </c>
      <c r="G895" s="22" t="s">
        <v>97</v>
      </c>
      <c r="H895" s="22" t="s">
        <v>289</v>
      </c>
      <c r="I895" s="22" t="s">
        <v>24</v>
      </c>
      <c r="J895" s="22" t="s">
        <v>46</v>
      </c>
      <c r="K895" s="22" t="s">
        <v>26</v>
      </c>
      <c r="L895" s="22">
        <v>10</v>
      </c>
      <c r="M895" s="22">
        <v>27500</v>
      </c>
      <c r="N895" s="22">
        <v>0.2</v>
      </c>
      <c r="O895" s="22">
        <v>220000</v>
      </c>
      <c r="P895" s="22">
        <v>148239.43</v>
      </c>
      <c r="Q895" s="22">
        <v>71760.57</v>
      </c>
      <c r="R895" s="22" t="s">
        <v>77</v>
      </c>
    </row>
    <row r="896" hidden="1" spans="1:18">
      <c r="A896" s="22" t="s">
        <v>1030</v>
      </c>
      <c r="B896" s="23">
        <v>43983</v>
      </c>
      <c r="C896" s="24">
        <f t="shared" si="13"/>
        <v>6</v>
      </c>
      <c r="D896" s="22" t="s">
        <v>75</v>
      </c>
      <c r="E896" s="22" t="s">
        <v>30</v>
      </c>
      <c r="F896" s="22" t="s">
        <v>60</v>
      </c>
      <c r="G896" s="22" t="s">
        <v>93</v>
      </c>
      <c r="H896" s="22" t="s">
        <v>94</v>
      </c>
      <c r="I896" s="22" t="s">
        <v>51</v>
      </c>
      <c r="J896" s="22" t="s">
        <v>52</v>
      </c>
      <c r="K896" s="22" t="s">
        <v>53</v>
      </c>
      <c r="L896" s="22">
        <v>7</v>
      </c>
      <c r="M896" s="22">
        <v>4600</v>
      </c>
      <c r="N896" s="22">
        <v>0.05</v>
      </c>
      <c r="O896" s="22">
        <v>30590</v>
      </c>
      <c r="P896" s="22">
        <v>23120.47</v>
      </c>
      <c r="Q896" s="22">
        <v>7469.53</v>
      </c>
      <c r="R896" s="22" t="s">
        <v>27</v>
      </c>
    </row>
    <row r="897" hidden="1" spans="1:18">
      <c r="A897" s="22" t="s">
        <v>1031</v>
      </c>
      <c r="B897" s="23">
        <v>44585</v>
      </c>
      <c r="C897" s="24">
        <f t="shared" si="13"/>
        <v>1</v>
      </c>
      <c r="D897" s="22" t="s">
        <v>69</v>
      </c>
      <c r="E897" s="22" t="s">
        <v>30</v>
      </c>
      <c r="F897" s="22" t="s">
        <v>21</v>
      </c>
      <c r="G897" s="22" t="s">
        <v>22</v>
      </c>
      <c r="H897" s="22" t="s">
        <v>39</v>
      </c>
      <c r="I897" s="22" t="s">
        <v>51</v>
      </c>
      <c r="J897" s="22" t="s">
        <v>46</v>
      </c>
      <c r="K897" s="22" t="s">
        <v>53</v>
      </c>
      <c r="L897" s="22">
        <v>9</v>
      </c>
      <c r="M897" s="22">
        <v>1700</v>
      </c>
      <c r="N897" s="22">
        <v>0.15</v>
      </c>
      <c r="O897" s="22">
        <v>13005</v>
      </c>
      <c r="P897" s="22">
        <v>10307.65</v>
      </c>
      <c r="Q897" s="22">
        <v>2697.35</v>
      </c>
      <c r="R897" s="22" t="s">
        <v>35</v>
      </c>
    </row>
    <row r="898" hidden="1" spans="1:18">
      <c r="A898" s="22" t="s">
        <v>1032</v>
      </c>
      <c r="B898" s="23">
        <v>43156</v>
      </c>
      <c r="C898" s="24">
        <f t="shared" ref="C898:C961" si="14">MONTH(B898)</f>
        <v>2</v>
      </c>
      <c r="D898" s="22" t="s">
        <v>85</v>
      </c>
      <c r="E898" s="22" t="s">
        <v>30</v>
      </c>
      <c r="F898" s="22" t="s">
        <v>96</v>
      </c>
      <c r="G898" s="22" t="s">
        <v>113</v>
      </c>
      <c r="H898" s="22" t="s">
        <v>114</v>
      </c>
      <c r="I898" s="22" t="s">
        <v>51</v>
      </c>
      <c r="J898" s="22" t="s">
        <v>40</v>
      </c>
      <c r="K898" s="22" t="s">
        <v>53</v>
      </c>
      <c r="L898" s="22">
        <v>10</v>
      </c>
      <c r="M898" s="22">
        <v>1700</v>
      </c>
      <c r="N898" s="22">
        <v>0.05</v>
      </c>
      <c r="O898" s="22">
        <v>16150</v>
      </c>
      <c r="P898" s="22">
        <v>10865.97</v>
      </c>
      <c r="Q898" s="22">
        <v>5284.03</v>
      </c>
      <c r="R898" s="22" t="s">
        <v>35</v>
      </c>
    </row>
    <row r="899" spans="1:18">
      <c r="A899" s="22" t="s">
        <v>1033</v>
      </c>
      <c r="B899" s="23">
        <v>43155</v>
      </c>
      <c r="C899" s="24">
        <f t="shared" si="14"/>
        <v>2</v>
      </c>
      <c r="D899" s="22" t="s">
        <v>90</v>
      </c>
      <c r="E899" s="22" t="s">
        <v>38</v>
      </c>
      <c r="F899" s="22" t="s">
        <v>60</v>
      </c>
      <c r="G899" s="22" t="s">
        <v>86</v>
      </c>
      <c r="H899" s="22" t="s">
        <v>106</v>
      </c>
      <c r="I899" s="22" t="s">
        <v>24</v>
      </c>
      <c r="J899" s="22" t="s">
        <v>99</v>
      </c>
      <c r="K899" s="22" t="s">
        <v>26</v>
      </c>
      <c r="L899" s="22">
        <v>10</v>
      </c>
      <c r="M899" s="22">
        <v>40200</v>
      </c>
      <c r="N899" s="22">
        <v>0</v>
      </c>
      <c r="O899" s="22">
        <v>402000</v>
      </c>
      <c r="P899" s="22">
        <v>273203.99</v>
      </c>
      <c r="Q899" s="22">
        <v>128796.01</v>
      </c>
      <c r="R899" s="22" t="s">
        <v>27</v>
      </c>
    </row>
    <row r="900" spans="1:18">
      <c r="A900" s="22" t="s">
        <v>1034</v>
      </c>
      <c r="B900" s="23">
        <v>44595</v>
      </c>
      <c r="C900" s="24">
        <f t="shared" si="14"/>
        <v>2</v>
      </c>
      <c r="D900" s="22" t="s">
        <v>69</v>
      </c>
      <c r="E900" s="22" t="s">
        <v>38</v>
      </c>
      <c r="F900" s="22" t="s">
        <v>21</v>
      </c>
      <c r="G900" s="22" t="s">
        <v>122</v>
      </c>
      <c r="H900" s="22" t="s">
        <v>156</v>
      </c>
      <c r="I900" s="22" t="s">
        <v>24</v>
      </c>
      <c r="J900" s="22" t="s">
        <v>25</v>
      </c>
      <c r="K900" s="22" t="s">
        <v>47</v>
      </c>
      <c r="L900" s="22">
        <v>4</v>
      </c>
      <c r="M900" s="22">
        <v>63000</v>
      </c>
      <c r="N900" s="22">
        <v>0</v>
      </c>
      <c r="O900" s="22">
        <v>252000</v>
      </c>
      <c r="P900" s="22">
        <v>200477.97</v>
      </c>
      <c r="Q900" s="22">
        <v>51522.03</v>
      </c>
      <c r="R900" s="22" t="s">
        <v>58</v>
      </c>
    </row>
    <row r="901" spans="1:18">
      <c r="A901" s="22" t="s">
        <v>1035</v>
      </c>
      <c r="B901" s="23">
        <v>44215</v>
      </c>
      <c r="C901" s="24">
        <f t="shared" si="14"/>
        <v>1</v>
      </c>
      <c r="D901" s="22" t="s">
        <v>79</v>
      </c>
      <c r="E901" s="22" t="s">
        <v>38</v>
      </c>
      <c r="F901" s="22" t="s">
        <v>60</v>
      </c>
      <c r="G901" s="22" t="s">
        <v>86</v>
      </c>
      <c r="H901" s="22" t="s">
        <v>104</v>
      </c>
      <c r="I901" s="22" t="s">
        <v>24</v>
      </c>
      <c r="J901" s="22" t="s">
        <v>88</v>
      </c>
      <c r="K901" s="22" t="s">
        <v>47</v>
      </c>
      <c r="L901" s="22">
        <v>9</v>
      </c>
      <c r="M901" s="22">
        <v>58300</v>
      </c>
      <c r="N901" s="22">
        <v>0.1</v>
      </c>
      <c r="O901" s="22">
        <v>472230</v>
      </c>
      <c r="P901" s="22">
        <v>292788.09</v>
      </c>
      <c r="Q901" s="22">
        <v>179441.91</v>
      </c>
      <c r="R901" s="22" t="s">
        <v>77</v>
      </c>
    </row>
    <row r="902" hidden="1" spans="1:18">
      <c r="A902" s="22" t="s">
        <v>1036</v>
      </c>
      <c r="B902" s="23">
        <v>43763</v>
      </c>
      <c r="C902" s="24">
        <f t="shared" si="14"/>
        <v>10</v>
      </c>
      <c r="D902" s="22" t="s">
        <v>85</v>
      </c>
      <c r="E902" s="22" t="s">
        <v>30</v>
      </c>
      <c r="F902" s="22" t="s">
        <v>31</v>
      </c>
      <c r="G902" s="22" t="s">
        <v>32</v>
      </c>
      <c r="H902" s="22" t="s">
        <v>33</v>
      </c>
      <c r="I902" s="22" t="s">
        <v>45</v>
      </c>
      <c r="J902" s="22" t="s">
        <v>88</v>
      </c>
      <c r="K902" s="22" t="s">
        <v>53</v>
      </c>
      <c r="L902" s="22">
        <v>6</v>
      </c>
      <c r="M902" s="22">
        <v>1200</v>
      </c>
      <c r="N902" s="22">
        <v>0.1</v>
      </c>
      <c r="O902" s="22">
        <v>6480</v>
      </c>
      <c r="P902" s="22">
        <v>5386.06</v>
      </c>
      <c r="Q902" s="22">
        <v>1093.94</v>
      </c>
      <c r="R902" s="22" t="s">
        <v>77</v>
      </c>
    </row>
    <row r="903" hidden="1" spans="1:18">
      <c r="A903" s="22" t="s">
        <v>1037</v>
      </c>
      <c r="B903" s="23">
        <v>44328</v>
      </c>
      <c r="C903" s="24">
        <f t="shared" si="14"/>
        <v>5</v>
      </c>
      <c r="D903" s="22" t="s">
        <v>85</v>
      </c>
      <c r="E903" s="22" t="s">
        <v>30</v>
      </c>
      <c r="F903" s="22" t="s">
        <v>60</v>
      </c>
      <c r="G903" s="22" t="s">
        <v>61</v>
      </c>
      <c r="H903" s="22" t="s">
        <v>101</v>
      </c>
      <c r="I903" s="22" t="s">
        <v>51</v>
      </c>
      <c r="J903" s="22" t="s">
        <v>73</v>
      </c>
      <c r="K903" s="22" t="s">
        <v>53</v>
      </c>
      <c r="L903" s="22">
        <v>2</v>
      </c>
      <c r="M903" s="22">
        <v>3700</v>
      </c>
      <c r="N903" s="22">
        <v>0.2</v>
      </c>
      <c r="O903" s="22">
        <v>5920</v>
      </c>
      <c r="P903" s="22">
        <v>4159.29</v>
      </c>
      <c r="Q903" s="22">
        <v>1760.71</v>
      </c>
      <c r="R903" s="22" t="s">
        <v>58</v>
      </c>
    </row>
    <row r="904" hidden="1" spans="1:18">
      <c r="A904" s="22" t="s">
        <v>1038</v>
      </c>
      <c r="B904" s="23">
        <v>44204</v>
      </c>
      <c r="C904" s="24">
        <f t="shared" si="14"/>
        <v>1</v>
      </c>
      <c r="D904" s="22" t="s">
        <v>65</v>
      </c>
      <c r="E904" s="22" t="s">
        <v>30</v>
      </c>
      <c r="F904" s="22" t="s">
        <v>21</v>
      </c>
      <c r="G904" s="22" t="s">
        <v>22</v>
      </c>
      <c r="H904" s="22" t="s">
        <v>215</v>
      </c>
      <c r="I904" s="22" t="s">
        <v>51</v>
      </c>
      <c r="J904" s="22" t="s">
        <v>52</v>
      </c>
      <c r="K904" s="22" t="s">
        <v>26</v>
      </c>
      <c r="L904" s="22">
        <v>8</v>
      </c>
      <c r="M904" s="22">
        <v>1600</v>
      </c>
      <c r="N904" s="22">
        <v>0</v>
      </c>
      <c r="O904" s="22">
        <v>12800</v>
      </c>
      <c r="P904" s="22">
        <v>10160.32</v>
      </c>
      <c r="Q904" s="22">
        <v>2639.68</v>
      </c>
      <c r="R904" s="22" t="s">
        <v>77</v>
      </c>
    </row>
    <row r="905" spans="1:18">
      <c r="A905" s="22" t="s">
        <v>1039</v>
      </c>
      <c r="B905" s="23">
        <v>45690</v>
      </c>
      <c r="C905" s="24">
        <f t="shared" si="14"/>
        <v>2</v>
      </c>
      <c r="D905" s="22" t="s">
        <v>90</v>
      </c>
      <c r="E905" s="22" t="s">
        <v>38</v>
      </c>
      <c r="F905" s="22" t="s">
        <v>55</v>
      </c>
      <c r="G905" s="22" t="s">
        <v>80</v>
      </c>
      <c r="H905" s="22" t="s">
        <v>134</v>
      </c>
      <c r="I905" s="22" t="s">
        <v>45</v>
      </c>
      <c r="J905" s="22" t="s">
        <v>40</v>
      </c>
      <c r="K905" s="22" t="s">
        <v>47</v>
      </c>
      <c r="L905" s="22">
        <v>3</v>
      </c>
      <c r="M905" s="22">
        <v>28500</v>
      </c>
      <c r="N905" s="22">
        <v>0.1</v>
      </c>
      <c r="O905" s="22">
        <v>76950</v>
      </c>
      <c r="P905" s="22">
        <v>55299.4</v>
      </c>
      <c r="Q905" s="22">
        <v>21650.6</v>
      </c>
      <c r="R905" s="22" t="s">
        <v>35</v>
      </c>
    </row>
    <row r="906" spans="1:18">
      <c r="A906" s="22" t="s">
        <v>1040</v>
      </c>
      <c r="B906" s="23">
        <v>43116</v>
      </c>
      <c r="C906" s="24">
        <f t="shared" si="14"/>
        <v>1</v>
      </c>
      <c r="D906" s="22" t="s">
        <v>79</v>
      </c>
      <c r="E906" s="22" t="s">
        <v>38</v>
      </c>
      <c r="F906" s="22" t="s">
        <v>55</v>
      </c>
      <c r="G906" s="22" t="s">
        <v>109</v>
      </c>
      <c r="H906" s="22" t="s">
        <v>110</v>
      </c>
      <c r="I906" s="22" t="s">
        <v>45</v>
      </c>
      <c r="J906" s="22" t="s">
        <v>73</v>
      </c>
      <c r="K906" s="22" t="s">
        <v>53</v>
      </c>
      <c r="L906" s="22">
        <v>10</v>
      </c>
      <c r="M906" s="22">
        <v>62900</v>
      </c>
      <c r="N906" s="22">
        <v>0</v>
      </c>
      <c r="O906" s="22">
        <v>629000</v>
      </c>
      <c r="P906" s="22">
        <v>476487.72</v>
      </c>
      <c r="Q906" s="22">
        <v>152512.28</v>
      </c>
      <c r="R906" s="22" t="s">
        <v>27</v>
      </c>
    </row>
    <row r="907" hidden="1" spans="1:18">
      <c r="A907" s="22" t="s">
        <v>1041</v>
      </c>
      <c r="B907" s="23">
        <v>43361</v>
      </c>
      <c r="C907" s="24">
        <f t="shared" si="14"/>
        <v>9</v>
      </c>
      <c r="D907" s="22" t="s">
        <v>29</v>
      </c>
      <c r="E907" s="22" t="s">
        <v>30</v>
      </c>
      <c r="F907" s="22" t="s">
        <v>55</v>
      </c>
      <c r="G907" s="22" t="s">
        <v>56</v>
      </c>
      <c r="H907" s="22" t="s">
        <v>57</v>
      </c>
      <c r="I907" s="22" t="s">
        <v>51</v>
      </c>
      <c r="J907" s="22" t="s">
        <v>40</v>
      </c>
      <c r="K907" s="22" t="s">
        <v>26</v>
      </c>
      <c r="L907" s="22">
        <v>2</v>
      </c>
      <c r="M907" s="22">
        <v>5900</v>
      </c>
      <c r="N907" s="22">
        <v>0</v>
      </c>
      <c r="O907" s="22">
        <v>11800</v>
      </c>
      <c r="P907" s="22">
        <v>8013.28</v>
      </c>
      <c r="Q907" s="22">
        <v>3786.72</v>
      </c>
      <c r="R907" s="22" t="s">
        <v>77</v>
      </c>
    </row>
    <row r="908" hidden="1" spans="1:18">
      <c r="A908" s="22" t="s">
        <v>1042</v>
      </c>
      <c r="B908" s="23">
        <v>45781</v>
      </c>
      <c r="C908" s="24">
        <f t="shared" si="14"/>
        <v>5</v>
      </c>
      <c r="D908" s="22" t="s">
        <v>75</v>
      </c>
      <c r="E908" s="22" t="s">
        <v>30</v>
      </c>
      <c r="F908" s="22" t="s">
        <v>55</v>
      </c>
      <c r="G908" s="22" t="s">
        <v>56</v>
      </c>
      <c r="H908" s="22" t="s">
        <v>76</v>
      </c>
      <c r="I908" s="22" t="s">
        <v>51</v>
      </c>
      <c r="J908" s="22" t="s">
        <v>99</v>
      </c>
      <c r="K908" s="22" t="s">
        <v>26</v>
      </c>
      <c r="L908" s="22">
        <v>3</v>
      </c>
      <c r="M908" s="22">
        <v>9300</v>
      </c>
      <c r="N908" s="22">
        <v>0.05</v>
      </c>
      <c r="O908" s="22">
        <v>26505</v>
      </c>
      <c r="P908" s="22">
        <v>22203.09</v>
      </c>
      <c r="Q908" s="22">
        <v>4301.91</v>
      </c>
      <c r="R908" s="22" t="s">
        <v>27</v>
      </c>
    </row>
    <row r="909" spans="1:18">
      <c r="A909" s="22" t="s">
        <v>1043</v>
      </c>
      <c r="B909" s="23">
        <v>45672</v>
      </c>
      <c r="C909" s="24">
        <f t="shared" si="14"/>
        <v>1</v>
      </c>
      <c r="D909" s="22" t="s">
        <v>69</v>
      </c>
      <c r="E909" s="22" t="s">
        <v>38</v>
      </c>
      <c r="F909" s="22" t="s">
        <v>31</v>
      </c>
      <c r="G909" s="22" t="s">
        <v>66</v>
      </c>
      <c r="H909" s="22" t="s">
        <v>316</v>
      </c>
      <c r="I909" s="22" t="s">
        <v>51</v>
      </c>
      <c r="J909" s="22" t="s">
        <v>170</v>
      </c>
      <c r="K909" s="22" t="s">
        <v>53</v>
      </c>
      <c r="L909" s="22">
        <v>3</v>
      </c>
      <c r="M909" s="22">
        <v>16700</v>
      </c>
      <c r="N909" s="22">
        <v>0</v>
      </c>
      <c r="O909" s="22">
        <v>50100</v>
      </c>
      <c r="P909" s="22">
        <v>32671.4</v>
      </c>
      <c r="Q909" s="22">
        <v>17428.6</v>
      </c>
      <c r="R909" s="22" t="s">
        <v>27</v>
      </c>
    </row>
    <row r="910" spans="1:18">
      <c r="A910" s="22" t="s">
        <v>1044</v>
      </c>
      <c r="B910" s="23">
        <v>45673</v>
      </c>
      <c r="C910" s="24">
        <f t="shared" si="14"/>
        <v>1</v>
      </c>
      <c r="D910" s="22" t="s">
        <v>69</v>
      </c>
      <c r="E910" s="22" t="s">
        <v>38</v>
      </c>
      <c r="F910" s="22" t="s">
        <v>96</v>
      </c>
      <c r="G910" s="22" t="s">
        <v>113</v>
      </c>
      <c r="H910" s="22" t="s">
        <v>126</v>
      </c>
      <c r="I910" s="22" t="s">
        <v>51</v>
      </c>
      <c r="J910" s="22" t="s">
        <v>99</v>
      </c>
      <c r="K910" s="22" t="s">
        <v>53</v>
      </c>
      <c r="L910" s="22">
        <v>4</v>
      </c>
      <c r="M910" s="22">
        <v>16500</v>
      </c>
      <c r="N910" s="22">
        <v>0.1</v>
      </c>
      <c r="O910" s="22">
        <v>59400</v>
      </c>
      <c r="P910" s="22">
        <v>37137.93</v>
      </c>
      <c r="Q910" s="22">
        <v>22262.07</v>
      </c>
      <c r="R910" s="22" t="s">
        <v>27</v>
      </c>
    </row>
    <row r="911" hidden="1" spans="1:18">
      <c r="A911" s="22" t="s">
        <v>1045</v>
      </c>
      <c r="B911" s="23">
        <v>43791</v>
      </c>
      <c r="C911" s="24">
        <f t="shared" si="14"/>
        <v>11</v>
      </c>
      <c r="D911" s="22" t="s">
        <v>19</v>
      </c>
      <c r="E911" s="22" t="s">
        <v>20</v>
      </c>
      <c r="F911" s="22" t="s">
        <v>31</v>
      </c>
      <c r="G911" s="22" t="s">
        <v>172</v>
      </c>
      <c r="H911" s="22" t="s">
        <v>286</v>
      </c>
      <c r="I911" s="22" t="s">
        <v>24</v>
      </c>
      <c r="J911" s="22" t="s">
        <v>170</v>
      </c>
      <c r="K911" s="22" t="s">
        <v>47</v>
      </c>
      <c r="L911" s="22">
        <v>4</v>
      </c>
      <c r="M911" s="22">
        <v>24000</v>
      </c>
      <c r="N911" s="22">
        <v>0.05</v>
      </c>
      <c r="O911" s="22">
        <v>91200</v>
      </c>
      <c r="P911" s="22">
        <v>60988.2</v>
      </c>
      <c r="Q911" s="22">
        <v>30211.8</v>
      </c>
      <c r="R911" s="22" t="s">
        <v>27</v>
      </c>
    </row>
    <row r="912" hidden="1" spans="1:18">
      <c r="A912" s="22" t="s">
        <v>1046</v>
      </c>
      <c r="B912" s="23">
        <v>43341</v>
      </c>
      <c r="C912" s="24">
        <f t="shared" si="14"/>
        <v>8</v>
      </c>
      <c r="D912" s="22" t="s">
        <v>65</v>
      </c>
      <c r="E912" s="22" t="s">
        <v>30</v>
      </c>
      <c r="F912" s="22" t="s">
        <v>96</v>
      </c>
      <c r="G912" s="22" t="s">
        <v>97</v>
      </c>
      <c r="H912" s="22" t="s">
        <v>289</v>
      </c>
      <c r="I912" s="22" t="s">
        <v>24</v>
      </c>
      <c r="J912" s="22" t="s">
        <v>73</v>
      </c>
      <c r="K912" s="22" t="s">
        <v>26</v>
      </c>
      <c r="L912" s="22">
        <v>6</v>
      </c>
      <c r="M912" s="22">
        <v>1900</v>
      </c>
      <c r="N912" s="22">
        <v>0</v>
      </c>
      <c r="O912" s="22">
        <v>11400</v>
      </c>
      <c r="P912" s="22">
        <v>7134.17</v>
      </c>
      <c r="Q912" s="22">
        <v>4265.83</v>
      </c>
      <c r="R912" s="22" t="s">
        <v>48</v>
      </c>
    </row>
    <row r="913" spans="1:18">
      <c r="A913" s="22" t="s">
        <v>1047</v>
      </c>
      <c r="B913" s="23">
        <v>45729</v>
      </c>
      <c r="C913" s="24">
        <f t="shared" si="14"/>
        <v>3</v>
      </c>
      <c r="D913" s="22" t="s">
        <v>103</v>
      </c>
      <c r="E913" s="22" t="s">
        <v>38</v>
      </c>
      <c r="F913" s="22" t="s">
        <v>31</v>
      </c>
      <c r="G913" s="22" t="s">
        <v>43</v>
      </c>
      <c r="H913" s="22" t="s">
        <v>91</v>
      </c>
      <c r="I913" s="22" t="s">
        <v>45</v>
      </c>
      <c r="J913" s="22" t="s">
        <v>88</v>
      </c>
      <c r="K913" s="22" t="s">
        <v>47</v>
      </c>
      <c r="L913" s="22">
        <v>1</v>
      </c>
      <c r="M913" s="22">
        <v>70900</v>
      </c>
      <c r="N913" s="22">
        <v>0</v>
      </c>
      <c r="O913" s="22">
        <v>70900</v>
      </c>
      <c r="P913" s="22">
        <v>49379.86</v>
      </c>
      <c r="Q913" s="22">
        <v>21520.14</v>
      </c>
      <c r="R913" s="22" t="s">
        <v>35</v>
      </c>
    </row>
    <row r="914" hidden="1" spans="1:18">
      <c r="A914" s="22" t="s">
        <v>1048</v>
      </c>
      <c r="B914" s="23">
        <v>44104</v>
      </c>
      <c r="C914" s="24">
        <f t="shared" si="14"/>
        <v>9</v>
      </c>
      <c r="D914" s="22" t="s">
        <v>65</v>
      </c>
      <c r="E914" s="22" t="s">
        <v>30</v>
      </c>
      <c r="F914" s="22" t="s">
        <v>21</v>
      </c>
      <c r="G914" s="22" t="s">
        <v>22</v>
      </c>
      <c r="H914" s="22" t="s">
        <v>39</v>
      </c>
      <c r="I914" s="22" t="s">
        <v>45</v>
      </c>
      <c r="J914" s="22" t="s">
        <v>124</v>
      </c>
      <c r="K914" s="22" t="s">
        <v>53</v>
      </c>
      <c r="L914" s="22">
        <v>1</v>
      </c>
      <c r="M914" s="22">
        <v>2900</v>
      </c>
      <c r="N914" s="22">
        <v>0.05</v>
      </c>
      <c r="O914" s="22">
        <v>2755</v>
      </c>
      <c r="P914" s="22">
        <v>1859.55</v>
      </c>
      <c r="Q914" s="22">
        <v>895.45</v>
      </c>
      <c r="R914" s="22" t="s">
        <v>27</v>
      </c>
    </row>
    <row r="915" spans="1:18">
      <c r="A915" s="22" t="s">
        <v>1049</v>
      </c>
      <c r="B915" s="23">
        <v>44658</v>
      </c>
      <c r="C915" s="24">
        <f t="shared" si="14"/>
        <v>4</v>
      </c>
      <c r="D915" s="22" t="s">
        <v>37</v>
      </c>
      <c r="E915" s="22" t="s">
        <v>38</v>
      </c>
      <c r="F915" s="22" t="s">
        <v>60</v>
      </c>
      <c r="G915" s="22" t="s">
        <v>86</v>
      </c>
      <c r="H915" s="22" t="s">
        <v>104</v>
      </c>
      <c r="I915" s="22" t="s">
        <v>45</v>
      </c>
      <c r="J915" s="22" t="s">
        <v>88</v>
      </c>
      <c r="K915" s="22" t="s">
        <v>26</v>
      </c>
      <c r="L915" s="22">
        <v>3</v>
      </c>
      <c r="M915" s="22">
        <v>14400</v>
      </c>
      <c r="N915" s="22">
        <v>0.05</v>
      </c>
      <c r="O915" s="22">
        <v>41040</v>
      </c>
      <c r="P915" s="22">
        <v>32755.19</v>
      </c>
      <c r="Q915" s="22">
        <v>8284.81</v>
      </c>
      <c r="R915" s="22" t="s">
        <v>48</v>
      </c>
    </row>
    <row r="916" spans="1:18">
      <c r="A916" s="22" t="s">
        <v>1050</v>
      </c>
      <c r="B916" s="23">
        <v>43184</v>
      </c>
      <c r="C916" s="24">
        <f t="shared" si="14"/>
        <v>3</v>
      </c>
      <c r="D916" s="22" t="s">
        <v>79</v>
      </c>
      <c r="E916" s="22" t="s">
        <v>38</v>
      </c>
      <c r="F916" s="22" t="s">
        <v>96</v>
      </c>
      <c r="G916" s="22" t="s">
        <v>97</v>
      </c>
      <c r="H916" s="22" t="s">
        <v>147</v>
      </c>
      <c r="I916" s="22" t="s">
        <v>24</v>
      </c>
      <c r="J916" s="22" t="s">
        <v>34</v>
      </c>
      <c r="K916" s="22" t="s">
        <v>47</v>
      </c>
      <c r="L916" s="22">
        <v>5</v>
      </c>
      <c r="M916" s="22">
        <v>50400</v>
      </c>
      <c r="N916" s="22">
        <v>0.1</v>
      </c>
      <c r="O916" s="22">
        <v>226800</v>
      </c>
      <c r="P916" s="22">
        <v>157772.92</v>
      </c>
      <c r="Q916" s="22">
        <v>69027.08</v>
      </c>
      <c r="R916" s="22" t="s">
        <v>58</v>
      </c>
    </row>
    <row r="917" spans="1:18">
      <c r="A917" s="22" t="s">
        <v>1051</v>
      </c>
      <c r="B917" s="23">
        <v>43970</v>
      </c>
      <c r="C917" s="24">
        <f t="shared" si="14"/>
        <v>5</v>
      </c>
      <c r="D917" s="22" t="s">
        <v>75</v>
      </c>
      <c r="E917" s="22" t="s">
        <v>38</v>
      </c>
      <c r="F917" s="22" t="s">
        <v>21</v>
      </c>
      <c r="G917" s="22" t="s">
        <v>70</v>
      </c>
      <c r="H917" s="22" t="s">
        <v>71</v>
      </c>
      <c r="I917" s="22" t="s">
        <v>51</v>
      </c>
      <c r="J917" s="22" t="s">
        <v>116</v>
      </c>
      <c r="K917" s="22" t="s">
        <v>26</v>
      </c>
      <c r="L917" s="22">
        <v>9</v>
      </c>
      <c r="M917" s="22">
        <v>81000</v>
      </c>
      <c r="N917" s="22">
        <v>0.15</v>
      </c>
      <c r="O917" s="22">
        <v>619650</v>
      </c>
      <c r="P917" s="22">
        <v>399503.38</v>
      </c>
      <c r="Q917" s="22">
        <v>220146.62</v>
      </c>
      <c r="R917" s="22" t="s">
        <v>58</v>
      </c>
    </row>
    <row r="918" spans="1:18">
      <c r="A918" s="22" t="s">
        <v>1052</v>
      </c>
      <c r="B918" s="23">
        <v>44184</v>
      </c>
      <c r="C918" s="24">
        <f t="shared" si="14"/>
        <v>12</v>
      </c>
      <c r="D918" s="22" t="s">
        <v>121</v>
      </c>
      <c r="E918" s="22" t="s">
        <v>38</v>
      </c>
      <c r="F918" s="22" t="s">
        <v>31</v>
      </c>
      <c r="G918" s="22" t="s">
        <v>172</v>
      </c>
      <c r="H918" s="22" t="s">
        <v>173</v>
      </c>
      <c r="I918" s="22" t="s">
        <v>45</v>
      </c>
      <c r="J918" s="22" t="s">
        <v>40</v>
      </c>
      <c r="K918" s="22" t="s">
        <v>53</v>
      </c>
      <c r="L918" s="22">
        <v>6</v>
      </c>
      <c r="M918" s="22">
        <v>89200</v>
      </c>
      <c r="N918" s="22">
        <v>0.1</v>
      </c>
      <c r="O918" s="22">
        <v>481680</v>
      </c>
      <c r="P918" s="22">
        <v>353754.55</v>
      </c>
      <c r="Q918" s="22">
        <v>127925.45</v>
      </c>
      <c r="R918" s="22" t="s">
        <v>27</v>
      </c>
    </row>
    <row r="919" spans="1:18">
      <c r="A919" s="22" t="s">
        <v>1053</v>
      </c>
      <c r="B919" s="23">
        <v>44020</v>
      </c>
      <c r="C919" s="24">
        <f t="shared" si="14"/>
        <v>7</v>
      </c>
      <c r="D919" s="22" t="s">
        <v>121</v>
      </c>
      <c r="E919" s="22" t="s">
        <v>38</v>
      </c>
      <c r="F919" s="22" t="s">
        <v>55</v>
      </c>
      <c r="G919" s="22" t="s">
        <v>109</v>
      </c>
      <c r="H919" s="22" t="s">
        <v>178</v>
      </c>
      <c r="I919" s="22" t="s">
        <v>45</v>
      </c>
      <c r="J919" s="22" t="s">
        <v>116</v>
      </c>
      <c r="K919" s="22" t="s">
        <v>53</v>
      </c>
      <c r="L919" s="22">
        <v>2</v>
      </c>
      <c r="M919" s="22">
        <v>87200</v>
      </c>
      <c r="N919" s="22">
        <v>0.15</v>
      </c>
      <c r="O919" s="22">
        <v>148240</v>
      </c>
      <c r="P919" s="22">
        <v>110868.79</v>
      </c>
      <c r="Q919" s="22">
        <v>37371.21</v>
      </c>
      <c r="R919" s="22" t="s">
        <v>27</v>
      </c>
    </row>
    <row r="920" spans="1:18">
      <c r="A920" s="22" t="s">
        <v>1054</v>
      </c>
      <c r="B920" s="23">
        <v>43694</v>
      </c>
      <c r="C920" s="24">
        <f t="shared" si="14"/>
        <v>8</v>
      </c>
      <c r="D920" s="22" t="s">
        <v>121</v>
      </c>
      <c r="E920" s="22" t="s">
        <v>38</v>
      </c>
      <c r="F920" s="22" t="s">
        <v>31</v>
      </c>
      <c r="G920" s="22" t="s">
        <v>32</v>
      </c>
      <c r="H920" s="22" t="s">
        <v>226</v>
      </c>
      <c r="I920" s="22" t="s">
        <v>24</v>
      </c>
      <c r="J920" s="22" t="s">
        <v>63</v>
      </c>
      <c r="K920" s="22" t="s">
        <v>26</v>
      </c>
      <c r="L920" s="22">
        <v>3</v>
      </c>
      <c r="M920" s="22">
        <v>71400</v>
      </c>
      <c r="N920" s="22">
        <v>0.15</v>
      </c>
      <c r="O920" s="22">
        <v>182070</v>
      </c>
      <c r="P920" s="22">
        <v>124819.1</v>
      </c>
      <c r="Q920" s="22">
        <v>57250.9</v>
      </c>
      <c r="R920" s="22" t="s">
        <v>58</v>
      </c>
    </row>
    <row r="921" spans="1:18">
      <c r="A921" s="22" t="s">
        <v>1055</v>
      </c>
      <c r="B921" s="23">
        <v>44072</v>
      </c>
      <c r="C921" s="24">
        <f t="shared" si="14"/>
        <v>8</v>
      </c>
      <c r="D921" s="22" t="s">
        <v>37</v>
      </c>
      <c r="E921" s="22" t="s">
        <v>38</v>
      </c>
      <c r="F921" s="22" t="s">
        <v>31</v>
      </c>
      <c r="G921" s="22" t="s">
        <v>66</v>
      </c>
      <c r="H921" s="22" t="s">
        <v>244</v>
      </c>
      <c r="I921" s="22" t="s">
        <v>24</v>
      </c>
      <c r="J921" s="22" t="s">
        <v>73</v>
      </c>
      <c r="K921" s="22" t="s">
        <v>53</v>
      </c>
      <c r="L921" s="22">
        <v>8</v>
      </c>
      <c r="M921" s="22">
        <v>30100</v>
      </c>
      <c r="N921" s="22">
        <v>0.1</v>
      </c>
      <c r="O921" s="22">
        <v>216720</v>
      </c>
      <c r="P921" s="22">
        <v>150535.61</v>
      </c>
      <c r="Q921" s="22">
        <v>66184.39</v>
      </c>
      <c r="R921" s="22" t="s">
        <v>27</v>
      </c>
    </row>
    <row r="922" spans="1:18">
      <c r="A922" s="22" t="s">
        <v>1056</v>
      </c>
      <c r="B922" s="23">
        <v>44193</v>
      </c>
      <c r="C922" s="24">
        <f t="shared" si="14"/>
        <v>12</v>
      </c>
      <c r="D922" s="22" t="s">
        <v>79</v>
      </c>
      <c r="E922" s="22" t="s">
        <v>38</v>
      </c>
      <c r="F922" s="22" t="s">
        <v>21</v>
      </c>
      <c r="G922" s="22" t="s">
        <v>22</v>
      </c>
      <c r="H922" s="22" t="s">
        <v>215</v>
      </c>
      <c r="I922" s="22" t="s">
        <v>45</v>
      </c>
      <c r="J922" s="22" t="s">
        <v>63</v>
      </c>
      <c r="K922" s="22" t="s">
        <v>53</v>
      </c>
      <c r="L922" s="22">
        <v>7</v>
      </c>
      <c r="M922" s="22">
        <v>15500</v>
      </c>
      <c r="N922" s="22">
        <v>0</v>
      </c>
      <c r="O922" s="22">
        <v>108500</v>
      </c>
      <c r="P922" s="22">
        <v>78263.71</v>
      </c>
      <c r="Q922" s="22">
        <v>30236.29</v>
      </c>
      <c r="R922" s="22" t="s">
        <v>48</v>
      </c>
    </row>
    <row r="923" hidden="1" spans="1:18">
      <c r="A923" s="22" t="s">
        <v>1057</v>
      </c>
      <c r="B923" s="23">
        <v>45748</v>
      </c>
      <c r="C923" s="24">
        <f t="shared" si="14"/>
        <v>4</v>
      </c>
      <c r="D923" s="22" t="s">
        <v>19</v>
      </c>
      <c r="E923" s="22" t="s">
        <v>20</v>
      </c>
      <c r="F923" s="22" t="s">
        <v>60</v>
      </c>
      <c r="G923" s="22" t="s">
        <v>93</v>
      </c>
      <c r="H923" s="22" t="s">
        <v>94</v>
      </c>
      <c r="I923" s="22" t="s">
        <v>24</v>
      </c>
      <c r="J923" s="22" t="s">
        <v>25</v>
      </c>
      <c r="K923" s="22" t="s">
        <v>53</v>
      </c>
      <c r="L923" s="22">
        <v>1</v>
      </c>
      <c r="M923" s="22">
        <v>15000</v>
      </c>
      <c r="N923" s="22">
        <v>0</v>
      </c>
      <c r="O923" s="22">
        <v>15000</v>
      </c>
      <c r="P923" s="22">
        <v>11064.84</v>
      </c>
      <c r="Q923" s="22">
        <v>3935.16</v>
      </c>
      <c r="R923" s="22" t="s">
        <v>77</v>
      </c>
    </row>
    <row r="924" hidden="1" spans="1:18">
      <c r="A924" s="22" t="s">
        <v>1058</v>
      </c>
      <c r="B924" s="23">
        <v>44180</v>
      </c>
      <c r="C924" s="24">
        <f t="shared" si="14"/>
        <v>12</v>
      </c>
      <c r="D924" s="22" t="s">
        <v>29</v>
      </c>
      <c r="E924" s="22" t="s">
        <v>30</v>
      </c>
      <c r="F924" s="22" t="s">
        <v>55</v>
      </c>
      <c r="G924" s="22" t="s">
        <v>56</v>
      </c>
      <c r="H924" s="22" t="s">
        <v>154</v>
      </c>
      <c r="I924" s="22" t="s">
        <v>51</v>
      </c>
      <c r="J924" s="22" t="s">
        <v>124</v>
      </c>
      <c r="K924" s="22" t="s">
        <v>53</v>
      </c>
      <c r="L924" s="22">
        <v>10</v>
      </c>
      <c r="M924" s="22">
        <v>4400</v>
      </c>
      <c r="N924" s="22">
        <v>0.15</v>
      </c>
      <c r="O924" s="22">
        <v>37400</v>
      </c>
      <c r="P924" s="22">
        <v>28465.38</v>
      </c>
      <c r="Q924" s="22">
        <v>8934.62</v>
      </c>
      <c r="R924" s="22" t="s">
        <v>27</v>
      </c>
    </row>
    <row r="925" hidden="1" spans="1:18">
      <c r="A925" s="22" t="s">
        <v>1059</v>
      </c>
      <c r="B925" s="23">
        <v>43313</v>
      </c>
      <c r="C925" s="24">
        <f t="shared" si="14"/>
        <v>8</v>
      </c>
      <c r="D925" s="22" t="s">
        <v>133</v>
      </c>
      <c r="E925" s="22" t="s">
        <v>213</v>
      </c>
      <c r="F925" s="22" t="s">
        <v>31</v>
      </c>
      <c r="G925" s="22" t="s">
        <v>66</v>
      </c>
      <c r="H925" s="22" t="s">
        <v>316</v>
      </c>
      <c r="I925" s="22" t="s">
        <v>51</v>
      </c>
      <c r="J925" s="22" t="s">
        <v>99</v>
      </c>
      <c r="K925" s="22" t="s">
        <v>53</v>
      </c>
      <c r="L925" s="22">
        <v>9</v>
      </c>
      <c r="M925" s="22">
        <v>20000</v>
      </c>
      <c r="N925" s="22">
        <v>0</v>
      </c>
      <c r="O925" s="22">
        <v>180000</v>
      </c>
      <c r="P925" s="22">
        <v>145030.7</v>
      </c>
      <c r="Q925" s="22">
        <v>34969.3</v>
      </c>
      <c r="R925" s="22" t="s">
        <v>27</v>
      </c>
    </row>
    <row r="926" hidden="1" spans="1:18">
      <c r="A926" s="22" t="s">
        <v>1060</v>
      </c>
      <c r="B926" s="23">
        <v>43711</v>
      </c>
      <c r="C926" s="24">
        <f t="shared" si="14"/>
        <v>9</v>
      </c>
      <c r="D926" s="22" t="s">
        <v>133</v>
      </c>
      <c r="E926" s="22" t="s">
        <v>213</v>
      </c>
      <c r="F926" s="22" t="s">
        <v>21</v>
      </c>
      <c r="G926" s="22" t="s">
        <v>122</v>
      </c>
      <c r="H926" s="22" t="s">
        <v>156</v>
      </c>
      <c r="I926" s="22" t="s">
        <v>51</v>
      </c>
      <c r="J926" s="22" t="s">
        <v>124</v>
      </c>
      <c r="K926" s="22" t="s">
        <v>53</v>
      </c>
      <c r="L926" s="22">
        <v>6</v>
      </c>
      <c r="M926" s="22">
        <v>9200</v>
      </c>
      <c r="N926" s="22">
        <v>0</v>
      </c>
      <c r="O926" s="22">
        <v>55200</v>
      </c>
      <c r="P926" s="22">
        <v>43035.3</v>
      </c>
      <c r="Q926" s="22">
        <v>12164.7</v>
      </c>
      <c r="R926" s="22" t="s">
        <v>35</v>
      </c>
    </row>
    <row r="927" spans="1:18">
      <c r="A927" s="22" t="s">
        <v>1061</v>
      </c>
      <c r="B927" s="23">
        <v>43663</v>
      </c>
      <c r="C927" s="24">
        <f t="shared" si="14"/>
        <v>7</v>
      </c>
      <c r="D927" s="22" t="s">
        <v>79</v>
      </c>
      <c r="E927" s="22" t="s">
        <v>38</v>
      </c>
      <c r="F927" s="22" t="s">
        <v>55</v>
      </c>
      <c r="G927" s="22" t="s">
        <v>56</v>
      </c>
      <c r="H927" s="22" t="s">
        <v>76</v>
      </c>
      <c r="I927" s="22" t="s">
        <v>24</v>
      </c>
      <c r="J927" s="22" t="s">
        <v>99</v>
      </c>
      <c r="K927" s="22" t="s">
        <v>53</v>
      </c>
      <c r="L927" s="22">
        <v>9</v>
      </c>
      <c r="M927" s="22">
        <v>48800</v>
      </c>
      <c r="N927" s="22">
        <v>0</v>
      </c>
      <c r="O927" s="22">
        <v>439200</v>
      </c>
      <c r="P927" s="22">
        <v>286886.11</v>
      </c>
      <c r="Q927" s="22">
        <v>152313.89</v>
      </c>
      <c r="R927" s="22" t="s">
        <v>48</v>
      </c>
    </row>
    <row r="928" hidden="1" spans="1:18">
      <c r="A928" s="22" t="s">
        <v>1062</v>
      </c>
      <c r="B928" s="23">
        <v>44349</v>
      </c>
      <c r="C928" s="24">
        <f t="shared" si="14"/>
        <v>6</v>
      </c>
      <c r="D928" s="22" t="s">
        <v>75</v>
      </c>
      <c r="E928" s="22" t="s">
        <v>20</v>
      </c>
      <c r="F928" s="22" t="s">
        <v>55</v>
      </c>
      <c r="G928" s="22" t="s">
        <v>80</v>
      </c>
      <c r="H928" s="22" t="s">
        <v>160</v>
      </c>
      <c r="I928" s="22" t="s">
        <v>51</v>
      </c>
      <c r="J928" s="22" t="s">
        <v>73</v>
      </c>
      <c r="K928" s="22" t="s">
        <v>47</v>
      </c>
      <c r="L928" s="22">
        <v>5</v>
      </c>
      <c r="M928" s="22">
        <v>12700</v>
      </c>
      <c r="N928" s="22">
        <v>0.2</v>
      </c>
      <c r="O928" s="22">
        <v>50800</v>
      </c>
      <c r="P928" s="22">
        <v>32343.72</v>
      </c>
      <c r="Q928" s="22">
        <v>18456.28</v>
      </c>
      <c r="R928" s="22" t="s">
        <v>77</v>
      </c>
    </row>
    <row r="929" spans="1:18">
      <c r="A929" s="22" t="s">
        <v>1063</v>
      </c>
      <c r="B929" s="23">
        <v>43302</v>
      </c>
      <c r="C929" s="24">
        <f t="shared" si="14"/>
        <v>7</v>
      </c>
      <c r="D929" s="22" t="s">
        <v>37</v>
      </c>
      <c r="E929" s="22" t="s">
        <v>38</v>
      </c>
      <c r="F929" s="22" t="s">
        <v>60</v>
      </c>
      <c r="G929" s="22" t="s">
        <v>61</v>
      </c>
      <c r="H929" s="22" t="s">
        <v>101</v>
      </c>
      <c r="I929" s="22" t="s">
        <v>51</v>
      </c>
      <c r="J929" s="22" t="s">
        <v>73</v>
      </c>
      <c r="K929" s="22" t="s">
        <v>53</v>
      </c>
      <c r="L929" s="22">
        <v>3</v>
      </c>
      <c r="M929" s="22">
        <v>27800</v>
      </c>
      <c r="N929" s="22">
        <v>0</v>
      </c>
      <c r="O929" s="22">
        <v>83400</v>
      </c>
      <c r="P929" s="22">
        <v>67034.2</v>
      </c>
      <c r="Q929" s="22">
        <v>16365.8</v>
      </c>
      <c r="R929" s="22" t="s">
        <v>58</v>
      </c>
    </row>
    <row r="930" hidden="1" spans="1:18">
      <c r="A930" s="22" t="s">
        <v>1064</v>
      </c>
      <c r="B930" s="23">
        <v>43766</v>
      </c>
      <c r="C930" s="24">
        <f t="shared" si="14"/>
        <v>10</v>
      </c>
      <c r="D930" s="22" t="s">
        <v>65</v>
      </c>
      <c r="E930" s="22" t="s">
        <v>30</v>
      </c>
      <c r="F930" s="22" t="s">
        <v>96</v>
      </c>
      <c r="G930" s="22" t="s">
        <v>113</v>
      </c>
      <c r="H930" s="22" t="s">
        <v>114</v>
      </c>
      <c r="I930" s="22" t="s">
        <v>45</v>
      </c>
      <c r="J930" s="22" t="s">
        <v>116</v>
      </c>
      <c r="K930" s="22" t="s">
        <v>53</v>
      </c>
      <c r="L930" s="22">
        <v>3</v>
      </c>
      <c r="M930" s="22">
        <v>700</v>
      </c>
      <c r="N930" s="22">
        <v>0.05</v>
      </c>
      <c r="O930" s="22">
        <v>1995</v>
      </c>
      <c r="P930" s="22">
        <v>1539.2</v>
      </c>
      <c r="Q930" s="22">
        <v>455.8</v>
      </c>
      <c r="R930" s="22" t="s">
        <v>58</v>
      </c>
    </row>
    <row r="931" hidden="1" spans="1:18">
      <c r="A931" s="22" t="s">
        <v>1065</v>
      </c>
      <c r="B931" s="23">
        <v>43241</v>
      </c>
      <c r="C931" s="24">
        <f t="shared" si="14"/>
        <v>5</v>
      </c>
      <c r="D931" s="22" t="s">
        <v>133</v>
      </c>
      <c r="E931" s="22" t="s">
        <v>213</v>
      </c>
      <c r="F931" s="22" t="s">
        <v>60</v>
      </c>
      <c r="G931" s="22" t="s">
        <v>141</v>
      </c>
      <c r="H931" s="22" t="s">
        <v>200</v>
      </c>
      <c r="I931" s="22" t="s">
        <v>45</v>
      </c>
      <c r="J931" s="22" t="s">
        <v>73</v>
      </c>
      <c r="K931" s="22" t="s">
        <v>47</v>
      </c>
      <c r="L931" s="22">
        <v>4</v>
      </c>
      <c r="M931" s="22">
        <v>4700</v>
      </c>
      <c r="N931" s="22">
        <v>0.05</v>
      </c>
      <c r="O931" s="22">
        <v>17860</v>
      </c>
      <c r="P931" s="22">
        <v>13043.11</v>
      </c>
      <c r="Q931" s="22">
        <v>4816.89</v>
      </c>
      <c r="R931" s="22" t="s">
        <v>77</v>
      </c>
    </row>
    <row r="932" spans="1:18">
      <c r="A932" s="22" t="s">
        <v>1066</v>
      </c>
      <c r="B932" s="23">
        <v>43828</v>
      </c>
      <c r="C932" s="24">
        <f t="shared" si="14"/>
        <v>12</v>
      </c>
      <c r="D932" s="22" t="s">
        <v>37</v>
      </c>
      <c r="E932" s="22" t="s">
        <v>38</v>
      </c>
      <c r="F932" s="22" t="s">
        <v>31</v>
      </c>
      <c r="G932" s="22" t="s">
        <v>66</v>
      </c>
      <c r="H932" s="22" t="s">
        <v>244</v>
      </c>
      <c r="I932" s="22" t="s">
        <v>51</v>
      </c>
      <c r="J932" s="22" t="s">
        <v>46</v>
      </c>
      <c r="K932" s="22" t="s">
        <v>47</v>
      </c>
      <c r="L932" s="22">
        <v>6</v>
      </c>
      <c r="M932" s="22">
        <v>14600</v>
      </c>
      <c r="N932" s="22">
        <v>0.1</v>
      </c>
      <c r="O932" s="22">
        <v>78840</v>
      </c>
      <c r="P932" s="22">
        <v>61646.87</v>
      </c>
      <c r="Q932" s="22">
        <v>17193.13</v>
      </c>
      <c r="R932" s="22" t="s">
        <v>27</v>
      </c>
    </row>
    <row r="933" spans="1:18">
      <c r="A933" s="22" t="s">
        <v>1067</v>
      </c>
      <c r="B933" s="23">
        <v>43209</v>
      </c>
      <c r="C933" s="24">
        <f t="shared" si="14"/>
        <v>4</v>
      </c>
      <c r="D933" s="22" t="s">
        <v>79</v>
      </c>
      <c r="E933" s="22" t="s">
        <v>38</v>
      </c>
      <c r="F933" s="22" t="s">
        <v>31</v>
      </c>
      <c r="G933" s="22" t="s">
        <v>172</v>
      </c>
      <c r="H933" s="22" t="s">
        <v>269</v>
      </c>
      <c r="I933" s="22" t="s">
        <v>45</v>
      </c>
      <c r="J933" s="22" t="s">
        <v>170</v>
      </c>
      <c r="K933" s="22" t="s">
        <v>26</v>
      </c>
      <c r="L933" s="22">
        <v>3</v>
      </c>
      <c r="M933" s="22">
        <v>24600</v>
      </c>
      <c r="N933" s="22">
        <v>0.1</v>
      </c>
      <c r="O933" s="22">
        <v>66420</v>
      </c>
      <c r="P933" s="22">
        <v>48958.73</v>
      </c>
      <c r="Q933" s="22">
        <v>17461.27</v>
      </c>
      <c r="R933" s="22" t="s">
        <v>58</v>
      </c>
    </row>
    <row r="934" spans="1:18">
      <c r="A934" s="22" t="s">
        <v>1068</v>
      </c>
      <c r="B934" s="23">
        <v>43707</v>
      </c>
      <c r="C934" s="24">
        <f t="shared" si="14"/>
        <v>8</v>
      </c>
      <c r="D934" s="22" t="s">
        <v>79</v>
      </c>
      <c r="E934" s="22" t="s">
        <v>38</v>
      </c>
      <c r="F934" s="22" t="s">
        <v>55</v>
      </c>
      <c r="G934" s="22" t="s">
        <v>80</v>
      </c>
      <c r="H934" s="22" t="s">
        <v>160</v>
      </c>
      <c r="I934" s="22" t="s">
        <v>45</v>
      </c>
      <c r="J934" s="22" t="s">
        <v>25</v>
      </c>
      <c r="K934" s="22" t="s">
        <v>26</v>
      </c>
      <c r="L934" s="22">
        <v>2</v>
      </c>
      <c r="M934" s="22">
        <v>46800</v>
      </c>
      <c r="N934" s="22">
        <v>0.05</v>
      </c>
      <c r="O934" s="22">
        <v>88920</v>
      </c>
      <c r="P934" s="22">
        <v>61436.11</v>
      </c>
      <c r="Q934" s="22">
        <v>27483.89</v>
      </c>
      <c r="R934" s="22" t="s">
        <v>27</v>
      </c>
    </row>
    <row r="935" spans="1:18">
      <c r="A935" s="22" t="s">
        <v>1069</v>
      </c>
      <c r="B935" s="23">
        <v>43737</v>
      </c>
      <c r="C935" s="24">
        <f t="shared" si="14"/>
        <v>9</v>
      </c>
      <c r="D935" s="22" t="s">
        <v>37</v>
      </c>
      <c r="E935" s="22" t="s">
        <v>38</v>
      </c>
      <c r="F935" s="22" t="s">
        <v>55</v>
      </c>
      <c r="G935" s="22" t="s">
        <v>195</v>
      </c>
      <c r="H935" s="22" t="s">
        <v>209</v>
      </c>
      <c r="I935" s="22" t="s">
        <v>24</v>
      </c>
      <c r="J935" s="22" t="s">
        <v>63</v>
      </c>
      <c r="K935" s="22" t="s">
        <v>26</v>
      </c>
      <c r="L935" s="22">
        <v>5</v>
      </c>
      <c r="M935" s="22">
        <v>18300</v>
      </c>
      <c r="N935" s="22">
        <v>0.1</v>
      </c>
      <c r="O935" s="22">
        <v>82350</v>
      </c>
      <c r="P935" s="22">
        <v>68520.77</v>
      </c>
      <c r="Q935" s="22">
        <v>13829.23</v>
      </c>
      <c r="R935" s="22" t="s">
        <v>58</v>
      </c>
    </row>
    <row r="936" hidden="1" spans="1:18">
      <c r="A936" s="22" t="s">
        <v>1070</v>
      </c>
      <c r="B936" s="23">
        <v>45732</v>
      </c>
      <c r="C936" s="24">
        <f t="shared" si="14"/>
        <v>3</v>
      </c>
      <c r="D936" s="22" t="s">
        <v>103</v>
      </c>
      <c r="E936" s="22" t="s">
        <v>30</v>
      </c>
      <c r="F936" s="22" t="s">
        <v>60</v>
      </c>
      <c r="G936" s="22" t="s">
        <v>93</v>
      </c>
      <c r="H936" s="22" t="s">
        <v>181</v>
      </c>
      <c r="I936" s="22" t="s">
        <v>51</v>
      </c>
      <c r="J936" s="22" t="s">
        <v>170</v>
      </c>
      <c r="K936" s="22" t="s">
        <v>26</v>
      </c>
      <c r="L936" s="22">
        <v>3</v>
      </c>
      <c r="M936" s="22">
        <v>1000</v>
      </c>
      <c r="N936" s="22">
        <v>0</v>
      </c>
      <c r="O936" s="22">
        <v>3000</v>
      </c>
      <c r="P936" s="22">
        <v>2379.12</v>
      </c>
      <c r="Q936" s="22">
        <v>620.88</v>
      </c>
      <c r="R936" s="22" t="s">
        <v>27</v>
      </c>
    </row>
    <row r="937" spans="1:18">
      <c r="A937" s="22" t="s">
        <v>1071</v>
      </c>
      <c r="B937" s="23">
        <v>43730</v>
      </c>
      <c r="C937" s="24">
        <f t="shared" si="14"/>
        <v>9</v>
      </c>
      <c r="D937" s="22" t="s">
        <v>37</v>
      </c>
      <c r="E937" s="22" t="s">
        <v>38</v>
      </c>
      <c r="F937" s="22" t="s">
        <v>31</v>
      </c>
      <c r="G937" s="22" t="s">
        <v>43</v>
      </c>
      <c r="H937" s="22" t="s">
        <v>258</v>
      </c>
      <c r="I937" s="22" t="s">
        <v>51</v>
      </c>
      <c r="J937" s="22" t="s">
        <v>73</v>
      </c>
      <c r="K937" s="22" t="s">
        <v>47</v>
      </c>
      <c r="L937" s="22">
        <v>1</v>
      </c>
      <c r="M937" s="22">
        <v>33600</v>
      </c>
      <c r="N937" s="22">
        <v>0.1</v>
      </c>
      <c r="O937" s="22">
        <v>30240</v>
      </c>
      <c r="P937" s="22">
        <v>22989.95</v>
      </c>
      <c r="Q937" s="22">
        <v>7250.05</v>
      </c>
      <c r="R937" s="22" t="s">
        <v>58</v>
      </c>
    </row>
    <row r="938" hidden="1" spans="1:18">
      <c r="A938" s="22" t="s">
        <v>1072</v>
      </c>
      <c r="B938" s="23">
        <v>45751</v>
      </c>
      <c r="C938" s="24">
        <f t="shared" si="14"/>
        <v>4</v>
      </c>
      <c r="D938" s="22" t="s">
        <v>69</v>
      </c>
      <c r="E938" s="22" t="s">
        <v>30</v>
      </c>
      <c r="F938" s="22" t="s">
        <v>31</v>
      </c>
      <c r="G938" s="22" t="s">
        <v>172</v>
      </c>
      <c r="H938" s="22" t="s">
        <v>269</v>
      </c>
      <c r="I938" s="22" t="s">
        <v>51</v>
      </c>
      <c r="J938" s="22" t="s">
        <v>34</v>
      </c>
      <c r="K938" s="22" t="s">
        <v>53</v>
      </c>
      <c r="L938" s="22">
        <v>4</v>
      </c>
      <c r="M938" s="22">
        <v>1100</v>
      </c>
      <c r="N938" s="22">
        <v>0.1</v>
      </c>
      <c r="O938" s="22">
        <v>3960</v>
      </c>
      <c r="P938" s="22">
        <v>2920.44</v>
      </c>
      <c r="Q938" s="22">
        <v>1039.56</v>
      </c>
      <c r="R938" s="22" t="s">
        <v>58</v>
      </c>
    </row>
    <row r="939" hidden="1" spans="1:18">
      <c r="A939" s="22" t="s">
        <v>1073</v>
      </c>
      <c r="B939" s="23">
        <v>44208</v>
      </c>
      <c r="C939" s="24">
        <f t="shared" si="14"/>
        <v>1</v>
      </c>
      <c r="D939" s="22" t="s">
        <v>85</v>
      </c>
      <c r="E939" s="22" t="s">
        <v>30</v>
      </c>
      <c r="F939" s="22" t="s">
        <v>21</v>
      </c>
      <c r="G939" s="22" t="s">
        <v>70</v>
      </c>
      <c r="H939" s="22" t="s">
        <v>83</v>
      </c>
      <c r="I939" s="22" t="s">
        <v>51</v>
      </c>
      <c r="J939" s="22" t="s">
        <v>124</v>
      </c>
      <c r="K939" s="22" t="s">
        <v>53</v>
      </c>
      <c r="L939" s="22">
        <v>1</v>
      </c>
      <c r="M939" s="22">
        <v>1200</v>
      </c>
      <c r="N939" s="22">
        <v>0</v>
      </c>
      <c r="O939" s="22">
        <v>1200</v>
      </c>
      <c r="P939" s="22">
        <v>757.55</v>
      </c>
      <c r="Q939" s="22">
        <v>442.45</v>
      </c>
      <c r="R939" s="22" t="s">
        <v>35</v>
      </c>
    </row>
    <row r="940" spans="1:18">
      <c r="A940" s="22" t="s">
        <v>1074</v>
      </c>
      <c r="B940" s="23">
        <v>43706</v>
      </c>
      <c r="C940" s="24">
        <f t="shared" si="14"/>
        <v>8</v>
      </c>
      <c r="D940" s="22" t="s">
        <v>90</v>
      </c>
      <c r="E940" s="22" t="s">
        <v>38</v>
      </c>
      <c r="F940" s="22" t="s">
        <v>21</v>
      </c>
      <c r="G940" s="22" t="s">
        <v>167</v>
      </c>
      <c r="H940" s="22" t="s">
        <v>206</v>
      </c>
      <c r="I940" s="22" t="s">
        <v>24</v>
      </c>
      <c r="J940" s="22" t="s">
        <v>170</v>
      </c>
      <c r="K940" s="22" t="s">
        <v>53</v>
      </c>
      <c r="L940" s="22">
        <v>5</v>
      </c>
      <c r="M940" s="22">
        <v>25400</v>
      </c>
      <c r="N940" s="22">
        <v>0.05</v>
      </c>
      <c r="O940" s="22">
        <v>120650</v>
      </c>
      <c r="P940" s="22">
        <v>75179.97</v>
      </c>
      <c r="Q940" s="22">
        <v>45470.03</v>
      </c>
      <c r="R940" s="22" t="s">
        <v>77</v>
      </c>
    </row>
    <row r="941" hidden="1" spans="1:18">
      <c r="A941" s="22" t="s">
        <v>1075</v>
      </c>
      <c r="B941" s="23">
        <v>45745</v>
      </c>
      <c r="C941" s="24">
        <f t="shared" si="14"/>
        <v>3</v>
      </c>
      <c r="D941" s="22" t="s">
        <v>85</v>
      </c>
      <c r="E941" s="22" t="s">
        <v>30</v>
      </c>
      <c r="F941" s="22" t="s">
        <v>55</v>
      </c>
      <c r="G941" s="22" t="s">
        <v>80</v>
      </c>
      <c r="H941" s="22" t="s">
        <v>160</v>
      </c>
      <c r="I941" s="22" t="s">
        <v>51</v>
      </c>
      <c r="J941" s="22" t="s">
        <v>25</v>
      </c>
      <c r="K941" s="22" t="s">
        <v>53</v>
      </c>
      <c r="L941" s="22">
        <v>10</v>
      </c>
      <c r="M941" s="22">
        <v>2700</v>
      </c>
      <c r="N941" s="22">
        <v>0</v>
      </c>
      <c r="O941" s="22">
        <v>27000</v>
      </c>
      <c r="P941" s="22">
        <v>21057.57</v>
      </c>
      <c r="Q941" s="22">
        <v>5942.43</v>
      </c>
      <c r="R941" s="22" t="s">
        <v>35</v>
      </c>
    </row>
    <row r="942" spans="1:18">
      <c r="A942" s="22" t="s">
        <v>1076</v>
      </c>
      <c r="B942" s="23">
        <v>44013</v>
      </c>
      <c r="C942" s="24">
        <f t="shared" si="14"/>
        <v>7</v>
      </c>
      <c r="D942" s="22" t="s">
        <v>90</v>
      </c>
      <c r="E942" s="22" t="s">
        <v>38</v>
      </c>
      <c r="F942" s="22" t="s">
        <v>21</v>
      </c>
      <c r="G942" s="22" t="s">
        <v>122</v>
      </c>
      <c r="H942" s="22" t="s">
        <v>156</v>
      </c>
      <c r="I942" s="22" t="s">
        <v>24</v>
      </c>
      <c r="J942" s="22" t="s">
        <v>40</v>
      </c>
      <c r="K942" s="22" t="s">
        <v>47</v>
      </c>
      <c r="L942" s="22">
        <v>4</v>
      </c>
      <c r="M942" s="22">
        <v>37500</v>
      </c>
      <c r="N942" s="22">
        <v>0</v>
      </c>
      <c r="O942" s="22">
        <v>150000</v>
      </c>
      <c r="P942" s="22">
        <v>94448.85</v>
      </c>
      <c r="Q942" s="22">
        <v>55551.15</v>
      </c>
      <c r="R942" s="22" t="s">
        <v>35</v>
      </c>
    </row>
    <row r="943" spans="1:18">
      <c r="A943" s="22" t="s">
        <v>1077</v>
      </c>
      <c r="B943" s="23">
        <v>46084</v>
      </c>
      <c r="C943" s="24">
        <f t="shared" si="14"/>
        <v>3</v>
      </c>
      <c r="D943" s="22" t="s">
        <v>103</v>
      </c>
      <c r="E943" s="22" t="s">
        <v>38</v>
      </c>
      <c r="F943" s="22" t="s">
        <v>31</v>
      </c>
      <c r="G943" s="22" t="s">
        <v>32</v>
      </c>
      <c r="H943" s="22" t="s">
        <v>33</v>
      </c>
      <c r="I943" s="22" t="s">
        <v>51</v>
      </c>
      <c r="J943" s="22" t="s">
        <v>88</v>
      </c>
      <c r="K943" s="22" t="s">
        <v>47</v>
      </c>
      <c r="L943" s="22">
        <v>8</v>
      </c>
      <c r="M943" s="22">
        <v>39300</v>
      </c>
      <c r="N943" s="22">
        <v>0.05</v>
      </c>
      <c r="O943" s="22">
        <v>298680</v>
      </c>
      <c r="P943" s="22">
        <v>249046.37</v>
      </c>
      <c r="Q943" s="22">
        <v>49633.63</v>
      </c>
      <c r="R943" s="22" t="s">
        <v>35</v>
      </c>
    </row>
    <row r="944" hidden="1" spans="1:18">
      <c r="A944" s="22" t="s">
        <v>1078</v>
      </c>
      <c r="B944" s="23">
        <v>45778</v>
      </c>
      <c r="C944" s="24">
        <f t="shared" si="14"/>
        <v>5</v>
      </c>
      <c r="D944" s="22" t="s">
        <v>75</v>
      </c>
      <c r="E944" s="22" t="s">
        <v>213</v>
      </c>
      <c r="F944" s="22" t="s">
        <v>55</v>
      </c>
      <c r="G944" s="22" t="s">
        <v>56</v>
      </c>
      <c r="H944" s="22" t="s">
        <v>57</v>
      </c>
      <c r="I944" s="22" t="s">
        <v>45</v>
      </c>
      <c r="J944" s="22" t="s">
        <v>25</v>
      </c>
      <c r="K944" s="22" t="s">
        <v>53</v>
      </c>
      <c r="L944" s="22">
        <v>3</v>
      </c>
      <c r="M944" s="22">
        <v>11300</v>
      </c>
      <c r="N944" s="22">
        <v>0.1</v>
      </c>
      <c r="O944" s="22">
        <v>30510</v>
      </c>
      <c r="P944" s="22">
        <v>21510.09</v>
      </c>
      <c r="Q944" s="22">
        <v>8999.91</v>
      </c>
      <c r="R944" s="22" t="s">
        <v>58</v>
      </c>
    </row>
    <row r="945" spans="1:18">
      <c r="A945" s="22" t="s">
        <v>1079</v>
      </c>
      <c r="B945" s="23">
        <v>43301</v>
      </c>
      <c r="C945" s="24">
        <f t="shared" si="14"/>
        <v>7</v>
      </c>
      <c r="D945" s="22" t="s">
        <v>37</v>
      </c>
      <c r="E945" s="22" t="s">
        <v>38</v>
      </c>
      <c r="F945" s="22" t="s">
        <v>21</v>
      </c>
      <c r="G945" s="22" t="s">
        <v>22</v>
      </c>
      <c r="H945" s="22" t="s">
        <v>23</v>
      </c>
      <c r="I945" s="22" t="s">
        <v>45</v>
      </c>
      <c r="J945" s="22" t="s">
        <v>73</v>
      </c>
      <c r="K945" s="22" t="s">
        <v>26</v>
      </c>
      <c r="L945" s="22">
        <v>2</v>
      </c>
      <c r="M945" s="22">
        <v>11700</v>
      </c>
      <c r="N945" s="22">
        <v>0.1</v>
      </c>
      <c r="O945" s="22">
        <v>21060</v>
      </c>
      <c r="P945" s="22">
        <v>14383.13</v>
      </c>
      <c r="Q945" s="22">
        <v>6676.87</v>
      </c>
      <c r="R945" s="22" t="s">
        <v>27</v>
      </c>
    </row>
    <row r="946" hidden="1" spans="1:18">
      <c r="A946" s="22" t="s">
        <v>1080</v>
      </c>
      <c r="B946" s="23">
        <v>44100</v>
      </c>
      <c r="C946" s="24">
        <f t="shared" si="14"/>
        <v>9</v>
      </c>
      <c r="D946" s="22" t="s">
        <v>19</v>
      </c>
      <c r="E946" s="22" t="s">
        <v>20</v>
      </c>
      <c r="F946" s="22" t="s">
        <v>60</v>
      </c>
      <c r="G946" s="22" t="s">
        <v>86</v>
      </c>
      <c r="H946" s="22" t="s">
        <v>104</v>
      </c>
      <c r="I946" s="22" t="s">
        <v>45</v>
      </c>
      <c r="J946" s="22" t="s">
        <v>88</v>
      </c>
      <c r="K946" s="22" t="s">
        <v>47</v>
      </c>
      <c r="L946" s="22">
        <v>2</v>
      </c>
      <c r="M946" s="22">
        <v>8900</v>
      </c>
      <c r="N946" s="22">
        <v>0.05</v>
      </c>
      <c r="O946" s="22">
        <v>16910</v>
      </c>
      <c r="P946" s="22">
        <v>12985.15</v>
      </c>
      <c r="Q946" s="22">
        <v>3924.85</v>
      </c>
      <c r="R946" s="22" t="s">
        <v>27</v>
      </c>
    </row>
    <row r="947" hidden="1" spans="1:18">
      <c r="A947" s="22" t="s">
        <v>1081</v>
      </c>
      <c r="B947" s="23">
        <v>45710</v>
      </c>
      <c r="C947" s="24">
        <f t="shared" si="14"/>
        <v>2</v>
      </c>
      <c r="D947" s="22" t="s">
        <v>103</v>
      </c>
      <c r="E947" s="22" t="s">
        <v>30</v>
      </c>
      <c r="F947" s="22" t="s">
        <v>60</v>
      </c>
      <c r="G947" s="22" t="s">
        <v>86</v>
      </c>
      <c r="H947" s="22" t="s">
        <v>104</v>
      </c>
      <c r="I947" s="22" t="s">
        <v>24</v>
      </c>
      <c r="J947" s="22" t="s">
        <v>46</v>
      </c>
      <c r="K947" s="22" t="s">
        <v>26</v>
      </c>
      <c r="L947" s="22">
        <v>10</v>
      </c>
      <c r="M947" s="22">
        <v>3700</v>
      </c>
      <c r="N947" s="22">
        <v>0.2</v>
      </c>
      <c r="O947" s="22">
        <v>29600</v>
      </c>
      <c r="P947" s="22">
        <v>20783.44</v>
      </c>
      <c r="Q947" s="22">
        <v>8816.56</v>
      </c>
      <c r="R947" s="22" t="s">
        <v>35</v>
      </c>
    </row>
    <row r="948" spans="1:18">
      <c r="A948" s="22" t="s">
        <v>1082</v>
      </c>
      <c r="B948" s="23">
        <v>43294</v>
      </c>
      <c r="C948" s="24">
        <f t="shared" si="14"/>
        <v>7</v>
      </c>
      <c r="D948" s="22" t="s">
        <v>90</v>
      </c>
      <c r="E948" s="22" t="s">
        <v>38</v>
      </c>
      <c r="F948" s="22" t="s">
        <v>60</v>
      </c>
      <c r="G948" s="22" t="s">
        <v>141</v>
      </c>
      <c r="H948" s="22" t="s">
        <v>200</v>
      </c>
      <c r="I948" s="22" t="s">
        <v>24</v>
      </c>
      <c r="J948" s="22" t="s">
        <v>46</v>
      </c>
      <c r="K948" s="22" t="s">
        <v>26</v>
      </c>
      <c r="L948" s="22">
        <v>3</v>
      </c>
      <c r="M948" s="22">
        <v>13300</v>
      </c>
      <c r="N948" s="22">
        <v>0.05</v>
      </c>
      <c r="O948" s="22">
        <v>37905</v>
      </c>
      <c r="P948" s="22">
        <v>29710.42</v>
      </c>
      <c r="Q948" s="22">
        <v>8194.58</v>
      </c>
      <c r="R948" s="22" t="s">
        <v>58</v>
      </c>
    </row>
    <row r="949" spans="1:18">
      <c r="A949" s="22" t="s">
        <v>1083</v>
      </c>
      <c r="B949" s="23">
        <v>43277</v>
      </c>
      <c r="C949" s="24">
        <f t="shared" si="14"/>
        <v>6</v>
      </c>
      <c r="D949" s="22" t="s">
        <v>37</v>
      </c>
      <c r="E949" s="22" t="s">
        <v>38</v>
      </c>
      <c r="F949" s="22" t="s">
        <v>21</v>
      </c>
      <c r="G949" s="22" t="s">
        <v>70</v>
      </c>
      <c r="H949" s="22" t="s">
        <v>83</v>
      </c>
      <c r="I949" s="22" t="s">
        <v>51</v>
      </c>
      <c r="J949" s="22" t="s">
        <v>46</v>
      </c>
      <c r="K949" s="22" t="s">
        <v>53</v>
      </c>
      <c r="L949" s="22">
        <v>3</v>
      </c>
      <c r="M949" s="22">
        <v>19100</v>
      </c>
      <c r="N949" s="22">
        <v>0</v>
      </c>
      <c r="O949" s="22">
        <v>57300</v>
      </c>
      <c r="P949" s="22">
        <v>40545.07</v>
      </c>
      <c r="Q949" s="22">
        <v>16754.93</v>
      </c>
      <c r="R949" s="22" t="s">
        <v>48</v>
      </c>
    </row>
    <row r="950" hidden="1" spans="1:18">
      <c r="A950" s="22" t="s">
        <v>1084</v>
      </c>
      <c r="B950" s="23">
        <v>45728</v>
      </c>
      <c r="C950" s="24">
        <f t="shared" si="14"/>
        <v>3</v>
      </c>
      <c r="D950" s="22" t="s">
        <v>103</v>
      </c>
      <c r="E950" s="22" t="s">
        <v>30</v>
      </c>
      <c r="F950" s="22" t="s">
        <v>96</v>
      </c>
      <c r="G950" s="22" t="s">
        <v>97</v>
      </c>
      <c r="H950" s="22" t="s">
        <v>147</v>
      </c>
      <c r="I950" s="22" t="s">
        <v>51</v>
      </c>
      <c r="J950" s="22" t="s">
        <v>25</v>
      </c>
      <c r="K950" s="22" t="s">
        <v>47</v>
      </c>
      <c r="L950" s="22">
        <v>4</v>
      </c>
      <c r="M950" s="22">
        <v>900</v>
      </c>
      <c r="N950" s="22">
        <v>0.2</v>
      </c>
      <c r="O950" s="22">
        <v>2880</v>
      </c>
      <c r="P950" s="22">
        <v>2078.55</v>
      </c>
      <c r="Q950" s="22">
        <v>801.45</v>
      </c>
      <c r="R950" s="22" t="s">
        <v>35</v>
      </c>
    </row>
    <row r="951" spans="1:18">
      <c r="A951" s="22" t="s">
        <v>1085</v>
      </c>
      <c r="B951" s="23">
        <v>43796</v>
      </c>
      <c r="C951" s="24">
        <f t="shared" si="14"/>
        <v>11</v>
      </c>
      <c r="D951" s="22" t="s">
        <v>79</v>
      </c>
      <c r="E951" s="22" t="s">
        <v>38</v>
      </c>
      <c r="F951" s="22" t="s">
        <v>21</v>
      </c>
      <c r="G951" s="22" t="s">
        <v>122</v>
      </c>
      <c r="H951" s="22" t="s">
        <v>138</v>
      </c>
      <c r="I951" s="22" t="s">
        <v>45</v>
      </c>
      <c r="J951" s="22" t="s">
        <v>34</v>
      </c>
      <c r="K951" s="22" t="s">
        <v>47</v>
      </c>
      <c r="L951" s="22">
        <v>2</v>
      </c>
      <c r="M951" s="22">
        <v>61000</v>
      </c>
      <c r="N951" s="22">
        <v>0</v>
      </c>
      <c r="O951" s="22">
        <v>122000</v>
      </c>
      <c r="P951" s="22">
        <v>99802.3</v>
      </c>
      <c r="Q951" s="22">
        <v>22197.7</v>
      </c>
      <c r="R951" s="22" t="s">
        <v>58</v>
      </c>
    </row>
    <row r="952" hidden="1" spans="1:18">
      <c r="A952" s="22" t="s">
        <v>1086</v>
      </c>
      <c r="B952" s="23">
        <v>44341</v>
      </c>
      <c r="C952" s="24">
        <f t="shared" si="14"/>
        <v>5</v>
      </c>
      <c r="D952" s="22" t="s">
        <v>29</v>
      </c>
      <c r="E952" s="22" t="s">
        <v>30</v>
      </c>
      <c r="F952" s="22" t="s">
        <v>21</v>
      </c>
      <c r="G952" s="22" t="s">
        <v>70</v>
      </c>
      <c r="H952" s="22" t="s">
        <v>71</v>
      </c>
      <c r="I952" s="22" t="s">
        <v>24</v>
      </c>
      <c r="J952" s="22" t="s">
        <v>170</v>
      </c>
      <c r="K952" s="22" t="s">
        <v>53</v>
      </c>
      <c r="L952" s="22">
        <v>6</v>
      </c>
      <c r="M952" s="22">
        <v>11600</v>
      </c>
      <c r="N952" s="22">
        <v>0.2</v>
      </c>
      <c r="O952" s="22">
        <v>55680</v>
      </c>
      <c r="P952" s="22">
        <v>45118.27</v>
      </c>
      <c r="Q952" s="22">
        <v>10561.73</v>
      </c>
      <c r="R952" s="22" t="s">
        <v>58</v>
      </c>
    </row>
    <row r="953" spans="1:18">
      <c r="A953" s="22" t="s">
        <v>1087</v>
      </c>
      <c r="B953" s="23">
        <v>43765</v>
      </c>
      <c r="C953" s="24">
        <f t="shared" si="14"/>
        <v>10</v>
      </c>
      <c r="D953" s="22" t="s">
        <v>37</v>
      </c>
      <c r="E953" s="22" t="s">
        <v>38</v>
      </c>
      <c r="F953" s="22" t="s">
        <v>31</v>
      </c>
      <c r="G953" s="22" t="s">
        <v>172</v>
      </c>
      <c r="H953" s="22" t="s">
        <v>269</v>
      </c>
      <c r="I953" s="22" t="s">
        <v>24</v>
      </c>
      <c r="J953" s="22" t="s">
        <v>34</v>
      </c>
      <c r="K953" s="22" t="s">
        <v>53</v>
      </c>
      <c r="L953" s="22">
        <v>5</v>
      </c>
      <c r="M953" s="22">
        <v>9500</v>
      </c>
      <c r="N953" s="22">
        <v>0.1</v>
      </c>
      <c r="O953" s="22">
        <v>42750</v>
      </c>
      <c r="P953" s="22">
        <v>27197.03</v>
      </c>
      <c r="Q953" s="22">
        <v>15552.97</v>
      </c>
      <c r="R953" s="22" t="s">
        <v>27</v>
      </c>
    </row>
    <row r="954" hidden="1" spans="1:18">
      <c r="A954" s="22" t="s">
        <v>1088</v>
      </c>
      <c r="B954" s="23">
        <v>43185</v>
      </c>
      <c r="C954" s="24">
        <f t="shared" si="14"/>
        <v>3</v>
      </c>
      <c r="D954" s="22" t="s">
        <v>85</v>
      </c>
      <c r="E954" s="22" t="s">
        <v>30</v>
      </c>
      <c r="F954" s="22" t="s">
        <v>96</v>
      </c>
      <c r="G954" s="22" t="s">
        <v>113</v>
      </c>
      <c r="H954" s="22" t="s">
        <v>119</v>
      </c>
      <c r="I954" s="22" t="s">
        <v>51</v>
      </c>
      <c r="J954" s="22" t="s">
        <v>46</v>
      </c>
      <c r="K954" s="22" t="s">
        <v>26</v>
      </c>
      <c r="L954" s="22">
        <v>5</v>
      </c>
      <c r="M954" s="22">
        <v>4900</v>
      </c>
      <c r="N954" s="22">
        <v>0.15</v>
      </c>
      <c r="O954" s="22">
        <v>20825</v>
      </c>
      <c r="P954" s="22">
        <v>13848.34</v>
      </c>
      <c r="Q954" s="22">
        <v>6976.66</v>
      </c>
      <c r="R954" s="22" t="s">
        <v>48</v>
      </c>
    </row>
    <row r="955" spans="1:18">
      <c r="A955" s="22" t="s">
        <v>1089</v>
      </c>
      <c r="B955" s="23">
        <v>45720</v>
      </c>
      <c r="C955" s="24">
        <f t="shared" si="14"/>
        <v>3</v>
      </c>
      <c r="D955" s="22" t="s">
        <v>103</v>
      </c>
      <c r="E955" s="22" t="s">
        <v>38</v>
      </c>
      <c r="F955" s="22" t="s">
        <v>96</v>
      </c>
      <c r="G955" s="22" t="s">
        <v>113</v>
      </c>
      <c r="H955" s="22" t="s">
        <v>114</v>
      </c>
      <c r="I955" s="22" t="s">
        <v>45</v>
      </c>
      <c r="J955" s="22" t="s">
        <v>116</v>
      </c>
      <c r="K955" s="22" t="s">
        <v>53</v>
      </c>
      <c r="L955" s="22">
        <v>2</v>
      </c>
      <c r="M955" s="22">
        <v>27900</v>
      </c>
      <c r="N955" s="22">
        <v>0.1</v>
      </c>
      <c r="O955" s="22">
        <v>50220</v>
      </c>
      <c r="P955" s="22">
        <v>38008.09</v>
      </c>
      <c r="Q955" s="22">
        <v>12211.91</v>
      </c>
      <c r="R955" s="22" t="s">
        <v>77</v>
      </c>
    </row>
    <row r="956" hidden="1" spans="1:18">
      <c r="A956" s="22" t="s">
        <v>1090</v>
      </c>
      <c r="B956" s="23">
        <v>43695</v>
      </c>
      <c r="C956" s="24">
        <f t="shared" si="14"/>
        <v>8</v>
      </c>
      <c r="D956" s="22" t="s">
        <v>19</v>
      </c>
      <c r="E956" s="22" t="s">
        <v>20</v>
      </c>
      <c r="F956" s="22" t="s">
        <v>60</v>
      </c>
      <c r="G956" s="22" t="s">
        <v>61</v>
      </c>
      <c r="H956" s="22" t="s">
        <v>62</v>
      </c>
      <c r="I956" s="22" t="s">
        <v>24</v>
      </c>
      <c r="J956" s="22" t="s">
        <v>25</v>
      </c>
      <c r="K956" s="22" t="s">
        <v>47</v>
      </c>
      <c r="L956" s="22">
        <v>10</v>
      </c>
      <c r="M956" s="22">
        <v>13700</v>
      </c>
      <c r="N956" s="22">
        <v>0.1</v>
      </c>
      <c r="O956" s="22">
        <v>123300</v>
      </c>
      <c r="P956" s="22">
        <v>93872.46</v>
      </c>
      <c r="Q956" s="22">
        <v>29427.54</v>
      </c>
      <c r="R956" s="22" t="s">
        <v>35</v>
      </c>
    </row>
    <row r="957" hidden="1" spans="1:18">
      <c r="A957" s="22" t="s">
        <v>1091</v>
      </c>
      <c r="B957" s="23">
        <v>43967</v>
      </c>
      <c r="C957" s="24">
        <f t="shared" si="14"/>
        <v>5</v>
      </c>
      <c r="D957" s="22" t="s">
        <v>75</v>
      </c>
      <c r="E957" s="22" t="s">
        <v>30</v>
      </c>
      <c r="F957" s="22" t="s">
        <v>55</v>
      </c>
      <c r="G957" s="22" t="s">
        <v>109</v>
      </c>
      <c r="H957" s="22" t="s">
        <v>178</v>
      </c>
      <c r="I957" s="22" t="s">
        <v>24</v>
      </c>
      <c r="J957" s="22" t="s">
        <v>73</v>
      </c>
      <c r="K957" s="22" t="s">
        <v>47</v>
      </c>
      <c r="L957" s="22">
        <v>3</v>
      </c>
      <c r="M957" s="22">
        <v>1800</v>
      </c>
      <c r="N957" s="22">
        <v>0.2</v>
      </c>
      <c r="O957" s="22">
        <v>4320</v>
      </c>
      <c r="P957" s="22">
        <v>2866.01</v>
      </c>
      <c r="Q957" s="22">
        <v>1453.99</v>
      </c>
      <c r="R957" s="22" t="s">
        <v>48</v>
      </c>
    </row>
    <row r="958" hidden="1" spans="1:18">
      <c r="A958" s="22" t="s">
        <v>1092</v>
      </c>
      <c r="B958" s="23">
        <v>43987</v>
      </c>
      <c r="C958" s="24">
        <f t="shared" si="14"/>
        <v>6</v>
      </c>
      <c r="D958" s="22" t="s">
        <v>75</v>
      </c>
      <c r="E958" s="22" t="s">
        <v>30</v>
      </c>
      <c r="F958" s="22" t="s">
        <v>31</v>
      </c>
      <c r="G958" s="22" t="s">
        <v>66</v>
      </c>
      <c r="H958" s="22" t="s">
        <v>244</v>
      </c>
      <c r="I958" s="22" t="s">
        <v>45</v>
      </c>
      <c r="J958" s="22" t="s">
        <v>116</v>
      </c>
      <c r="K958" s="22" t="s">
        <v>53</v>
      </c>
      <c r="L958" s="22">
        <v>8</v>
      </c>
      <c r="M958" s="22">
        <v>2100</v>
      </c>
      <c r="N958" s="22">
        <v>0.15</v>
      </c>
      <c r="O958" s="22">
        <v>14280</v>
      </c>
      <c r="P958" s="22">
        <v>11951.31</v>
      </c>
      <c r="Q958" s="22">
        <v>2328.69</v>
      </c>
      <c r="R958" s="22" t="s">
        <v>58</v>
      </c>
    </row>
    <row r="959" spans="1:18">
      <c r="A959" s="22" t="s">
        <v>1093</v>
      </c>
      <c r="B959" s="23">
        <v>44316</v>
      </c>
      <c r="C959" s="24">
        <f t="shared" si="14"/>
        <v>4</v>
      </c>
      <c r="D959" s="22" t="s">
        <v>90</v>
      </c>
      <c r="E959" s="22" t="s">
        <v>38</v>
      </c>
      <c r="F959" s="22" t="s">
        <v>96</v>
      </c>
      <c r="G959" s="22" t="s">
        <v>97</v>
      </c>
      <c r="H959" s="22" t="s">
        <v>98</v>
      </c>
      <c r="I959" s="22" t="s">
        <v>24</v>
      </c>
      <c r="J959" s="22" t="s">
        <v>46</v>
      </c>
      <c r="K959" s="22" t="s">
        <v>26</v>
      </c>
      <c r="L959" s="22">
        <v>7</v>
      </c>
      <c r="M959" s="22">
        <v>27300</v>
      </c>
      <c r="N959" s="22">
        <v>0.1</v>
      </c>
      <c r="O959" s="22">
        <v>171990</v>
      </c>
      <c r="P959" s="22">
        <v>144288.44</v>
      </c>
      <c r="Q959" s="22">
        <v>27701.56</v>
      </c>
      <c r="R959" s="22" t="s">
        <v>77</v>
      </c>
    </row>
    <row r="960" hidden="1" spans="1:18">
      <c r="A960" s="22" t="s">
        <v>1094</v>
      </c>
      <c r="B960" s="23">
        <v>43709</v>
      </c>
      <c r="C960" s="24">
        <f t="shared" si="14"/>
        <v>9</v>
      </c>
      <c r="D960" s="22" t="s">
        <v>133</v>
      </c>
      <c r="E960" s="22" t="s">
        <v>213</v>
      </c>
      <c r="F960" s="22" t="s">
        <v>60</v>
      </c>
      <c r="G960" s="22" t="s">
        <v>141</v>
      </c>
      <c r="H960" s="22" t="s">
        <v>142</v>
      </c>
      <c r="I960" s="22" t="s">
        <v>45</v>
      </c>
      <c r="J960" s="22" t="s">
        <v>116</v>
      </c>
      <c r="K960" s="22" t="s">
        <v>47</v>
      </c>
      <c r="L960" s="22">
        <v>9</v>
      </c>
      <c r="M960" s="22">
        <v>14700</v>
      </c>
      <c r="N960" s="22">
        <v>0.15</v>
      </c>
      <c r="O960" s="22">
        <v>112455</v>
      </c>
      <c r="P960" s="22">
        <v>71929.08</v>
      </c>
      <c r="Q960" s="22">
        <v>40525.92</v>
      </c>
      <c r="R960" s="22" t="s">
        <v>58</v>
      </c>
    </row>
    <row r="961" hidden="1" spans="1:18">
      <c r="A961" s="22" t="s">
        <v>1095</v>
      </c>
      <c r="B961" s="23">
        <v>43981</v>
      </c>
      <c r="C961" s="24">
        <f t="shared" si="14"/>
        <v>5</v>
      </c>
      <c r="D961" s="22" t="s">
        <v>75</v>
      </c>
      <c r="E961" s="22" t="s">
        <v>30</v>
      </c>
      <c r="F961" s="22" t="s">
        <v>31</v>
      </c>
      <c r="G961" s="22" t="s">
        <v>32</v>
      </c>
      <c r="H961" s="22" t="s">
        <v>33</v>
      </c>
      <c r="I961" s="22" t="s">
        <v>24</v>
      </c>
      <c r="J961" s="22" t="s">
        <v>73</v>
      </c>
      <c r="K961" s="22" t="s">
        <v>26</v>
      </c>
      <c r="L961" s="22">
        <v>9</v>
      </c>
      <c r="M961" s="22">
        <v>6700</v>
      </c>
      <c r="N961" s="22">
        <v>0.1</v>
      </c>
      <c r="O961" s="22">
        <v>54270</v>
      </c>
      <c r="P961" s="22">
        <v>44700.32</v>
      </c>
      <c r="Q961" s="22">
        <v>9569.68</v>
      </c>
      <c r="R961" s="22" t="s">
        <v>48</v>
      </c>
    </row>
    <row r="962" spans="1:18">
      <c r="A962" s="22" t="s">
        <v>1096</v>
      </c>
      <c r="B962" s="23">
        <v>44058</v>
      </c>
      <c r="C962" s="24">
        <f t="shared" ref="C962:C1001" si="15">MONTH(B962)</f>
        <v>8</v>
      </c>
      <c r="D962" s="22" t="s">
        <v>79</v>
      </c>
      <c r="E962" s="22" t="s">
        <v>38</v>
      </c>
      <c r="F962" s="22" t="s">
        <v>60</v>
      </c>
      <c r="G962" s="22" t="s">
        <v>141</v>
      </c>
      <c r="H962" s="22" t="s">
        <v>183</v>
      </c>
      <c r="I962" s="22" t="s">
        <v>51</v>
      </c>
      <c r="J962" s="22" t="s">
        <v>99</v>
      </c>
      <c r="K962" s="22" t="s">
        <v>53</v>
      </c>
      <c r="L962" s="22">
        <v>9</v>
      </c>
      <c r="M962" s="22">
        <v>48600</v>
      </c>
      <c r="N962" s="22">
        <v>0.15</v>
      </c>
      <c r="O962" s="22">
        <v>371790</v>
      </c>
      <c r="P962" s="22">
        <v>290939.47</v>
      </c>
      <c r="Q962" s="22">
        <v>80850.53</v>
      </c>
      <c r="R962" s="22" t="s">
        <v>48</v>
      </c>
    </row>
    <row r="963" spans="1:18">
      <c r="A963" s="22" t="s">
        <v>1097</v>
      </c>
      <c r="B963" s="23">
        <v>45714</v>
      </c>
      <c r="C963" s="24">
        <f t="shared" si="15"/>
        <v>2</v>
      </c>
      <c r="D963" s="22" t="s">
        <v>103</v>
      </c>
      <c r="E963" s="22" t="s">
        <v>38</v>
      </c>
      <c r="F963" s="22" t="s">
        <v>31</v>
      </c>
      <c r="G963" s="22" t="s">
        <v>32</v>
      </c>
      <c r="H963" s="22" t="s">
        <v>226</v>
      </c>
      <c r="I963" s="22" t="s">
        <v>51</v>
      </c>
      <c r="J963" s="22" t="s">
        <v>99</v>
      </c>
      <c r="K963" s="22" t="s">
        <v>53</v>
      </c>
      <c r="L963" s="22">
        <v>10</v>
      </c>
      <c r="M963" s="22">
        <v>67700</v>
      </c>
      <c r="N963" s="22">
        <v>0.15</v>
      </c>
      <c r="O963" s="22">
        <v>575450</v>
      </c>
      <c r="P963" s="22">
        <v>359584.01</v>
      </c>
      <c r="Q963" s="22">
        <v>215865.99</v>
      </c>
      <c r="R963" s="22" t="s">
        <v>77</v>
      </c>
    </row>
    <row r="964" hidden="1" spans="1:18">
      <c r="A964" s="22" t="s">
        <v>1098</v>
      </c>
      <c r="B964" s="23">
        <v>44647</v>
      </c>
      <c r="C964" s="24">
        <f t="shared" si="15"/>
        <v>3</v>
      </c>
      <c r="D964" s="22" t="s">
        <v>65</v>
      </c>
      <c r="E964" s="22" t="s">
        <v>30</v>
      </c>
      <c r="F964" s="22" t="s">
        <v>31</v>
      </c>
      <c r="G964" s="22" t="s">
        <v>172</v>
      </c>
      <c r="H964" s="22" t="s">
        <v>269</v>
      </c>
      <c r="I964" s="22" t="s">
        <v>51</v>
      </c>
      <c r="J964" s="22" t="s">
        <v>52</v>
      </c>
      <c r="K964" s="22" t="s">
        <v>47</v>
      </c>
      <c r="L964" s="22">
        <v>6</v>
      </c>
      <c r="M964" s="22">
        <v>1000</v>
      </c>
      <c r="N964" s="22">
        <v>0.05</v>
      </c>
      <c r="O964" s="22">
        <v>5700</v>
      </c>
      <c r="P964" s="22">
        <v>4526.72</v>
      </c>
      <c r="Q964" s="22">
        <v>1173.28</v>
      </c>
      <c r="R964" s="22" t="s">
        <v>58</v>
      </c>
    </row>
    <row r="965" spans="1:18">
      <c r="A965" s="22" t="s">
        <v>1099</v>
      </c>
      <c r="B965" s="23">
        <v>43793</v>
      </c>
      <c r="C965" s="24">
        <f t="shared" si="15"/>
        <v>11</v>
      </c>
      <c r="D965" s="22" t="s">
        <v>121</v>
      </c>
      <c r="E965" s="22" t="s">
        <v>38</v>
      </c>
      <c r="F965" s="22" t="s">
        <v>55</v>
      </c>
      <c r="G965" s="22" t="s">
        <v>56</v>
      </c>
      <c r="H965" s="22" t="s">
        <v>154</v>
      </c>
      <c r="I965" s="22" t="s">
        <v>45</v>
      </c>
      <c r="J965" s="22" t="s">
        <v>40</v>
      </c>
      <c r="K965" s="22" t="s">
        <v>53</v>
      </c>
      <c r="L965" s="22">
        <v>10</v>
      </c>
      <c r="M965" s="22">
        <v>91700</v>
      </c>
      <c r="N965" s="22">
        <v>0</v>
      </c>
      <c r="O965" s="22">
        <v>917000</v>
      </c>
      <c r="P965" s="22">
        <v>599865.5</v>
      </c>
      <c r="Q965" s="22">
        <v>317134.5</v>
      </c>
      <c r="R965" s="22" t="s">
        <v>48</v>
      </c>
    </row>
    <row r="966" spans="1:18">
      <c r="A966" s="22" t="s">
        <v>1100</v>
      </c>
      <c r="B966" s="23">
        <v>44648</v>
      </c>
      <c r="C966" s="24">
        <f t="shared" si="15"/>
        <v>3</v>
      </c>
      <c r="D966" s="22" t="s">
        <v>42</v>
      </c>
      <c r="E966" s="22" t="s">
        <v>38</v>
      </c>
      <c r="F966" s="22" t="s">
        <v>55</v>
      </c>
      <c r="G966" s="22" t="s">
        <v>80</v>
      </c>
      <c r="H966" s="22" t="s">
        <v>160</v>
      </c>
      <c r="I966" s="22" t="s">
        <v>24</v>
      </c>
      <c r="J966" s="22" t="s">
        <v>170</v>
      </c>
      <c r="K966" s="22" t="s">
        <v>26</v>
      </c>
      <c r="L966" s="22">
        <v>1</v>
      </c>
      <c r="M966" s="22">
        <v>102400</v>
      </c>
      <c r="N966" s="22">
        <v>0</v>
      </c>
      <c r="O966" s="22">
        <v>102400</v>
      </c>
      <c r="P966" s="22">
        <v>77522.33</v>
      </c>
      <c r="Q966" s="22">
        <v>24877.67</v>
      </c>
      <c r="R966" s="22" t="s">
        <v>58</v>
      </c>
    </row>
    <row r="967" hidden="1" spans="1:18">
      <c r="A967" s="22" t="s">
        <v>1101</v>
      </c>
      <c r="B967" s="23">
        <v>43358</v>
      </c>
      <c r="C967" s="24">
        <f t="shared" si="15"/>
        <v>9</v>
      </c>
      <c r="D967" s="22" t="s">
        <v>85</v>
      </c>
      <c r="E967" s="22" t="s">
        <v>30</v>
      </c>
      <c r="F967" s="22" t="s">
        <v>55</v>
      </c>
      <c r="G967" s="22" t="s">
        <v>109</v>
      </c>
      <c r="H967" s="22" t="s">
        <v>178</v>
      </c>
      <c r="I967" s="22" t="s">
        <v>45</v>
      </c>
      <c r="J967" s="22" t="s">
        <v>124</v>
      </c>
      <c r="K967" s="22" t="s">
        <v>47</v>
      </c>
      <c r="L967" s="22">
        <v>6</v>
      </c>
      <c r="M967" s="22">
        <v>4500</v>
      </c>
      <c r="N967" s="22">
        <v>0.05</v>
      </c>
      <c r="O967" s="22">
        <v>25650</v>
      </c>
      <c r="P967" s="22">
        <v>17798.88</v>
      </c>
      <c r="Q967" s="22">
        <v>7851.12</v>
      </c>
      <c r="R967" s="22" t="s">
        <v>27</v>
      </c>
    </row>
    <row r="968" hidden="1" spans="1:18">
      <c r="A968" s="22" t="s">
        <v>1102</v>
      </c>
      <c r="B968" s="23">
        <v>43120</v>
      </c>
      <c r="C968" s="24">
        <f t="shared" si="15"/>
        <v>1</v>
      </c>
      <c r="D968" s="22" t="s">
        <v>19</v>
      </c>
      <c r="E968" s="22" t="s">
        <v>20</v>
      </c>
      <c r="F968" s="22" t="s">
        <v>60</v>
      </c>
      <c r="G968" s="22" t="s">
        <v>61</v>
      </c>
      <c r="H968" s="22" t="s">
        <v>101</v>
      </c>
      <c r="I968" s="22" t="s">
        <v>51</v>
      </c>
      <c r="J968" s="22" t="s">
        <v>170</v>
      </c>
      <c r="K968" s="22" t="s">
        <v>47</v>
      </c>
      <c r="L968" s="22">
        <v>5</v>
      </c>
      <c r="M968" s="22">
        <v>10300</v>
      </c>
      <c r="N968" s="22">
        <v>0.2</v>
      </c>
      <c r="O968" s="22">
        <v>41200</v>
      </c>
      <c r="P968" s="22">
        <v>27126.43</v>
      </c>
      <c r="Q968" s="22">
        <v>14073.57</v>
      </c>
      <c r="R968" s="22" t="s">
        <v>48</v>
      </c>
    </row>
    <row r="969" spans="1:18">
      <c r="A969" s="22" t="s">
        <v>1103</v>
      </c>
      <c r="B969" s="23">
        <v>43194</v>
      </c>
      <c r="C969" s="24">
        <f t="shared" si="15"/>
        <v>4</v>
      </c>
      <c r="D969" s="22" t="s">
        <v>79</v>
      </c>
      <c r="E969" s="22" t="s">
        <v>38</v>
      </c>
      <c r="F969" s="22" t="s">
        <v>55</v>
      </c>
      <c r="G969" s="22" t="s">
        <v>56</v>
      </c>
      <c r="H969" s="22" t="s">
        <v>76</v>
      </c>
      <c r="I969" s="22" t="s">
        <v>51</v>
      </c>
      <c r="J969" s="22" t="s">
        <v>88</v>
      </c>
      <c r="K969" s="22" t="s">
        <v>53</v>
      </c>
      <c r="L969" s="22">
        <v>9</v>
      </c>
      <c r="M969" s="22">
        <v>40100</v>
      </c>
      <c r="N969" s="22">
        <v>0.15</v>
      </c>
      <c r="O969" s="22">
        <v>306765</v>
      </c>
      <c r="P969" s="22">
        <v>239758.02</v>
      </c>
      <c r="Q969" s="22">
        <v>67006.98</v>
      </c>
      <c r="R969" s="22" t="s">
        <v>27</v>
      </c>
    </row>
    <row r="970" hidden="1" spans="1:18">
      <c r="A970" s="22" t="s">
        <v>1104</v>
      </c>
      <c r="B970" s="23">
        <v>43217</v>
      </c>
      <c r="C970" s="24">
        <f t="shared" si="15"/>
        <v>4</v>
      </c>
      <c r="D970" s="22" t="s">
        <v>29</v>
      </c>
      <c r="E970" s="22" t="s">
        <v>30</v>
      </c>
      <c r="F970" s="22" t="s">
        <v>96</v>
      </c>
      <c r="G970" s="22" t="s">
        <v>113</v>
      </c>
      <c r="H970" s="22" t="s">
        <v>114</v>
      </c>
      <c r="I970" s="22" t="s">
        <v>51</v>
      </c>
      <c r="J970" s="22" t="s">
        <v>116</v>
      </c>
      <c r="K970" s="22" t="s">
        <v>53</v>
      </c>
      <c r="L970" s="22">
        <v>4</v>
      </c>
      <c r="M970" s="22">
        <v>3000</v>
      </c>
      <c r="N970" s="22">
        <v>0.1</v>
      </c>
      <c r="O970" s="22">
        <v>10800</v>
      </c>
      <c r="P970" s="22">
        <v>7207.96</v>
      </c>
      <c r="Q970" s="22">
        <v>3592.04</v>
      </c>
      <c r="R970" s="22" t="s">
        <v>48</v>
      </c>
    </row>
    <row r="971" hidden="1" spans="1:18">
      <c r="A971" s="22" t="s">
        <v>1105</v>
      </c>
      <c r="B971" s="23">
        <v>43177</v>
      </c>
      <c r="C971" s="24">
        <f t="shared" si="15"/>
        <v>3</v>
      </c>
      <c r="D971" s="22" t="s">
        <v>29</v>
      </c>
      <c r="E971" s="22" t="s">
        <v>30</v>
      </c>
      <c r="F971" s="22" t="s">
        <v>55</v>
      </c>
      <c r="G971" s="22" t="s">
        <v>195</v>
      </c>
      <c r="H971" s="22" t="s">
        <v>196</v>
      </c>
      <c r="I971" s="22" t="s">
        <v>24</v>
      </c>
      <c r="J971" s="22" t="s">
        <v>99</v>
      </c>
      <c r="K971" s="22" t="s">
        <v>47</v>
      </c>
      <c r="L971" s="22">
        <v>10</v>
      </c>
      <c r="M971" s="22">
        <v>7300</v>
      </c>
      <c r="N971" s="22">
        <v>0</v>
      </c>
      <c r="O971" s="22">
        <v>73000</v>
      </c>
      <c r="P971" s="22">
        <v>59107.09</v>
      </c>
      <c r="Q971" s="22">
        <v>13892.91</v>
      </c>
      <c r="R971" s="22" t="s">
        <v>48</v>
      </c>
    </row>
    <row r="972" hidden="1" spans="1:18">
      <c r="A972" s="22" t="s">
        <v>1106</v>
      </c>
      <c r="B972" s="23">
        <v>44639</v>
      </c>
      <c r="C972" s="24">
        <f t="shared" si="15"/>
        <v>3</v>
      </c>
      <c r="D972" s="22" t="s">
        <v>85</v>
      </c>
      <c r="E972" s="22" t="s">
        <v>30</v>
      </c>
      <c r="F972" s="22" t="s">
        <v>60</v>
      </c>
      <c r="G972" s="22" t="s">
        <v>86</v>
      </c>
      <c r="H972" s="22" t="s">
        <v>104</v>
      </c>
      <c r="I972" s="22" t="s">
        <v>45</v>
      </c>
      <c r="J972" s="22" t="s">
        <v>88</v>
      </c>
      <c r="K972" s="22" t="s">
        <v>53</v>
      </c>
      <c r="L972" s="22">
        <v>3</v>
      </c>
      <c r="M972" s="22">
        <v>4300</v>
      </c>
      <c r="N972" s="22">
        <v>0</v>
      </c>
      <c r="O972" s="22">
        <v>12900</v>
      </c>
      <c r="P972" s="22">
        <v>8476.24</v>
      </c>
      <c r="Q972" s="22">
        <v>4423.76</v>
      </c>
      <c r="R972" s="22" t="s">
        <v>48</v>
      </c>
    </row>
    <row r="973" spans="1:18">
      <c r="A973" s="22" t="s">
        <v>1107</v>
      </c>
      <c r="B973" s="23">
        <v>44040</v>
      </c>
      <c r="C973" s="24">
        <f t="shared" si="15"/>
        <v>7</v>
      </c>
      <c r="D973" s="22" t="s">
        <v>37</v>
      </c>
      <c r="E973" s="22" t="s">
        <v>38</v>
      </c>
      <c r="F973" s="22" t="s">
        <v>31</v>
      </c>
      <c r="G973" s="22" t="s">
        <v>43</v>
      </c>
      <c r="H973" s="22" t="s">
        <v>91</v>
      </c>
      <c r="I973" s="22" t="s">
        <v>24</v>
      </c>
      <c r="J973" s="22" t="s">
        <v>73</v>
      </c>
      <c r="K973" s="22" t="s">
        <v>47</v>
      </c>
      <c r="L973" s="22">
        <v>1</v>
      </c>
      <c r="M973" s="22">
        <v>18500</v>
      </c>
      <c r="N973" s="22">
        <v>0.2</v>
      </c>
      <c r="O973" s="22">
        <v>14800</v>
      </c>
      <c r="P973" s="22">
        <v>10167.89</v>
      </c>
      <c r="Q973" s="22">
        <v>4632.11</v>
      </c>
      <c r="R973" s="22" t="s">
        <v>58</v>
      </c>
    </row>
    <row r="974" hidden="1" spans="1:18">
      <c r="A974" s="22" t="s">
        <v>1108</v>
      </c>
      <c r="B974" s="23">
        <v>43826</v>
      </c>
      <c r="C974" s="24">
        <f t="shared" si="15"/>
        <v>12</v>
      </c>
      <c r="D974" s="22" t="s">
        <v>65</v>
      </c>
      <c r="E974" s="22" t="s">
        <v>30</v>
      </c>
      <c r="F974" s="22" t="s">
        <v>21</v>
      </c>
      <c r="G974" s="22" t="s">
        <v>70</v>
      </c>
      <c r="H974" s="22" t="s">
        <v>83</v>
      </c>
      <c r="I974" s="22" t="s">
        <v>24</v>
      </c>
      <c r="J974" s="22" t="s">
        <v>25</v>
      </c>
      <c r="K974" s="22" t="s">
        <v>53</v>
      </c>
      <c r="L974" s="22">
        <v>1</v>
      </c>
      <c r="M974" s="22">
        <v>2600</v>
      </c>
      <c r="N974" s="22">
        <v>0.15</v>
      </c>
      <c r="O974" s="22">
        <v>2210</v>
      </c>
      <c r="P974" s="22">
        <v>1770.45</v>
      </c>
      <c r="Q974" s="22">
        <v>439.55</v>
      </c>
      <c r="R974" s="22" t="s">
        <v>77</v>
      </c>
    </row>
    <row r="975" spans="1:18">
      <c r="A975" s="22" t="s">
        <v>1109</v>
      </c>
      <c r="B975" s="23">
        <v>43102</v>
      </c>
      <c r="C975" s="24">
        <f t="shared" si="15"/>
        <v>1</v>
      </c>
      <c r="D975" s="22" t="s">
        <v>37</v>
      </c>
      <c r="E975" s="22" t="s">
        <v>38</v>
      </c>
      <c r="F975" s="22" t="s">
        <v>31</v>
      </c>
      <c r="G975" s="22" t="s">
        <v>43</v>
      </c>
      <c r="H975" s="22" t="s">
        <v>44</v>
      </c>
      <c r="I975" s="22" t="s">
        <v>24</v>
      </c>
      <c r="J975" s="22" t="s">
        <v>116</v>
      </c>
      <c r="K975" s="22" t="s">
        <v>26</v>
      </c>
      <c r="L975" s="22">
        <v>7</v>
      </c>
      <c r="M975" s="22">
        <v>30400</v>
      </c>
      <c r="N975" s="22">
        <v>0.1</v>
      </c>
      <c r="O975" s="22">
        <v>191520</v>
      </c>
      <c r="P975" s="22">
        <v>127123.66</v>
      </c>
      <c r="Q975" s="22">
        <v>64396.34</v>
      </c>
      <c r="R975" s="22" t="s">
        <v>27</v>
      </c>
    </row>
    <row r="976" spans="1:18">
      <c r="A976" s="22" t="s">
        <v>1110</v>
      </c>
      <c r="B976" s="23">
        <v>45725</v>
      </c>
      <c r="C976" s="24">
        <f t="shared" si="15"/>
        <v>3</v>
      </c>
      <c r="D976" s="22" t="s">
        <v>103</v>
      </c>
      <c r="E976" s="22" t="s">
        <v>38</v>
      </c>
      <c r="F976" s="22" t="s">
        <v>55</v>
      </c>
      <c r="G976" s="22" t="s">
        <v>80</v>
      </c>
      <c r="H976" s="22" t="s">
        <v>81</v>
      </c>
      <c r="I976" s="22" t="s">
        <v>51</v>
      </c>
      <c r="J976" s="22" t="s">
        <v>46</v>
      </c>
      <c r="K976" s="22" t="s">
        <v>26</v>
      </c>
      <c r="L976" s="22">
        <v>9</v>
      </c>
      <c r="M976" s="22">
        <v>28900</v>
      </c>
      <c r="N976" s="22">
        <v>0.1</v>
      </c>
      <c r="O976" s="22">
        <v>234090</v>
      </c>
      <c r="P976" s="22">
        <v>165072.94</v>
      </c>
      <c r="Q976" s="22">
        <v>69017.06</v>
      </c>
      <c r="R976" s="22" t="s">
        <v>35</v>
      </c>
    </row>
    <row r="977" hidden="1" spans="1:18">
      <c r="A977" s="22" t="s">
        <v>1111</v>
      </c>
      <c r="B977" s="23">
        <v>43688</v>
      </c>
      <c r="C977" s="24">
        <f t="shared" si="15"/>
        <v>8</v>
      </c>
      <c r="D977" s="22" t="s">
        <v>29</v>
      </c>
      <c r="E977" s="22" t="s">
        <v>30</v>
      </c>
      <c r="F977" s="22" t="s">
        <v>96</v>
      </c>
      <c r="G977" s="22" t="s">
        <v>97</v>
      </c>
      <c r="H977" s="22" t="s">
        <v>98</v>
      </c>
      <c r="I977" s="22" t="s">
        <v>51</v>
      </c>
      <c r="J977" s="22" t="s">
        <v>46</v>
      </c>
      <c r="K977" s="22" t="s">
        <v>47</v>
      </c>
      <c r="L977" s="22">
        <v>2</v>
      </c>
      <c r="M977" s="22">
        <v>7300</v>
      </c>
      <c r="N977" s="22">
        <v>0.05</v>
      </c>
      <c r="O977" s="22">
        <v>13870</v>
      </c>
      <c r="P977" s="22">
        <v>10277.61</v>
      </c>
      <c r="Q977" s="22">
        <v>3592.39</v>
      </c>
      <c r="R977" s="22" t="s">
        <v>27</v>
      </c>
    </row>
    <row r="978" spans="1:18">
      <c r="A978" s="22" t="s">
        <v>1112</v>
      </c>
      <c r="B978" s="23">
        <v>43281</v>
      </c>
      <c r="C978" s="24">
        <f t="shared" si="15"/>
        <v>6</v>
      </c>
      <c r="D978" s="22" t="s">
        <v>90</v>
      </c>
      <c r="E978" s="22" t="s">
        <v>38</v>
      </c>
      <c r="F978" s="22" t="s">
        <v>31</v>
      </c>
      <c r="G978" s="22" t="s">
        <v>66</v>
      </c>
      <c r="H978" s="22" t="s">
        <v>67</v>
      </c>
      <c r="I978" s="22" t="s">
        <v>51</v>
      </c>
      <c r="J978" s="22" t="s">
        <v>63</v>
      </c>
      <c r="K978" s="22" t="s">
        <v>53</v>
      </c>
      <c r="L978" s="22">
        <v>2</v>
      </c>
      <c r="M978" s="22">
        <v>42800</v>
      </c>
      <c r="N978" s="22">
        <v>0.15</v>
      </c>
      <c r="O978" s="22">
        <v>72760</v>
      </c>
      <c r="P978" s="22">
        <v>58604.48</v>
      </c>
      <c r="Q978" s="22">
        <v>14155.52</v>
      </c>
      <c r="R978" s="22" t="s">
        <v>27</v>
      </c>
    </row>
    <row r="979" hidden="1" spans="1:18">
      <c r="A979" s="22" t="s">
        <v>1113</v>
      </c>
      <c r="B979" s="23">
        <v>43192</v>
      </c>
      <c r="C979" s="24">
        <f t="shared" si="15"/>
        <v>4</v>
      </c>
      <c r="D979" s="22" t="s">
        <v>65</v>
      </c>
      <c r="E979" s="22" t="s">
        <v>30</v>
      </c>
      <c r="F979" s="22" t="s">
        <v>21</v>
      </c>
      <c r="G979" s="22" t="s">
        <v>22</v>
      </c>
      <c r="H979" s="22" t="s">
        <v>39</v>
      </c>
      <c r="I979" s="22" t="s">
        <v>45</v>
      </c>
      <c r="J979" s="22" t="s">
        <v>25</v>
      </c>
      <c r="K979" s="22" t="s">
        <v>47</v>
      </c>
      <c r="L979" s="22">
        <v>6</v>
      </c>
      <c r="M979" s="22">
        <v>2800</v>
      </c>
      <c r="N979" s="22">
        <v>0.15</v>
      </c>
      <c r="O979" s="22">
        <v>14280</v>
      </c>
      <c r="P979" s="22">
        <v>10607.34</v>
      </c>
      <c r="Q979" s="22">
        <v>3672.66</v>
      </c>
      <c r="R979" s="22" t="s">
        <v>48</v>
      </c>
    </row>
    <row r="980" hidden="1" spans="1:18">
      <c r="A980" s="22" t="s">
        <v>1114</v>
      </c>
      <c r="B980" s="23">
        <v>44189</v>
      </c>
      <c r="C980" s="24">
        <f t="shared" si="15"/>
        <v>12</v>
      </c>
      <c r="D980" s="22" t="s">
        <v>133</v>
      </c>
      <c r="E980" s="22" t="s">
        <v>213</v>
      </c>
      <c r="F980" s="22" t="s">
        <v>96</v>
      </c>
      <c r="G980" s="22" t="s">
        <v>113</v>
      </c>
      <c r="H980" s="22" t="s">
        <v>126</v>
      </c>
      <c r="I980" s="22" t="s">
        <v>24</v>
      </c>
      <c r="J980" s="22" t="s">
        <v>116</v>
      </c>
      <c r="K980" s="22" t="s">
        <v>26</v>
      </c>
      <c r="L980" s="22">
        <v>1</v>
      </c>
      <c r="M980" s="22">
        <v>5800</v>
      </c>
      <c r="N980" s="22">
        <v>0.1</v>
      </c>
      <c r="O980" s="22">
        <v>5220</v>
      </c>
      <c r="P980" s="22">
        <v>3736.49</v>
      </c>
      <c r="Q980" s="22">
        <v>1483.51</v>
      </c>
      <c r="R980" s="22" t="s">
        <v>77</v>
      </c>
    </row>
    <row r="981" hidden="1" spans="1:18">
      <c r="A981" s="22" t="s">
        <v>1115</v>
      </c>
      <c r="B981" s="23">
        <v>45694</v>
      </c>
      <c r="C981" s="24">
        <f t="shared" si="15"/>
        <v>2</v>
      </c>
      <c r="D981" s="22" t="s">
        <v>133</v>
      </c>
      <c r="E981" s="22" t="s">
        <v>213</v>
      </c>
      <c r="F981" s="22" t="s">
        <v>21</v>
      </c>
      <c r="G981" s="22" t="s">
        <v>70</v>
      </c>
      <c r="H981" s="22" t="s">
        <v>163</v>
      </c>
      <c r="I981" s="22" t="s">
        <v>24</v>
      </c>
      <c r="J981" s="22" t="s">
        <v>34</v>
      </c>
      <c r="K981" s="22" t="s">
        <v>53</v>
      </c>
      <c r="L981" s="22">
        <v>9</v>
      </c>
      <c r="M981" s="22">
        <v>23600</v>
      </c>
      <c r="N981" s="22">
        <v>0.05</v>
      </c>
      <c r="O981" s="22">
        <v>201780</v>
      </c>
      <c r="P981" s="22">
        <v>127499.4</v>
      </c>
      <c r="Q981" s="22">
        <v>74280.6</v>
      </c>
      <c r="R981" s="22" t="s">
        <v>77</v>
      </c>
    </row>
    <row r="982" spans="1:18">
      <c r="A982" s="22" t="s">
        <v>1116</v>
      </c>
      <c r="B982" s="23">
        <v>43237</v>
      </c>
      <c r="C982" s="24">
        <f t="shared" si="15"/>
        <v>5</v>
      </c>
      <c r="D982" s="22" t="s">
        <v>90</v>
      </c>
      <c r="E982" s="22" t="s">
        <v>38</v>
      </c>
      <c r="F982" s="22" t="s">
        <v>21</v>
      </c>
      <c r="G982" s="22" t="s">
        <v>70</v>
      </c>
      <c r="H982" s="22" t="s">
        <v>163</v>
      </c>
      <c r="I982" s="22" t="s">
        <v>51</v>
      </c>
      <c r="J982" s="22" t="s">
        <v>52</v>
      </c>
      <c r="K982" s="22" t="s">
        <v>53</v>
      </c>
      <c r="L982" s="22">
        <v>8</v>
      </c>
      <c r="M982" s="22">
        <v>12200</v>
      </c>
      <c r="N982" s="22">
        <v>0</v>
      </c>
      <c r="O982" s="22">
        <v>97600</v>
      </c>
      <c r="P982" s="22">
        <v>62676.53</v>
      </c>
      <c r="Q982" s="22">
        <v>34923.47</v>
      </c>
      <c r="R982" s="22" t="s">
        <v>48</v>
      </c>
    </row>
    <row r="983" hidden="1" spans="1:18">
      <c r="A983" s="22" t="s">
        <v>1117</v>
      </c>
      <c r="B983" s="23">
        <v>43976</v>
      </c>
      <c r="C983" s="24">
        <f t="shared" si="15"/>
        <v>5</v>
      </c>
      <c r="D983" s="22" t="s">
        <v>75</v>
      </c>
      <c r="E983" s="22" t="s">
        <v>213</v>
      </c>
      <c r="F983" s="22" t="s">
        <v>55</v>
      </c>
      <c r="G983" s="22" t="s">
        <v>195</v>
      </c>
      <c r="H983" s="22" t="s">
        <v>448</v>
      </c>
      <c r="I983" s="22" t="s">
        <v>45</v>
      </c>
      <c r="J983" s="22" t="s">
        <v>124</v>
      </c>
      <c r="K983" s="22" t="s">
        <v>47</v>
      </c>
      <c r="L983" s="22">
        <v>2</v>
      </c>
      <c r="M983" s="22">
        <v>3300</v>
      </c>
      <c r="N983" s="22">
        <v>0.1</v>
      </c>
      <c r="O983" s="22">
        <v>5940</v>
      </c>
      <c r="P983" s="22">
        <v>4047.51</v>
      </c>
      <c r="Q983" s="22">
        <v>1892.49</v>
      </c>
      <c r="R983" s="22" t="s">
        <v>27</v>
      </c>
    </row>
    <row r="984" spans="1:18">
      <c r="A984" s="22" t="s">
        <v>1118</v>
      </c>
      <c r="B984" s="23">
        <v>43798</v>
      </c>
      <c r="C984" s="24">
        <f t="shared" si="15"/>
        <v>11</v>
      </c>
      <c r="D984" s="22" t="s">
        <v>42</v>
      </c>
      <c r="E984" s="22" t="s">
        <v>38</v>
      </c>
      <c r="F984" s="22" t="s">
        <v>31</v>
      </c>
      <c r="G984" s="22" t="s">
        <v>172</v>
      </c>
      <c r="H984" s="22" t="s">
        <v>286</v>
      </c>
      <c r="I984" s="22" t="s">
        <v>51</v>
      </c>
      <c r="J984" s="22" t="s">
        <v>116</v>
      </c>
      <c r="K984" s="22" t="s">
        <v>53</v>
      </c>
      <c r="L984" s="22">
        <v>10</v>
      </c>
      <c r="M984" s="22">
        <v>57800</v>
      </c>
      <c r="N984" s="22">
        <v>0.15</v>
      </c>
      <c r="O984" s="22">
        <v>491300</v>
      </c>
      <c r="P984" s="22">
        <v>336114.9</v>
      </c>
      <c r="Q984" s="22">
        <v>155185.1</v>
      </c>
      <c r="R984" s="22" t="s">
        <v>27</v>
      </c>
    </row>
    <row r="985" spans="1:18">
      <c r="A985" s="22" t="s">
        <v>1119</v>
      </c>
      <c r="B985" s="23">
        <v>44655</v>
      </c>
      <c r="C985" s="24">
        <f t="shared" si="15"/>
        <v>4</v>
      </c>
      <c r="D985" s="22" t="s">
        <v>79</v>
      </c>
      <c r="E985" s="22" t="s">
        <v>38</v>
      </c>
      <c r="F985" s="22" t="s">
        <v>21</v>
      </c>
      <c r="G985" s="22" t="s">
        <v>167</v>
      </c>
      <c r="H985" s="22" t="s">
        <v>206</v>
      </c>
      <c r="I985" s="22" t="s">
        <v>45</v>
      </c>
      <c r="J985" s="22" t="s">
        <v>46</v>
      </c>
      <c r="K985" s="22" t="s">
        <v>26</v>
      </c>
      <c r="L985" s="22">
        <v>8</v>
      </c>
      <c r="M985" s="22">
        <v>43200</v>
      </c>
      <c r="N985" s="22">
        <v>0</v>
      </c>
      <c r="O985" s="22">
        <v>345600</v>
      </c>
      <c r="P985" s="22">
        <v>242235.59</v>
      </c>
      <c r="Q985" s="22">
        <v>103364.41</v>
      </c>
      <c r="R985" s="22" t="s">
        <v>77</v>
      </c>
    </row>
    <row r="986" hidden="1" spans="1:18">
      <c r="A986" s="22" t="s">
        <v>1120</v>
      </c>
      <c r="B986" s="23">
        <v>45778</v>
      </c>
      <c r="C986" s="24">
        <f t="shared" si="15"/>
        <v>5</v>
      </c>
      <c r="D986" s="22" t="s">
        <v>75</v>
      </c>
      <c r="E986" s="22" t="s">
        <v>20</v>
      </c>
      <c r="F986" s="22" t="s">
        <v>55</v>
      </c>
      <c r="G986" s="22" t="s">
        <v>109</v>
      </c>
      <c r="H986" s="22" t="s">
        <v>185</v>
      </c>
      <c r="I986" s="22" t="s">
        <v>24</v>
      </c>
      <c r="J986" s="22" t="s">
        <v>124</v>
      </c>
      <c r="K986" s="22" t="s">
        <v>53</v>
      </c>
      <c r="L986" s="22">
        <v>7</v>
      </c>
      <c r="M986" s="22">
        <v>15000</v>
      </c>
      <c r="N986" s="22">
        <v>0.1</v>
      </c>
      <c r="O986" s="22">
        <v>94500</v>
      </c>
      <c r="P986" s="22">
        <v>68509.53</v>
      </c>
      <c r="Q986" s="22">
        <v>25990.47</v>
      </c>
      <c r="R986" s="22" t="s">
        <v>48</v>
      </c>
    </row>
    <row r="987" hidden="1" spans="1:18">
      <c r="A987" s="22" t="s">
        <v>1121</v>
      </c>
      <c r="B987" s="23">
        <v>46002</v>
      </c>
      <c r="C987" s="24">
        <f t="shared" si="15"/>
        <v>12</v>
      </c>
      <c r="D987" s="22" t="s">
        <v>29</v>
      </c>
      <c r="E987" s="22" t="s">
        <v>30</v>
      </c>
      <c r="F987" s="22" t="s">
        <v>96</v>
      </c>
      <c r="G987" s="22" t="s">
        <v>113</v>
      </c>
      <c r="H987" s="22" t="s">
        <v>114</v>
      </c>
      <c r="I987" s="22" t="s">
        <v>45</v>
      </c>
      <c r="J987" s="22" t="s">
        <v>63</v>
      </c>
      <c r="K987" s="22" t="s">
        <v>47</v>
      </c>
      <c r="L987" s="22">
        <v>6</v>
      </c>
      <c r="M987" s="22">
        <v>10700</v>
      </c>
      <c r="N987" s="22">
        <v>0.1</v>
      </c>
      <c r="O987" s="22">
        <v>57780</v>
      </c>
      <c r="P987" s="22">
        <v>47262.23</v>
      </c>
      <c r="Q987" s="22">
        <v>10517.77</v>
      </c>
      <c r="R987" s="22" t="s">
        <v>27</v>
      </c>
    </row>
    <row r="988" spans="1:18">
      <c r="A988" s="22" t="s">
        <v>1122</v>
      </c>
      <c r="B988" s="23">
        <v>43260</v>
      </c>
      <c r="C988" s="24">
        <f t="shared" si="15"/>
        <v>6</v>
      </c>
      <c r="D988" s="22" t="s">
        <v>121</v>
      </c>
      <c r="E988" s="22" t="s">
        <v>38</v>
      </c>
      <c r="F988" s="22" t="s">
        <v>55</v>
      </c>
      <c r="G988" s="22" t="s">
        <v>80</v>
      </c>
      <c r="H988" s="22" t="s">
        <v>134</v>
      </c>
      <c r="I988" s="22" t="s">
        <v>45</v>
      </c>
      <c r="J988" s="22" t="s">
        <v>88</v>
      </c>
      <c r="K988" s="22" t="s">
        <v>53</v>
      </c>
      <c r="L988" s="22">
        <v>7</v>
      </c>
      <c r="M988" s="22">
        <v>75900</v>
      </c>
      <c r="N988" s="22">
        <v>0.1</v>
      </c>
      <c r="O988" s="22">
        <v>478170</v>
      </c>
      <c r="P988" s="22">
        <v>357299.86</v>
      </c>
      <c r="Q988" s="22">
        <v>120870.14</v>
      </c>
      <c r="R988" s="22" t="s">
        <v>35</v>
      </c>
    </row>
    <row r="989" hidden="1" spans="1:18">
      <c r="A989" s="22" t="s">
        <v>1123</v>
      </c>
      <c r="B989" s="23">
        <v>43345</v>
      </c>
      <c r="C989" s="24">
        <f t="shared" si="15"/>
        <v>9</v>
      </c>
      <c r="D989" s="22" t="s">
        <v>85</v>
      </c>
      <c r="E989" s="22" t="s">
        <v>30</v>
      </c>
      <c r="F989" s="22" t="s">
        <v>60</v>
      </c>
      <c r="G989" s="22" t="s">
        <v>141</v>
      </c>
      <c r="H989" s="22" t="s">
        <v>200</v>
      </c>
      <c r="I989" s="22" t="s">
        <v>24</v>
      </c>
      <c r="J989" s="22" t="s">
        <v>34</v>
      </c>
      <c r="K989" s="22" t="s">
        <v>53</v>
      </c>
      <c r="L989" s="22">
        <v>1</v>
      </c>
      <c r="M989" s="22">
        <v>3500</v>
      </c>
      <c r="N989" s="22">
        <v>0.05</v>
      </c>
      <c r="O989" s="22">
        <v>3325</v>
      </c>
      <c r="P989" s="22">
        <v>2316.08</v>
      </c>
      <c r="Q989" s="22">
        <v>1008.92</v>
      </c>
      <c r="R989" s="22" t="s">
        <v>77</v>
      </c>
    </row>
    <row r="990" spans="1:18">
      <c r="A990" s="22" t="s">
        <v>1124</v>
      </c>
      <c r="B990" s="23">
        <v>45754</v>
      </c>
      <c r="C990" s="24">
        <f t="shared" si="15"/>
        <v>4</v>
      </c>
      <c r="D990" s="22" t="s">
        <v>69</v>
      </c>
      <c r="E990" s="22" t="s">
        <v>38</v>
      </c>
      <c r="F990" s="22" t="s">
        <v>60</v>
      </c>
      <c r="G990" s="22" t="s">
        <v>61</v>
      </c>
      <c r="H990" s="22" t="s">
        <v>188</v>
      </c>
      <c r="I990" s="22" t="s">
        <v>24</v>
      </c>
      <c r="J990" s="22" t="s">
        <v>25</v>
      </c>
      <c r="K990" s="22" t="s">
        <v>47</v>
      </c>
      <c r="L990" s="22">
        <v>4</v>
      </c>
      <c r="M990" s="22">
        <v>13400</v>
      </c>
      <c r="N990" s="22">
        <v>0.2</v>
      </c>
      <c r="O990" s="22">
        <v>42880</v>
      </c>
      <c r="P990" s="22">
        <v>32411.39</v>
      </c>
      <c r="Q990" s="22">
        <v>10468.61</v>
      </c>
      <c r="R990" s="22" t="s">
        <v>77</v>
      </c>
    </row>
    <row r="991" spans="1:18">
      <c r="A991" s="22" t="s">
        <v>1125</v>
      </c>
      <c r="B991" s="23">
        <v>43359</v>
      </c>
      <c r="C991" s="24">
        <f t="shared" si="15"/>
        <v>9</v>
      </c>
      <c r="D991" s="22" t="s">
        <v>90</v>
      </c>
      <c r="E991" s="22" t="s">
        <v>38</v>
      </c>
      <c r="F991" s="22" t="s">
        <v>60</v>
      </c>
      <c r="G991" s="22" t="s">
        <v>93</v>
      </c>
      <c r="H991" s="22" t="s">
        <v>181</v>
      </c>
      <c r="I991" s="22" t="s">
        <v>45</v>
      </c>
      <c r="J991" s="22" t="s">
        <v>34</v>
      </c>
      <c r="K991" s="22" t="s">
        <v>47</v>
      </c>
      <c r="L991" s="22">
        <v>2</v>
      </c>
      <c r="M991" s="22">
        <v>17500</v>
      </c>
      <c r="N991" s="22">
        <v>0</v>
      </c>
      <c r="O991" s="22">
        <v>35000</v>
      </c>
      <c r="P991" s="22">
        <v>21975.26</v>
      </c>
      <c r="Q991" s="22">
        <v>13024.74</v>
      </c>
      <c r="R991" s="22" t="s">
        <v>35</v>
      </c>
    </row>
    <row r="992" hidden="1" spans="1:18">
      <c r="A992" s="22" t="s">
        <v>1126</v>
      </c>
      <c r="B992" s="23">
        <v>43210</v>
      </c>
      <c r="C992" s="24">
        <f t="shared" si="15"/>
        <v>4</v>
      </c>
      <c r="D992" s="22" t="s">
        <v>65</v>
      </c>
      <c r="E992" s="22" t="s">
        <v>30</v>
      </c>
      <c r="F992" s="22" t="s">
        <v>21</v>
      </c>
      <c r="G992" s="22" t="s">
        <v>22</v>
      </c>
      <c r="H992" s="22" t="s">
        <v>23</v>
      </c>
      <c r="I992" s="22" t="s">
        <v>51</v>
      </c>
      <c r="J992" s="22" t="s">
        <v>116</v>
      </c>
      <c r="K992" s="22" t="s">
        <v>26</v>
      </c>
      <c r="L992" s="22">
        <v>8</v>
      </c>
      <c r="M992" s="22">
        <v>500</v>
      </c>
      <c r="N992" s="22">
        <v>0.2</v>
      </c>
      <c r="O992" s="22">
        <v>3200</v>
      </c>
      <c r="P992" s="22">
        <v>2464.84</v>
      </c>
      <c r="Q992" s="22">
        <v>735.16</v>
      </c>
      <c r="R992" s="22" t="s">
        <v>27</v>
      </c>
    </row>
    <row r="993" hidden="1" spans="1:18">
      <c r="A993" s="22" t="s">
        <v>1127</v>
      </c>
      <c r="B993" s="23">
        <v>45841</v>
      </c>
      <c r="C993" s="24">
        <f t="shared" si="15"/>
        <v>7</v>
      </c>
      <c r="D993" s="22" t="s">
        <v>19</v>
      </c>
      <c r="E993" s="22" t="s">
        <v>20</v>
      </c>
      <c r="F993" s="22" t="s">
        <v>60</v>
      </c>
      <c r="G993" s="22" t="s">
        <v>86</v>
      </c>
      <c r="H993" s="22" t="s">
        <v>106</v>
      </c>
      <c r="I993" s="22" t="s">
        <v>24</v>
      </c>
      <c r="J993" s="22" t="s">
        <v>116</v>
      </c>
      <c r="K993" s="22" t="s">
        <v>53</v>
      </c>
      <c r="L993" s="22">
        <v>2</v>
      </c>
      <c r="M993" s="22">
        <v>11100</v>
      </c>
      <c r="N993" s="22">
        <v>0.1</v>
      </c>
      <c r="O993" s="22">
        <v>19980</v>
      </c>
      <c r="P993" s="22">
        <v>14410.99</v>
      </c>
      <c r="Q993" s="22">
        <v>5569.01</v>
      </c>
      <c r="R993" s="22" t="s">
        <v>35</v>
      </c>
    </row>
    <row r="994" spans="1:18">
      <c r="A994" s="22" t="s">
        <v>1128</v>
      </c>
      <c r="B994" s="23">
        <v>43334</v>
      </c>
      <c r="C994" s="24">
        <f t="shared" si="15"/>
        <v>8</v>
      </c>
      <c r="D994" s="22" t="s">
        <v>37</v>
      </c>
      <c r="E994" s="22" t="s">
        <v>38</v>
      </c>
      <c r="F994" s="22" t="s">
        <v>96</v>
      </c>
      <c r="G994" s="22" t="s">
        <v>113</v>
      </c>
      <c r="H994" s="22" t="s">
        <v>126</v>
      </c>
      <c r="I994" s="22" t="s">
        <v>24</v>
      </c>
      <c r="J994" s="22" t="s">
        <v>99</v>
      </c>
      <c r="K994" s="22" t="s">
        <v>47</v>
      </c>
      <c r="L994" s="22">
        <v>4</v>
      </c>
      <c r="M994" s="22">
        <v>29300</v>
      </c>
      <c r="N994" s="22">
        <v>0.15</v>
      </c>
      <c r="O994" s="22">
        <v>99620</v>
      </c>
      <c r="P994" s="22">
        <v>73145.15</v>
      </c>
      <c r="Q994" s="22">
        <v>26474.85</v>
      </c>
      <c r="R994" s="22" t="s">
        <v>35</v>
      </c>
    </row>
    <row r="995" spans="1:18">
      <c r="A995" s="22" t="s">
        <v>1129</v>
      </c>
      <c r="B995" s="23">
        <v>43216</v>
      </c>
      <c r="C995" s="24">
        <f t="shared" si="15"/>
        <v>4</v>
      </c>
      <c r="D995" s="22" t="s">
        <v>79</v>
      </c>
      <c r="E995" s="22" t="s">
        <v>38</v>
      </c>
      <c r="F995" s="22" t="s">
        <v>55</v>
      </c>
      <c r="G995" s="22" t="s">
        <v>195</v>
      </c>
      <c r="H995" s="22" t="s">
        <v>196</v>
      </c>
      <c r="I995" s="22" t="s">
        <v>24</v>
      </c>
      <c r="J995" s="22" t="s">
        <v>25</v>
      </c>
      <c r="K995" s="22" t="s">
        <v>53</v>
      </c>
      <c r="L995" s="22">
        <v>6</v>
      </c>
      <c r="M995" s="22">
        <v>28900</v>
      </c>
      <c r="N995" s="22">
        <v>0.2</v>
      </c>
      <c r="O995" s="22">
        <v>138720</v>
      </c>
      <c r="P995" s="22">
        <v>111456.2</v>
      </c>
      <c r="Q995" s="22">
        <v>27263.8</v>
      </c>
      <c r="R995" s="22" t="s">
        <v>77</v>
      </c>
    </row>
    <row r="996" spans="1:18">
      <c r="A996" s="22" t="s">
        <v>1130</v>
      </c>
      <c r="B996" s="23">
        <v>44660</v>
      </c>
      <c r="C996" s="24">
        <f t="shared" si="15"/>
        <v>4</v>
      </c>
      <c r="D996" s="22" t="s">
        <v>37</v>
      </c>
      <c r="E996" s="22" t="s">
        <v>38</v>
      </c>
      <c r="F996" s="22" t="s">
        <v>21</v>
      </c>
      <c r="G996" s="22" t="s">
        <v>22</v>
      </c>
      <c r="H996" s="22" t="s">
        <v>39</v>
      </c>
      <c r="I996" s="22" t="s">
        <v>51</v>
      </c>
      <c r="J996" s="22" t="s">
        <v>40</v>
      </c>
      <c r="K996" s="22" t="s">
        <v>53</v>
      </c>
      <c r="L996" s="22">
        <v>1</v>
      </c>
      <c r="M996" s="22">
        <v>19900</v>
      </c>
      <c r="N996" s="22">
        <v>0.05</v>
      </c>
      <c r="O996" s="22">
        <v>18905</v>
      </c>
      <c r="P996" s="22">
        <v>13792.96</v>
      </c>
      <c r="Q996" s="22">
        <v>5112.04</v>
      </c>
      <c r="R996" s="22" t="s">
        <v>48</v>
      </c>
    </row>
    <row r="997" spans="1:18">
      <c r="A997" s="22" t="s">
        <v>1131</v>
      </c>
      <c r="B997" s="23">
        <v>43677</v>
      </c>
      <c r="C997" s="24">
        <f t="shared" si="15"/>
        <v>7</v>
      </c>
      <c r="D997" s="22" t="s">
        <v>37</v>
      </c>
      <c r="E997" s="22" t="s">
        <v>38</v>
      </c>
      <c r="F997" s="22" t="s">
        <v>21</v>
      </c>
      <c r="G997" s="22" t="s">
        <v>122</v>
      </c>
      <c r="H997" s="22" t="s">
        <v>138</v>
      </c>
      <c r="I997" s="22" t="s">
        <v>51</v>
      </c>
      <c r="J997" s="22" t="s">
        <v>63</v>
      </c>
      <c r="K997" s="22" t="s">
        <v>26</v>
      </c>
      <c r="L997" s="22">
        <v>2</v>
      </c>
      <c r="M997" s="22">
        <v>26900</v>
      </c>
      <c r="N997" s="22">
        <v>0.05</v>
      </c>
      <c r="O997" s="22">
        <v>51110</v>
      </c>
      <c r="P997" s="22">
        <v>36631.78</v>
      </c>
      <c r="Q997" s="22">
        <v>14478.22</v>
      </c>
      <c r="R997" s="22" t="s">
        <v>35</v>
      </c>
    </row>
    <row r="998" spans="1:18">
      <c r="A998" s="22" t="s">
        <v>1132</v>
      </c>
      <c r="B998" s="23">
        <v>44222</v>
      </c>
      <c r="C998" s="24">
        <f t="shared" si="15"/>
        <v>1</v>
      </c>
      <c r="D998" s="22" t="s">
        <v>90</v>
      </c>
      <c r="E998" s="22" t="s">
        <v>38</v>
      </c>
      <c r="F998" s="22" t="s">
        <v>55</v>
      </c>
      <c r="G998" s="22" t="s">
        <v>109</v>
      </c>
      <c r="H998" s="22" t="s">
        <v>110</v>
      </c>
      <c r="I998" s="22" t="s">
        <v>24</v>
      </c>
      <c r="J998" s="22" t="s">
        <v>88</v>
      </c>
      <c r="K998" s="22" t="s">
        <v>53</v>
      </c>
      <c r="L998" s="22">
        <v>4</v>
      </c>
      <c r="M998" s="22">
        <v>12400</v>
      </c>
      <c r="N998" s="22">
        <v>0.05</v>
      </c>
      <c r="O998" s="22">
        <v>47120</v>
      </c>
      <c r="P998" s="22">
        <v>31159.25</v>
      </c>
      <c r="Q998" s="22">
        <v>15960.75</v>
      </c>
      <c r="R998" s="22" t="s">
        <v>77</v>
      </c>
    </row>
    <row r="999" spans="1:18">
      <c r="A999" s="22" t="s">
        <v>1133</v>
      </c>
      <c r="B999" s="23">
        <v>43242</v>
      </c>
      <c r="C999" s="24">
        <f t="shared" si="15"/>
        <v>5</v>
      </c>
      <c r="D999" s="22" t="s">
        <v>37</v>
      </c>
      <c r="E999" s="22" t="s">
        <v>38</v>
      </c>
      <c r="F999" s="22" t="s">
        <v>55</v>
      </c>
      <c r="G999" s="22" t="s">
        <v>56</v>
      </c>
      <c r="H999" s="22" t="s">
        <v>154</v>
      </c>
      <c r="I999" s="22" t="s">
        <v>45</v>
      </c>
      <c r="J999" s="22" t="s">
        <v>63</v>
      </c>
      <c r="K999" s="22" t="s">
        <v>26</v>
      </c>
      <c r="L999" s="22">
        <v>5</v>
      </c>
      <c r="M999" s="22">
        <v>26300</v>
      </c>
      <c r="N999" s="22">
        <v>0</v>
      </c>
      <c r="O999" s="22">
        <v>131500</v>
      </c>
      <c r="P999" s="22">
        <v>102259.9</v>
      </c>
      <c r="Q999" s="22">
        <v>29240.1</v>
      </c>
      <c r="R999" s="22" t="s">
        <v>35</v>
      </c>
    </row>
    <row r="1000" spans="1:18">
      <c r="A1000" s="22" t="s">
        <v>1134</v>
      </c>
      <c r="B1000" s="23">
        <v>44324</v>
      </c>
      <c r="C1000" s="24">
        <f t="shared" si="15"/>
        <v>5</v>
      </c>
      <c r="D1000" s="22" t="s">
        <v>79</v>
      </c>
      <c r="E1000" s="22" t="s">
        <v>38</v>
      </c>
      <c r="F1000" s="22" t="s">
        <v>60</v>
      </c>
      <c r="G1000" s="22" t="s">
        <v>86</v>
      </c>
      <c r="H1000" s="22" t="s">
        <v>106</v>
      </c>
      <c r="I1000" s="22" t="s">
        <v>24</v>
      </c>
      <c r="J1000" s="22" t="s">
        <v>124</v>
      </c>
      <c r="K1000" s="22" t="s">
        <v>26</v>
      </c>
      <c r="L1000" s="22">
        <v>7</v>
      </c>
      <c r="M1000" s="22">
        <v>58700</v>
      </c>
      <c r="N1000" s="22">
        <v>0.05</v>
      </c>
      <c r="O1000" s="22">
        <v>390355</v>
      </c>
      <c r="P1000" s="22">
        <v>285407.99</v>
      </c>
      <c r="Q1000" s="22">
        <v>104947.01</v>
      </c>
      <c r="R1000" s="22" t="s">
        <v>35</v>
      </c>
    </row>
    <row r="1001" hidden="1" spans="1:18">
      <c r="A1001" s="22" t="s">
        <v>1135</v>
      </c>
      <c r="B1001" s="23">
        <v>43745</v>
      </c>
      <c r="C1001" s="24">
        <f t="shared" si="15"/>
        <v>10</v>
      </c>
      <c r="D1001" s="22" t="s">
        <v>133</v>
      </c>
      <c r="E1001" s="22" t="s">
        <v>213</v>
      </c>
      <c r="F1001" s="22" t="s">
        <v>96</v>
      </c>
      <c r="G1001" s="22" t="s">
        <v>113</v>
      </c>
      <c r="H1001" s="22" t="s">
        <v>126</v>
      </c>
      <c r="I1001" s="22" t="s">
        <v>51</v>
      </c>
      <c r="J1001" s="22" t="s">
        <v>63</v>
      </c>
      <c r="K1001" s="22" t="s">
        <v>47</v>
      </c>
      <c r="L1001" s="22">
        <v>5</v>
      </c>
      <c r="M1001" s="22">
        <v>6200</v>
      </c>
      <c r="N1001" s="22">
        <v>0.1</v>
      </c>
      <c r="O1001" s="22">
        <v>27900</v>
      </c>
      <c r="P1001" s="22">
        <v>19087.7</v>
      </c>
      <c r="Q1001" s="22">
        <v>8812.3</v>
      </c>
      <c r="R1001" s="22" t="s">
        <v>27</v>
      </c>
    </row>
  </sheetData>
  <autoFilter xmlns:etc="http://www.wps.cn/officeDocument/2017/etCustomData" ref="A1:R1001" etc:filterBottomFollowUsedRange="0">
    <filterColumn colId="4">
      <customFilters>
        <customFilter operator="equal" val="Electronics"/>
      </customFilters>
    </filterColumn>
    <sortState ref="A1:R1001">
      <sortCondition ref="A1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42"/>
  <sheetViews>
    <sheetView tabSelected="1" workbookViewId="0">
      <selection activeCell="A1" sqref="A1"/>
    </sheetView>
  </sheetViews>
  <sheetFormatPr defaultColWidth="9.14285714285714" defaultRowHeight="15"/>
  <cols>
    <col min="2" max="2" width="8.42857142857143" customWidth="1"/>
    <col min="3" max="4" width="14.2857142857143"/>
    <col min="5" max="5" width="15" customWidth="1"/>
    <col min="6" max="6" width="18"/>
    <col min="7" max="7" width="17.8571428571429"/>
    <col min="8" max="8" width="11" customWidth="1"/>
    <col min="9" max="9" width="17.4285714285714" customWidth="1"/>
    <col min="10" max="10" width="13.1428571428571"/>
    <col min="11" max="11" width="15.8571428571429" customWidth="1"/>
    <col min="12" max="12" width="13.1428571428571"/>
    <col min="13" max="13" width="14.5714285714286"/>
    <col min="14" max="14" width="13.1428571428571"/>
  </cols>
  <sheetData>
    <row r="3" ht="24" customHeight="1" spans="1:14">
      <c r="A3" t="s">
        <v>1136</v>
      </c>
      <c r="C3" s="8" t="s">
        <v>1137</v>
      </c>
      <c r="E3" s="8" t="s">
        <v>1138</v>
      </c>
      <c r="G3" s="8" t="s">
        <v>1139</v>
      </c>
      <c r="I3" s="8" t="s">
        <v>1140</v>
      </c>
      <c r="K3" s="8" t="s">
        <v>1141</v>
      </c>
      <c r="M3" s="9" t="s">
        <v>1142</v>
      </c>
      <c r="N3" s="10"/>
    </row>
    <row r="4" spans="1:14">
      <c r="C4" t="s">
        <v>1143</v>
      </c>
      <c r="E4" t="s">
        <v>1144</v>
      </c>
      <c r="G4" t="s">
        <v>1145</v>
      </c>
      <c r="I4" t="s">
        <v>1146</v>
      </c>
      <c r="K4" t="s">
        <v>1147</v>
      </c>
      <c r="M4" t="s">
        <v>9</v>
      </c>
      <c r="N4" t="s">
        <v>1143</v>
      </c>
    </row>
    <row r="5" spans="1:14">
      <c r="C5" s="11">
        <v>139890910</v>
      </c>
      <c r="E5" s="11">
        <v>38128388.4199999</v>
      </c>
      <c r="G5" s="12">
        <v>1000</v>
      </c>
      <c r="I5" s="12">
        <v>5489</v>
      </c>
      <c r="K5" s="13">
        <v>0.0780499999999998</v>
      </c>
      <c r="M5" t="s">
        <v>25</v>
      </c>
      <c r="N5" s="11">
        <v>18651550</v>
      </c>
    </row>
    <row r="6" spans="1:14">
      <c r="M6" t="s">
        <v>1148</v>
      </c>
      <c r="N6" s="11">
        <v>18651550</v>
      </c>
    </row>
    <row r="8" ht="15.75" spans="1:14">
      <c r="A8" t="s">
        <v>1149</v>
      </c>
      <c r="C8" s="14" t="s">
        <v>1150</v>
      </c>
      <c r="F8" s="14" t="s">
        <v>1151</v>
      </c>
      <c r="I8" s="14" t="s">
        <v>1152</v>
      </c>
    </row>
    <row r="9" ht="26" customHeight="1" spans="1:14">
      <c r="C9" s="9" t="s">
        <v>1153</v>
      </c>
      <c r="D9" s="10"/>
      <c r="F9" s="9" t="s">
        <v>1154</v>
      </c>
      <c r="G9" s="10"/>
      <c r="I9" s="9" t="s">
        <v>1155</v>
      </c>
      <c r="J9" s="10"/>
      <c r="L9" s="15"/>
      <c r="M9" s="15"/>
    </row>
    <row r="10" spans="1:14">
      <c r="C10" t="s">
        <v>2</v>
      </c>
      <c r="D10" t="s">
        <v>1143</v>
      </c>
      <c r="F10" t="s">
        <v>4</v>
      </c>
      <c r="G10" t="s">
        <v>1143</v>
      </c>
      <c r="I10" t="s">
        <v>5</v>
      </c>
      <c r="J10" t="s">
        <v>1143</v>
      </c>
      <c r="L10" s="16"/>
      <c r="M10" s="16"/>
    </row>
    <row r="11" spans="1:14">
      <c r="C11">
        <v>1</v>
      </c>
      <c r="D11" s="11">
        <v>18420750</v>
      </c>
      <c r="F11" t="s">
        <v>38</v>
      </c>
      <c r="G11" s="11">
        <v>37841270</v>
      </c>
      <c r="I11" t="s">
        <v>96</v>
      </c>
      <c r="J11" s="11">
        <v>28114415</v>
      </c>
      <c r="L11" s="16"/>
      <c r="M11" s="17"/>
    </row>
    <row r="12" spans="1:14">
      <c r="C12">
        <v>2</v>
      </c>
      <c r="D12" s="11">
        <v>14329775</v>
      </c>
      <c r="F12" t="s">
        <v>30</v>
      </c>
      <c r="G12" s="11">
        <v>20002030</v>
      </c>
      <c r="I12" t="s">
        <v>55</v>
      </c>
      <c r="J12" s="11">
        <v>29357655</v>
      </c>
      <c r="L12" s="16"/>
      <c r="M12" s="17"/>
    </row>
    <row r="13" spans="1:14">
      <c r="C13">
        <v>3</v>
      </c>
      <c r="D13" s="11">
        <v>17427060</v>
      </c>
      <c r="F13" t="s">
        <v>20</v>
      </c>
      <c r="G13" s="11">
        <v>24217955</v>
      </c>
      <c r="I13" t="s">
        <v>31</v>
      </c>
      <c r="J13" s="11">
        <v>32218400</v>
      </c>
    </row>
    <row r="14" spans="1:14">
      <c r="C14">
        <v>4</v>
      </c>
      <c r="D14" s="11">
        <v>13301535</v>
      </c>
      <c r="F14" t="s">
        <v>213</v>
      </c>
      <c r="G14" s="11">
        <v>28494050</v>
      </c>
      <c r="I14" t="s">
        <v>60</v>
      </c>
      <c r="J14" s="11">
        <v>26425340</v>
      </c>
    </row>
    <row r="15" spans="1:14">
      <c r="C15">
        <v>5</v>
      </c>
      <c r="D15" s="11">
        <v>12363110</v>
      </c>
      <c r="F15" t="s">
        <v>128</v>
      </c>
      <c r="G15" s="11">
        <v>14440360</v>
      </c>
      <c r="I15" t="s">
        <v>21</v>
      </c>
      <c r="J15" s="11">
        <v>23775100</v>
      </c>
    </row>
    <row r="16" spans="1:14">
      <c r="C16">
        <v>6</v>
      </c>
      <c r="D16" s="11">
        <v>9223440</v>
      </c>
      <c r="F16" t="s">
        <v>256</v>
      </c>
      <c r="G16" s="11">
        <v>14895245</v>
      </c>
      <c r="I16" t="s">
        <v>1148</v>
      </c>
      <c r="J16" s="11">
        <v>139890910</v>
      </c>
    </row>
    <row r="17" spans="3:12">
      <c r="C17">
        <v>7</v>
      </c>
      <c r="D17" s="11">
        <v>15757215</v>
      </c>
      <c r="F17" t="s">
        <v>1148</v>
      </c>
      <c r="G17" s="11">
        <v>139890910</v>
      </c>
    </row>
    <row r="18" spans="3:12">
      <c r="C18">
        <v>8</v>
      </c>
      <c r="D18" s="11">
        <v>12107215</v>
      </c>
    </row>
    <row r="19" spans="3:12">
      <c r="C19">
        <v>9</v>
      </c>
      <c r="D19" s="11">
        <v>9036285</v>
      </c>
    </row>
    <row r="20" spans="3:12">
      <c r="C20">
        <v>10</v>
      </c>
      <c r="D20" s="11">
        <v>4475485</v>
      </c>
    </row>
    <row r="21" spans="3:12">
      <c r="C21">
        <v>11</v>
      </c>
      <c r="D21" s="11">
        <v>5286905</v>
      </c>
    </row>
    <row r="22" spans="3:12">
      <c r="C22">
        <v>12</v>
      </c>
      <c r="D22" s="11">
        <v>8162135</v>
      </c>
    </row>
    <row r="23" spans="3:12">
      <c r="C23" t="s">
        <v>1148</v>
      </c>
      <c r="D23" s="11">
        <v>139890910</v>
      </c>
    </row>
    <row r="26" ht="15.75" spans="3:12">
      <c r="C26" s="14" t="s">
        <v>1156</v>
      </c>
      <c r="F26" s="14" t="s">
        <v>1157</v>
      </c>
      <c r="I26" s="14" t="s">
        <v>1158</v>
      </c>
    </row>
    <row r="27" ht="25" customHeight="1" spans="3:12">
      <c r="C27" s="9" t="s">
        <v>1159</v>
      </c>
      <c r="D27" s="10"/>
      <c r="F27" s="9" t="s">
        <v>1160</v>
      </c>
      <c r="G27" s="10"/>
      <c r="I27" s="4" t="s">
        <v>1161</v>
      </c>
      <c r="J27" s="4"/>
      <c r="K27" s="4"/>
      <c r="L27" s="4"/>
    </row>
    <row r="28" spans="3:12">
      <c r="C28" t="s">
        <v>3</v>
      </c>
      <c r="D28" t="s">
        <v>1143</v>
      </c>
      <c r="F28" t="s">
        <v>8</v>
      </c>
      <c r="G28" t="s">
        <v>1143</v>
      </c>
      <c r="I28" s="5" t="s">
        <v>9</v>
      </c>
      <c r="J28" s="5" t="s">
        <v>1162</v>
      </c>
      <c r="K28" s="5" t="s">
        <v>1163</v>
      </c>
      <c r="L28" s="5" t="s">
        <v>1164</v>
      </c>
    </row>
    <row r="29" spans="3:12">
      <c r="C29" t="s">
        <v>65</v>
      </c>
      <c r="D29" s="11">
        <v>667445</v>
      </c>
      <c r="F29" t="s">
        <v>45</v>
      </c>
      <c r="G29" s="11">
        <v>41639915</v>
      </c>
      <c r="I29" s="5" t="s">
        <v>25</v>
      </c>
      <c r="J29" s="6">
        <v>18651550</v>
      </c>
      <c r="K29" s="7">
        <v>5030340.27</v>
      </c>
      <c r="L29" s="6">
        <v>135</v>
      </c>
    </row>
    <row r="30" spans="3:12">
      <c r="C30" t="s">
        <v>85</v>
      </c>
      <c r="D30" s="11">
        <v>1176450</v>
      </c>
      <c r="F30" t="s">
        <v>24</v>
      </c>
      <c r="G30" s="11">
        <v>47584165</v>
      </c>
      <c r="I30" s="5" t="s">
        <v>73</v>
      </c>
      <c r="J30" s="6">
        <v>12552670</v>
      </c>
      <c r="K30" s="7">
        <v>3200888.91</v>
      </c>
      <c r="L30" s="6">
        <v>89</v>
      </c>
    </row>
    <row r="31" spans="3:12">
      <c r="C31" t="s">
        <v>29</v>
      </c>
      <c r="D31" s="11">
        <v>2527140</v>
      </c>
      <c r="F31" t="s">
        <v>51</v>
      </c>
      <c r="G31" s="11">
        <v>50666830</v>
      </c>
      <c r="I31" s="5" t="s">
        <v>34</v>
      </c>
      <c r="J31" s="6">
        <v>12497665</v>
      </c>
      <c r="K31" s="7">
        <v>3363531.08</v>
      </c>
      <c r="L31" s="6">
        <v>74</v>
      </c>
    </row>
    <row r="32" spans="3:12">
      <c r="C32" t="s">
        <v>133</v>
      </c>
      <c r="D32" s="11">
        <v>3574280</v>
      </c>
      <c r="F32" t="s">
        <v>1148</v>
      </c>
      <c r="G32" s="11">
        <v>139890910</v>
      </c>
      <c r="I32" s="5" t="s">
        <v>99</v>
      </c>
      <c r="J32" s="6">
        <v>12448160</v>
      </c>
      <c r="K32" s="7">
        <v>3314294.76</v>
      </c>
      <c r="L32" s="6">
        <v>78</v>
      </c>
    </row>
    <row r="33" spans="3:12">
      <c r="C33" t="s">
        <v>19</v>
      </c>
      <c r="D33" s="11">
        <v>5189785</v>
      </c>
      <c r="I33" s="5" t="s">
        <v>116</v>
      </c>
      <c r="J33" s="6">
        <v>11893255</v>
      </c>
      <c r="K33" s="7">
        <v>3439201.21</v>
      </c>
      <c r="L33" s="6">
        <v>91</v>
      </c>
    </row>
    <row r="34" spans="3:12">
      <c r="C34" t="s">
        <v>75</v>
      </c>
      <c r="D34" s="11">
        <v>8162935</v>
      </c>
      <c r="I34" s="5" t="s">
        <v>124</v>
      </c>
      <c r="J34" s="6">
        <v>11670545</v>
      </c>
      <c r="K34" s="7">
        <v>3348522.36</v>
      </c>
      <c r="L34" s="6">
        <v>83</v>
      </c>
    </row>
    <row r="35" spans="3:12">
      <c r="C35" t="s">
        <v>69</v>
      </c>
      <c r="D35" s="11">
        <v>9457435</v>
      </c>
      <c r="I35" s="5" t="s">
        <v>88</v>
      </c>
      <c r="J35" s="6">
        <v>11623765</v>
      </c>
      <c r="K35" s="7">
        <v>3237457.46</v>
      </c>
      <c r="L35" s="6">
        <v>84</v>
      </c>
    </row>
    <row r="36" spans="3:12">
      <c r="C36" t="s">
        <v>37</v>
      </c>
      <c r="D36" s="11">
        <v>9629175</v>
      </c>
      <c r="I36" s="5" t="s">
        <v>40</v>
      </c>
      <c r="J36" s="6">
        <v>10942285</v>
      </c>
      <c r="K36" s="7">
        <v>3032538.95</v>
      </c>
      <c r="L36" s="6">
        <v>85</v>
      </c>
    </row>
    <row r="37" spans="3:12">
      <c r="C37" t="s">
        <v>90</v>
      </c>
      <c r="D37" s="11">
        <v>11404645</v>
      </c>
      <c r="I37" s="5" t="s">
        <v>46</v>
      </c>
      <c r="J37" s="6">
        <v>10522385</v>
      </c>
      <c r="K37" s="7">
        <v>2779716.92</v>
      </c>
      <c r="L37" s="6">
        <v>78</v>
      </c>
    </row>
    <row r="38" spans="3:12">
      <c r="C38" t="s">
        <v>42</v>
      </c>
      <c r="D38" s="11">
        <v>12104275</v>
      </c>
      <c r="I38" s="5" t="s">
        <v>52</v>
      </c>
      <c r="J38" s="6">
        <v>9478920</v>
      </c>
      <c r="K38" s="7">
        <v>2573952.45</v>
      </c>
      <c r="L38" s="6">
        <v>69</v>
      </c>
    </row>
    <row r="39" spans="3:12">
      <c r="C39" t="s">
        <v>103</v>
      </c>
      <c r="D39" s="11">
        <v>14406330</v>
      </c>
      <c r="I39" s="5" t="s">
        <v>170</v>
      </c>
      <c r="J39" s="6">
        <v>9157360</v>
      </c>
      <c r="K39" s="7">
        <v>2596854.69</v>
      </c>
      <c r="L39" s="6">
        <v>73</v>
      </c>
    </row>
    <row r="40" spans="3:12">
      <c r="C40" t="s">
        <v>121</v>
      </c>
      <c r="D40" s="11">
        <v>28735355</v>
      </c>
      <c r="I40" s="5" t="s">
        <v>63</v>
      </c>
      <c r="J40" s="6">
        <v>8452350</v>
      </c>
      <c r="K40" s="7">
        <v>2211089.36</v>
      </c>
      <c r="L40" s="6">
        <v>61</v>
      </c>
    </row>
    <row r="41" spans="3:12">
      <c r="C41" t="s">
        <v>79</v>
      </c>
      <c r="D41" s="11">
        <v>32855660</v>
      </c>
      <c r="I41" s="5" t="s">
        <v>1148</v>
      </c>
      <c r="J41" s="6">
        <v>139890910</v>
      </c>
      <c r="K41" s="7">
        <v>38128388.42</v>
      </c>
      <c r="L41" s="6">
        <v>1000</v>
      </c>
    </row>
    <row r="42" spans="3:12">
      <c r="C42" t="s">
        <v>1148</v>
      </c>
      <c r="D42" s="11">
        <v>139890910</v>
      </c>
    </row>
  </sheetData>
  <mergeCells count="7">
    <mergeCell ref="M3:N3"/>
    <mergeCell ref="C9:D9"/>
    <mergeCell ref="F9:G9"/>
    <mergeCell ref="I9:J9"/>
    <mergeCell ref="C27:D27"/>
    <mergeCell ref="F27:G27"/>
    <mergeCell ref="I27:L27"/>
  </mergeCells>
  <pageMargins left="0.75" right="0.75" top="1" bottom="1" header="0.5" footer="0.5"/>
  <headerFooter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35"/>
  <sheetViews>
    <sheetView zoomScale="90" zoomScaleNormal="90" topLeftCell="A12" workbookViewId="0">
      <selection activeCell="S22" sqref="S22"/>
    </sheetView>
  </sheetViews>
  <sheetFormatPr defaultColWidth="9.14285714285714" defaultRowHeight="15"/>
  <cols>
    <col min="1" max="3" width="9.14285714285714" style="1"/>
    <col min="4" max="4" width="7.42857142857143" style="1" customWidth="1"/>
    <col min="5" max="11" width="9.14285714285714" style="1"/>
    <col min="12" max="12" width="9.81904761904762" style="1" customWidth="1"/>
    <col min="13" max="15" width="9.14285714285714" style="1"/>
    <col min="16" max="16" width="2.38095238095238" style="1" customWidth="1"/>
    <col min="17" max="17" width="16.5714285714286" style="1"/>
    <col min="18" max="20" width="13.1428571428571" style="1"/>
    <col min="21" max="21" width="9.20952380952381" style="1" customWidth="1"/>
    <col min="22" max="16384" width="9.14285714285714" style="1"/>
  </cols>
  <sheetData>
    <row r="3" spans="1:20">
      <c r="T3" s="2"/>
    </row>
    <row r="11" spans="1:20">
      <c r="A11" s="3"/>
    </row>
    <row r="20" ht="6" customHeight="1"/>
    <row r="21" ht="18.75" spans="17:20">
      <c r="Q21" s="4" t="s">
        <v>1161</v>
      </c>
      <c r="R21" s="4"/>
      <c r="S21" s="4"/>
      <c r="T21" s="4"/>
    </row>
    <row r="22" spans="17:20">
      <c r="Q22" s="5" t="s">
        <v>9</v>
      </c>
      <c r="R22" s="5" t="s">
        <v>1162</v>
      </c>
      <c r="S22" s="5" t="s">
        <v>1163</v>
      </c>
      <c r="T22" s="5" t="s">
        <v>1164</v>
      </c>
    </row>
    <row r="23" spans="17:20">
      <c r="Q23" s="5" t="s">
        <v>25</v>
      </c>
      <c r="R23" s="6">
        <v>18651550</v>
      </c>
      <c r="S23" s="7">
        <v>5030340.27</v>
      </c>
      <c r="T23" s="6">
        <v>135</v>
      </c>
    </row>
    <row r="24" spans="17:20">
      <c r="Q24" s="5" t="s">
        <v>73</v>
      </c>
      <c r="R24" s="6">
        <v>12552670</v>
      </c>
      <c r="S24" s="7">
        <v>3200888.91</v>
      </c>
      <c r="T24" s="6">
        <v>89</v>
      </c>
    </row>
    <row r="25" spans="17:20">
      <c r="Q25" s="5" t="s">
        <v>34</v>
      </c>
      <c r="R25" s="6">
        <v>12497665</v>
      </c>
      <c r="S25" s="7">
        <v>3363531.08</v>
      </c>
      <c r="T25" s="6">
        <v>74</v>
      </c>
    </row>
    <row r="26" spans="17:20">
      <c r="Q26" s="5" t="s">
        <v>99</v>
      </c>
      <c r="R26" s="6">
        <v>12448160</v>
      </c>
      <c r="S26" s="7">
        <v>3314294.76</v>
      </c>
      <c r="T26" s="6">
        <v>78</v>
      </c>
    </row>
    <row r="27" spans="17:20">
      <c r="Q27" s="5" t="s">
        <v>116</v>
      </c>
      <c r="R27" s="6">
        <v>11893255</v>
      </c>
      <c r="S27" s="7">
        <v>3439201.21</v>
      </c>
      <c r="T27" s="6">
        <v>91</v>
      </c>
    </row>
    <row r="28" spans="17:20">
      <c r="Q28" s="5" t="s">
        <v>124</v>
      </c>
      <c r="R28" s="6">
        <v>11670545</v>
      </c>
      <c r="S28" s="7">
        <v>3348522.36</v>
      </c>
      <c r="T28" s="6">
        <v>83</v>
      </c>
    </row>
    <row r="29" spans="17:20">
      <c r="Q29" s="5" t="s">
        <v>88</v>
      </c>
      <c r="R29" s="6">
        <v>11623765</v>
      </c>
      <c r="S29" s="7">
        <v>3237457.46</v>
      </c>
      <c r="T29" s="6">
        <v>84</v>
      </c>
    </row>
    <row r="30" spans="17:20">
      <c r="Q30" s="5" t="s">
        <v>40</v>
      </c>
      <c r="R30" s="6">
        <v>10942285</v>
      </c>
      <c r="S30" s="7">
        <v>3032538.95</v>
      </c>
      <c r="T30" s="6">
        <v>85</v>
      </c>
    </row>
    <row r="31" spans="17:20">
      <c r="Q31" s="5" t="s">
        <v>46</v>
      </c>
      <c r="R31" s="6">
        <v>10522385</v>
      </c>
      <c r="S31" s="7">
        <v>2779716.92</v>
      </c>
      <c r="T31" s="6">
        <v>78</v>
      </c>
    </row>
    <row r="32" spans="17:20">
      <c r="Q32" s="5" t="s">
        <v>52</v>
      </c>
      <c r="R32" s="6">
        <v>9478920</v>
      </c>
      <c r="S32" s="7">
        <v>2573952.45</v>
      </c>
      <c r="T32" s="6">
        <v>69</v>
      </c>
    </row>
    <row r="33" spans="17:20">
      <c r="Q33" s="5" t="s">
        <v>170</v>
      </c>
      <c r="R33" s="6">
        <v>9157360</v>
      </c>
      <c r="S33" s="7">
        <v>2596854.69</v>
      </c>
      <c r="T33" s="6">
        <v>73</v>
      </c>
    </row>
    <row r="34" spans="17:20">
      <c r="Q34" s="5" t="s">
        <v>63</v>
      </c>
      <c r="R34" s="6">
        <v>8452350</v>
      </c>
      <c r="S34" s="7">
        <v>2211089.36</v>
      </c>
      <c r="T34" s="6">
        <v>61</v>
      </c>
    </row>
    <row r="35" spans="17:20">
      <c r="Q35" s="5" t="s">
        <v>1148</v>
      </c>
      <c r="R35" s="6">
        <v>139890910</v>
      </c>
      <c r="S35" s="7">
        <v>38128388.42</v>
      </c>
      <c r="T35" s="6">
        <v>1000</v>
      </c>
    </row>
  </sheetData>
  <mergeCells count="1">
    <mergeCell ref="Q21:T21"/>
  </mergeCells>
  <pageMargins left="0.75" right="0.75" top="1" bottom="1" header="0.5" footer="0.5"/>
  <pageSetup paperSize="1" orientation="portrait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set</vt:lpstr>
      <vt:lpstr>Summary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Sachin Kumar</cp:lastModifiedBy>
  <dcterms:created xsi:type="dcterms:W3CDTF">2026-08-28T01:19:00Z</dcterms:created>
  <dcterms:modified xsi:type="dcterms:W3CDTF">2026-09-08T09:24:48Z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80E87795F42F44C3B652765E7639B61B_12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